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5B0C46-B001-4811-AE97-200A3E4C2F0C}" xr6:coauthVersionLast="47" xr6:coauthVersionMax="47" xr10:uidLastSave="{00000000-0000-0000-0000-000000000000}"/>
  <bookViews>
    <workbookView xWindow="-120" yWindow="-120" windowWidth="20730" windowHeight="11040" tabRatio="500" firstSheet="3" activeTab="7" xr2:uid="{00000000-000D-0000-FFFF-FFFF00000000}"/>
  </bookViews>
  <sheets>
    <sheet name="Inputs" sheetId="1" r:id="rId1"/>
    <sheet name="Summary" sheetId="2" r:id="rId2"/>
    <sheet name="Prices" sheetId="4" r:id="rId3"/>
    <sheet name="Returns" sheetId="3" r:id="rId4"/>
    <sheet name="Rebased" sheetId="5" r:id="rId5"/>
    <sheet name="Drawdown" sheetId="6" r:id="rId6"/>
    <sheet name="Daily" sheetId="7" r:id="rId7"/>
    <sheet name="Volatility" sheetId="8" r:id="rId8"/>
    <sheet name="Data" sheetId="9" r:id="rId9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H223" i="8"/>
  <c r="A2" i="5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45" i="6"/>
  <c r="A16" i="5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" i="7"/>
  <c r="H247" i="4"/>
  <c r="G247" i="4"/>
  <c r="F247" i="4"/>
  <c r="E247" i="4"/>
  <c r="D247" i="4"/>
  <c r="C247" i="4"/>
  <c r="C247" i="7" s="1"/>
  <c r="B247" i="4"/>
  <c r="H246" i="4"/>
  <c r="G246" i="4"/>
  <c r="F246" i="4"/>
  <c r="F246" i="7" s="1"/>
  <c r="E246" i="4"/>
  <c r="D246" i="4"/>
  <c r="C246" i="4"/>
  <c r="B246" i="4"/>
  <c r="B246" i="7" s="1"/>
  <c r="H245" i="4"/>
  <c r="G245" i="4"/>
  <c r="F245" i="4"/>
  <c r="E245" i="4"/>
  <c r="E245" i="7" s="1"/>
  <c r="D245" i="4"/>
  <c r="C245" i="4"/>
  <c r="B245" i="4"/>
  <c r="H244" i="4"/>
  <c r="H244" i="7" s="1"/>
  <c r="G244" i="4"/>
  <c r="F244" i="4"/>
  <c r="E244" i="4"/>
  <c r="D244" i="4"/>
  <c r="D244" i="7" s="1"/>
  <c r="C244" i="4"/>
  <c r="B244" i="4"/>
  <c r="H243" i="4"/>
  <c r="G243" i="4"/>
  <c r="G243" i="7" s="1"/>
  <c r="F243" i="4"/>
  <c r="E243" i="4"/>
  <c r="D243" i="4"/>
  <c r="C243" i="4"/>
  <c r="C243" i="7" s="1"/>
  <c r="B243" i="4"/>
  <c r="H242" i="4"/>
  <c r="G242" i="4"/>
  <c r="F242" i="4"/>
  <c r="F242" i="7" s="1"/>
  <c r="E242" i="4"/>
  <c r="D242" i="4"/>
  <c r="C242" i="4"/>
  <c r="B242" i="4"/>
  <c r="B242" i="7" s="1"/>
  <c r="H241" i="4"/>
  <c r="G241" i="4"/>
  <c r="F241" i="4"/>
  <c r="E241" i="4"/>
  <c r="E241" i="7" s="1"/>
  <c r="D241" i="4"/>
  <c r="C241" i="4"/>
  <c r="B241" i="4"/>
  <c r="H240" i="4"/>
  <c r="H240" i="7" s="1"/>
  <c r="G240" i="4"/>
  <c r="F240" i="4"/>
  <c r="E240" i="4"/>
  <c r="D240" i="4"/>
  <c r="D240" i="7" s="1"/>
  <c r="C240" i="4"/>
  <c r="B240" i="4"/>
  <c r="H239" i="4"/>
  <c r="G239" i="4"/>
  <c r="G239" i="7" s="1"/>
  <c r="F239" i="4"/>
  <c r="E239" i="4"/>
  <c r="D239" i="4"/>
  <c r="C239" i="4"/>
  <c r="C239" i="7" s="1"/>
  <c r="B239" i="4"/>
  <c r="H238" i="4"/>
  <c r="G238" i="4"/>
  <c r="F238" i="4"/>
  <c r="F238" i="7" s="1"/>
  <c r="E238" i="4"/>
  <c r="D238" i="4"/>
  <c r="C238" i="4"/>
  <c r="B238" i="4"/>
  <c r="B238" i="7" s="1"/>
  <c r="H237" i="4"/>
  <c r="G237" i="4"/>
  <c r="F237" i="4"/>
  <c r="E237" i="4"/>
  <c r="E237" i="7" s="1"/>
  <c r="D237" i="4"/>
  <c r="C237" i="4"/>
  <c r="B237" i="4"/>
  <c r="H236" i="4"/>
  <c r="H236" i="7" s="1"/>
  <c r="G236" i="4"/>
  <c r="F236" i="4"/>
  <c r="E236" i="4"/>
  <c r="D236" i="4"/>
  <c r="D236" i="7" s="1"/>
  <c r="C236" i="4"/>
  <c r="B236" i="4"/>
  <c r="H235" i="4"/>
  <c r="G235" i="4"/>
  <c r="G235" i="7" s="1"/>
  <c r="F235" i="4"/>
  <c r="E235" i="4"/>
  <c r="D235" i="4"/>
  <c r="C235" i="4"/>
  <c r="C235" i="7" s="1"/>
  <c r="B235" i="4"/>
  <c r="H234" i="4"/>
  <c r="G234" i="4"/>
  <c r="F234" i="4"/>
  <c r="F234" i="7" s="1"/>
  <c r="E234" i="4"/>
  <c r="D234" i="4"/>
  <c r="C234" i="4"/>
  <c r="B234" i="4"/>
  <c r="B234" i="7" s="1"/>
  <c r="H233" i="4"/>
  <c r="G233" i="4"/>
  <c r="F233" i="4"/>
  <c r="E233" i="4"/>
  <c r="E233" i="7" s="1"/>
  <c r="D233" i="4"/>
  <c r="C233" i="4"/>
  <c r="B233" i="4"/>
  <c r="H232" i="4"/>
  <c r="H232" i="7" s="1"/>
  <c r="G232" i="4"/>
  <c r="F232" i="4"/>
  <c r="E232" i="4"/>
  <c r="D232" i="4"/>
  <c r="D232" i="7" s="1"/>
  <c r="C232" i="4"/>
  <c r="B232" i="4"/>
  <c r="H231" i="4"/>
  <c r="G231" i="4"/>
  <c r="G231" i="7" s="1"/>
  <c r="F231" i="4"/>
  <c r="E231" i="4"/>
  <c r="D231" i="4"/>
  <c r="C231" i="4"/>
  <c r="C231" i="7" s="1"/>
  <c r="B231" i="4"/>
  <c r="H230" i="4"/>
  <c r="G230" i="4"/>
  <c r="F230" i="4"/>
  <c r="F230" i="7" s="1"/>
  <c r="E230" i="4"/>
  <c r="D230" i="4"/>
  <c r="C230" i="4"/>
  <c r="B230" i="4"/>
  <c r="B230" i="7" s="1"/>
  <c r="H229" i="4"/>
  <c r="G229" i="4"/>
  <c r="F229" i="4"/>
  <c r="E229" i="4"/>
  <c r="E229" i="7" s="1"/>
  <c r="D229" i="4"/>
  <c r="C229" i="4"/>
  <c r="B229" i="4"/>
  <c r="H228" i="4"/>
  <c r="H228" i="7" s="1"/>
  <c r="G228" i="4"/>
  <c r="F228" i="4"/>
  <c r="E228" i="4"/>
  <c r="D228" i="4"/>
  <c r="D228" i="7" s="1"/>
  <c r="C228" i="4"/>
  <c r="B228" i="4"/>
  <c r="H227" i="4"/>
  <c r="G227" i="4"/>
  <c r="G227" i="7" s="1"/>
  <c r="F227" i="4"/>
  <c r="E227" i="4"/>
  <c r="D227" i="4"/>
  <c r="C227" i="4"/>
  <c r="C227" i="7" s="1"/>
  <c r="B227" i="4"/>
  <c r="H226" i="4"/>
  <c r="G226" i="4"/>
  <c r="F226" i="4"/>
  <c r="F226" i="7" s="1"/>
  <c r="E226" i="4"/>
  <c r="D226" i="4"/>
  <c r="C226" i="4"/>
  <c r="B226" i="4"/>
  <c r="B226" i="7" s="1"/>
  <c r="H225" i="4"/>
  <c r="G225" i="4"/>
  <c r="F225" i="4"/>
  <c r="E225" i="4"/>
  <c r="E225" i="7" s="1"/>
  <c r="D225" i="4"/>
  <c r="C225" i="4"/>
  <c r="B225" i="4"/>
  <c r="H224" i="4"/>
  <c r="H224" i="7" s="1"/>
  <c r="G224" i="4"/>
  <c r="F224" i="4"/>
  <c r="E224" i="4"/>
  <c r="D224" i="4"/>
  <c r="D224" i="7" s="1"/>
  <c r="C224" i="4"/>
  <c r="B224" i="4"/>
  <c r="H223" i="4"/>
  <c r="G223" i="4"/>
  <c r="G223" i="7" s="1"/>
  <c r="F223" i="4"/>
  <c r="E223" i="4"/>
  <c r="D223" i="4"/>
  <c r="C223" i="4"/>
  <c r="C223" i="7" s="1"/>
  <c r="B223" i="4"/>
  <c r="H222" i="4"/>
  <c r="G222" i="4"/>
  <c r="F222" i="4"/>
  <c r="F222" i="7" s="1"/>
  <c r="E222" i="4"/>
  <c r="D222" i="4"/>
  <c r="C222" i="4"/>
  <c r="B222" i="4"/>
  <c r="B222" i="7" s="1"/>
  <c r="H221" i="4"/>
  <c r="G221" i="4"/>
  <c r="F221" i="4"/>
  <c r="E221" i="4"/>
  <c r="E221" i="7" s="1"/>
  <c r="D221" i="4"/>
  <c r="C221" i="4"/>
  <c r="B221" i="4"/>
  <c r="H220" i="4"/>
  <c r="H220" i="7" s="1"/>
  <c r="G220" i="4"/>
  <c r="F220" i="4"/>
  <c r="E220" i="4"/>
  <c r="D220" i="4"/>
  <c r="D220" i="7" s="1"/>
  <c r="C220" i="4"/>
  <c r="B220" i="4"/>
  <c r="H219" i="4"/>
  <c r="G219" i="4"/>
  <c r="G219" i="7" s="1"/>
  <c r="F219" i="4"/>
  <c r="E219" i="4"/>
  <c r="D219" i="4"/>
  <c r="C219" i="4"/>
  <c r="C219" i="7" s="1"/>
  <c r="B219" i="4"/>
  <c r="H218" i="4"/>
  <c r="G218" i="4"/>
  <c r="F218" i="4"/>
  <c r="F218" i="7" s="1"/>
  <c r="E218" i="4"/>
  <c r="D218" i="4"/>
  <c r="C218" i="4"/>
  <c r="B218" i="4"/>
  <c r="B218" i="7" s="1"/>
  <c r="H217" i="4"/>
  <c r="G217" i="4"/>
  <c r="F217" i="4"/>
  <c r="E217" i="4"/>
  <c r="E217" i="7" s="1"/>
  <c r="D217" i="4"/>
  <c r="C217" i="4"/>
  <c r="B217" i="4"/>
  <c r="H216" i="4"/>
  <c r="H216" i="7" s="1"/>
  <c r="G216" i="4"/>
  <c r="F216" i="4"/>
  <c r="E216" i="4"/>
  <c r="D216" i="4"/>
  <c r="D216" i="7" s="1"/>
  <c r="C216" i="4"/>
  <c r="B216" i="4"/>
  <c r="H215" i="4"/>
  <c r="G215" i="4"/>
  <c r="G215" i="7" s="1"/>
  <c r="F215" i="4"/>
  <c r="E215" i="4"/>
  <c r="D215" i="4"/>
  <c r="C215" i="4"/>
  <c r="C215" i="7" s="1"/>
  <c r="B215" i="4"/>
  <c r="H214" i="4"/>
  <c r="G214" i="4"/>
  <c r="F214" i="4"/>
  <c r="F214" i="7" s="1"/>
  <c r="E214" i="4"/>
  <c r="D214" i="4"/>
  <c r="C214" i="4"/>
  <c r="B214" i="4"/>
  <c r="B214" i="7" s="1"/>
  <c r="H213" i="4"/>
  <c r="G213" i="4"/>
  <c r="F213" i="4"/>
  <c r="E213" i="4"/>
  <c r="E213" i="7" s="1"/>
  <c r="D213" i="4"/>
  <c r="C213" i="4"/>
  <c r="B213" i="4"/>
  <c r="H212" i="4"/>
  <c r="H212" i="7" s="1"/>
  <c r="G212" i="4"/>
  <c r="F212" i="4"/>
  <c r="E212" i="4"/>
  <c r="D212" i="4"/>
  <c r="D212" i="7" s="1"/>
  <c r="C212" i="4"/>
  <c r="B212" i="4"/>
  <c r="H211" i="4"/>
  <c r="G211" i="4"/>
  <c r="G211" i="7" s="1"/>
  <c r="F211" i="4"/>
  <c r="E211" i="4"/>
  <c r="D211" i="4"/>
  <c r="C211" i="4"/>
  <c r="C211" i="7" s="1"/>
  <c r="B211" i="4"/>
  <c r="H210" i="4"/>
  <c r="G210" i="4"/>
  <c r="F210" i="4"/>
  <c r="F210" i="7" s="1"/>
  <c r="E210" i="4"/>
  <c r="D210" i="4"/>
  <c r="C210" i="4"/>
  <c r="B210" i="4"/>
  <c r="B210" i="7" s="1"/>
  <c r="H209" i="4"/>
  <c r="G209" i="4"/>
  <c r="F209" i="4"/>
  <c r="E209" i="4"/>
  <c r="E209" i="7" s="1"/>
  <c r="D209" i="4"/>
  <c r="C209" i="4"/>
  <c r="B209" i="4"/>
  <c r="H208" i="4"/>
  <c r="H208" i="7" s="1"/>
  <c r="G208" i="4"/>
  <c r="F208" i="4"/>
  <c r="E208" i="4"/>
  <c r="D208" i="4"/>
  <c r="D208" i="7" s="1"/>
  <c r="C208" i="4"/>
  <c r="B208" i="4"/>
  <c r="H207" i="4"/>
  <c r="G207" i="4"/>
  <c r="G207" i="7" s="1"/>
  <c r="F207" i="4"/>
  <c r="E207" i="4"/>
  <c r="D207" i="4"/>
  <c r="C207" i="4"/>
  <c r="C207" i="7" s="1"/>
  <c r="B207" i="4"/>
  <c r="H206" i="4"/>
  <c r="G206" i="4"/>
  <c r="F206" i="4"/>
  <c r="F206" i="7" s="1"/>
  <c r="E206" i="4"/>
  <c r="D206" i="4"/>
  <c r="C206" i="4"/>
  <c r="B206" i="4"/>
  <c r="B206" i="7" s="1"/>
  <c r="H205" i="4"/>
  <c r="G205" i="4"/>
  <c r="F205" i="4"/>
  <c r="E205" i="4"/>
  <c r="E205" i="7" s="1"/>
  <c r="D205" i="4"/>
  <c r="C205" i="4"/>
  <c r="B205" i="4"/>
  <c r="H204" i="4"/>
  <c r="H204" i="7" s="1"/>
  <c r="G204" i="4"/>
  <c r="F204" i="4"/>
  <c r="E204" i="4"/>
  <c r="D204" i="4"/>
  <c r="D204" i="7" s="1"/>
  <c r="C204" i="4"/>
  <c r="B204" i="4"/>
  <c r="H203" i="4"/>
  <c r="G203" i="4"/>
  <c r="G203" i="7" s="1"/>
  <c r="F203" i="4"/>
  <c r="E203" i="4"/>
  <c r="D203" i="4"/>
  <c r="C203" i="4"/>
  <c r="C203" i="7" s="1"/>
  <c r="B203" i="4"/>
  <c r="H202" i="4"/>
  <c r="G202" i="4"/>
  <c r="G202" i="7" s="1"/>
  <c r="F202" i="4"/>
  <c r="F202" i="7" s="1"/>
  <c r="E202" i="4"/>
  <c r="D202" i="4"/>
  <c r="C202" i="4"/>
  <c r="C202" i="7" s="1"/>
  <c r="B202" i="4"/>
  <c r="B202" i="7" s="1"/>
  <c r="H201" i="4"/>
  <c r="G201" i="4"/>
  <c r="F201" i="4"/>
  <c r="F201" i="7" s="1"/>
  <c r="E201" i="4"/>
  <c r="E201" i="7" s="1"/>
  <c r="D201" i="4"/>
  <c r="C201" i="4"/>
  <c r="B201" i="4"/>
  <c r="B201" i="7" s="1"/>
  <c r="H200" i="4"/>
  <c r="H200" i="7" s="1"/>
  <c r="G200" i="4"/>
  <c r="F200" i="4"/>
  <c r="E200" i="4"/>
  <c r="E200" i="7" s="1"/>
  <c r="D200" i="4"/>
  <c r="D200" i="7" s="1"/>
  <c r="C200" i="4"/>
  <c r="B200" i="4"/>
  <c r="H199" i="4"/>
  <c r="H199" i="7" s="1"/>
  <c r="G199" i="4"/>
  <c r="G199" i="7" s="1"/>
  <c r="F199" i="4"/>
  <c r="E199" i="4"/>
  <c r="D199" i="4"/>
  <c r="D199" i="7" s="1"/>
  <c r="C199" i="4"/>
  <c r="C199" i="7" s="1"/>
  <c r="B199" i="4"/>
  <c r="H198" i="4"/>
  <c r="G198" i="4"/>
  <c r="G198" i="7" s="1"/>
  <c r="F198" i="4"/>
  <c r="F198" i="7" s="1"/>
  <c r="E198" i="4"/>
  <c r="D198" i="4"/>
  <c r="C198" i="4"/>
  <c r="C198" i="7" s="1"/>
  <c r="B198" i="4"/>
  <c r="B198" i="7" s="1"/>
  <c r="H197" i="4"/>
  <c r="G197" i="4"/>
  <c r="F197" i="4"/>
  <c r="F197" i="7" s="1"/>
  <c r="E197" i="4"/>
  <c r="E197" i="7" s="1"/>
  <c r="D197" i="4"/>
  <c r="C197" i="4"/>
  <c r="B197" i="4"/>
  <c r="B197" i="7" s="1"/>
  <c r="H196" i="4"/>
  <c r="H196" i="7" s="1"/>
  <c r="G196" i="4"/>
  <c r="F196" i="4"/>
  <c r="E196" i="4"/>
  <c r="E196" i="7" s="1"/>
  <c r="D196" i="4"/>
  <c r="D196" i="7" s="1"/>
  <c r="C196" i="4"/>
  <c r="B196" i="4"/>
  <c r="H195" i="4"/>
  <c r="H195" i="7" s="1"/>
  <c r="G195" i="4"/>
  <c r="G195" i="7" s="1"/>
  <c r="F195" i="4"/>
  <c r="E195" i="4"/>
  <c r="D195" i="4"/>
  <c r="D195" i="7" s="1"/>
  <c r="C195" i="4"/>
  <c r="C195" i="7" s="1"/>
  <c r="B195" i="4"/>
  <c r="H194" i="4"/>
  <c r="G194" i="4"/>
  <c r="G194" i="7" s="1"/>
  <c r="F194" i="4"/>
  <c r="F194" i="7" s="1"/>
  <c r="E194" i="4"/>
  <c r="D194" i="4"/>
  <c r="C194" i="4"/>
  <c r="C194" i="7" s="1"/>
  <c r="B194" i="4"/>
  <c r="B194" i="7" s="1"/>
  <c r="H193" i="4"/>
  <c r="G193" i="4"/>
  <c r="F193" i="4"/>
  <c r="F193" i="7" s="1"/>
  <c r="E193" i="4"/>
  <c r="E193" i="7" s="1"/>
  <c r="D193" i="4"/>
  <c r="C193" i="4"/>
  <c r="B193" i="4"/>
  <c r="H192" i="4"/>
  <c r="H192" i="7" s="1"/>
  <c r="G192" i="4"/>
  <c r="F192" i="4"/>
  <c r="E192" i="4"/>
  <c r="D192" i="4"/>
  <c r="D192" i="7" s="1"/>
  <c r="C192" i="4"/>
  <c r="B192" i="4"/>
  <c r="H191" i="4"/>
  <c r="G191" i="4"/>
  <c r="G191" i="7" s="1"/>
  <c r="F191" i="4"/>
  <c r="E191" i="4"/>
  <c r="D191" i="4"/>
  <c r="C191" i="4"/>
  <c r="C191" i="7" s="1"/>
  <c r="B191" i="4"/>
  <c r="H190" i="4"/>
  <c r="G190" i="4"/>
  <c r="F190" i="4"/>
  <c r="F190" i="7" s="1"/>
  <c r="E190" i="4"/>
  <c r="D190" i="4"/>
  <c r="C190" i="4"/>
  <c r="B190" i="4"/>
  <c r="B190" i="7" s="1"/>
  <c r="H189" i="4"/>
  <c r="G189" i="4"/>
  <c r="F189" i="4"/>
  <c r="E189" i="4"/>
  <c r="E189" i="7" s="1"/>
  <c r="D189" i="4"/>
  <c r="C189" i="4"/>
  <c r="B189" i="4"/>
  <c r="H188" i="4"/>
  <c r="H188" i="7" s="1"/>
  <c r="G188" i="4"/>
  <c r="F188" i="4"/>
  <c r="E188" i="4"/>
  <c r="D188" i="4"/>
  <c r="D188" i="7" s="1"/>
  <c r="C188" i="4"/>
  <c r="B188" i="4"/>
  <c r="H187" i="4"/>
  <c r="G187" i="4"/>
  <c r="G187" i="7" s="1"/>
  <c r="F187" i="4"/>
  <c r="E187" i="4"/>
  <c r="D187" i="4"/>
  <c r="C187" i="4"/>
  <c r="C187" i="7" s="1"/>
  <c r="B187" i="4"/>
  <c r="H186" i="4"/>
  <c r="G186" i="4"/>
  <c r="F186" i="4"/>
  <c r="F186" i="7" s="1"/>
  <c r="E186" i="4"/>
  <c r="D186" i="4"/>
  <c r="C186" i="4"/>
  <c r="B186" i="4"/>
  <c r="B186" i="7" s="1"/>
  <c r="H185" i="4"/>
  <c r="G185" i="4"/>
  <c r="F185" i="4"/>
  <c r="E185" i="4"/>
  <c r="E185" i="7" s="1"/>
  <c r="D185" i="4"/>
  <c r="C185" i="4"/>
  <c r="B185" i="4"/>
  <c r="H184" i="4"/>
  <c r="H184" i="7" s="1"/>
  <c r="G184" i="4"/>
  <c r="F184" i="4"/>
  <c r="E184" i="4"/>
  <c r="D184" i="4"/>
  <c r="D184" i="7" s="1"/>
  <c r="C184" i="4"/>
  <c r="B184" i="4"/>
  <c r="H183" i="4"/>
  <c r="G183" i="4"/>
  <c r="G183" i="7" s="1"/>
  <c r="F183" i="4"/>
  <c r="E183" i="4"/>
  <c r="D183" i="4"/>
  <c r="C183" i="4"/>
  <c r="C183" i="7" s="1"/>
  <c r="B183" i="4"/>
  <c r="H182" i="4"/>
  <c r="G182" i="4"/>
  <c r="F182" i="4"/>
  <c r="F182" i="7" s="1"/>
  <c r="E182" i="4"/>
  <c r="D182" i="4"/>
  <c r="C182" i="4"/>
  <c r="B182" i="4"/>
  <c r="B182" i="7" s="1"/>
  <c r="H181" i="4"/>
  <c r="G181" i="4"/>
  <c r="F181" i="4"/>
  <c r="E181" i="4"/>
  <c r="E181" i="7" s="1"/>
  <c r="D181" i="4"/>
  <c r="C181" i="4"/>
  <c r="B181" i="4"/>
  <c r="H180" i="4"/>
  <c r="H180" i="7" s="1"/>
  <c r="G180" i="4"/>
  <c r="F180" i="4"/>
  <c r="E180" i="4"/>
  <c r="D180" i="4"/>
  <c r="D180" i="7" s="1"/>
  <c r="C180" i="4"/>
  <c r="B180" i="4"/>
  <c r="H179" i="4"/>
  <c r="G179" i="4"/>
  <c r="G179" i="7" s="1"/>
  <c r="F179" i="4"/>
  <c r="E179" i="4"/>
  <c r="D179" i="4"/>
  <c r="C179" i="4"/>
  <c r="C179" i="7" s="1"/>
  <c r="B179" i="4"/>
  <c r="H178" i="4"/>
  <c r="G178" i="4"/>
  <c r="F178" i="4"/>
  <c r="F178" i="7" s="1"/>
  <c r="E178" i="4"/>
  <c r="D178" i="4"/>
  <c r="C178" i="4"/>
  <c r="B178" i="4"/>
  <c r="B178" i="7" s="1"/>
  <c r="H177" i="4"/>
  <c r="G177" i="4"/>
  <c r="F177" i="4"/>
  <c r="E177" i="4"/>
  <c r="E177" i="7" s="1"/>
  <c r="D177" i="4"/>
  <c r="C177" i="4"/>
  <c r="B177" i="4"/>
  <c r="H176" i="4"/>
  <c r="H176" i="7" s="1"/>
  <c r="G176" i="4"/>
  <c r="F176" i="4"/>
  <c r="E176" i="4"/>
  <c r="D176" i="4"/>
  <c r="D176" i="7" s="1"/>
  <c r="C176" i="4"/>
  <c r="B176" i="4"/>
  <c r="H175" i="4"/>
  <c r="G175" i="4"/>
  <c r="G175" i="7" s="1"/>
  <c r="F175" i="4"/>
  <c r="E175" i="4"/>
  <c r="D175" i="4"/>
  <c r="C175" i="4"/>
  <c r="C175" i="7" s="1"/>
  <c r="B175" i="4"/>
  <c r="H174" i="4"/>
  <c r="G174" i="4"/>
  <c r="F174" i="4"/>
  <c r="F174" i="7" s="1"/>
  <c r="E174" i="4"/>
  <c r="D174" i="4"/>
  <c r="C174" i="4"/>
  <c r="B174" i="4"/>
  <c r="B174" i="7" s="1"/>
  <c r="H173" i="4"/>
  <c r="G173" i="4"/>
  <c r="F173" i="4"/>
  <c r="E173" i="4"/>
  <c r="E173" i="7" s="1"/>
  <c r="D173" i="4"/>
  <c r="C173" i="4"/>
  <c r="B173" i="4"/>
  <c r="H172" i="4"/>
  <c r="H172" i="7" s="1"/>
  <c r="G172" i="4"/>
  <c r="F172" i="4"/>
  <c r="E172" i="4"/>
  <c r="D172" i="4"/>
  <c r="D172" i="7" s="1"/>
  <c r="C172" i="4"/>
  <c r="B172" i="4"/>
  <c r="H171" i="4"/>
  <c r="G171" i="4"/>
  <c r="G171" i="7" s="1"/>
  <c r="F171" i="4"/>
  <c r="E171" i="4"/>
  <c r="D171" i="4"/>
  <c r="C171" i="4"/>
  <c r="C171" i="7" s="1"/>
  <c r="B171" i="4"/>
  <c r="H170" i="4"/>
  <c r="G170" i="4"/>
  <c r="F170" i="4"/>
  <c r="F170" i="7" s="1"/>
  <c r="E170" i="4"/>
  <c r="D170" i="4"/>
  <c r="C170" i="4"/>
  <c r="B170" i="4"/>
  <c r="B170" i="7" s="1"/>
  <c r="H169" i="4"/>
  <c r="G169" i="4"/>
  <c r="F169" i="4"/>
  <c r="E169" i="4"/>
  <c r="E169" i="7" s="1"/>
  <c r="D169" i="4"/>
  <c r="C169" i="4"/>
  <c r="B169" i="4"/>
  <c r="H168" i="4"/>
  <c r="H168" i="7" s="1"/>
  <c r="G168" i="4"/>
  <c r="F168" i="4"/>
  <c r="E168" i="4"/>
  <c r="D168" i="4"/>
  <c r="D168" i="7" s="1"/>
  <c r="C168" i="4"/>
  <c r="B168" i="4"/>
  <c r="H167" i="4"/>
  <c r="G167" i="4"/>
  <c r="G167" i="7" s="1"/>
  <c r="F167" i="4"/>
  <c r="E167" i="4"/>
  <c r="D167" i="4"/>
  <c r="C167" i="4"/>
  <c r="C167" i="7" s="1"/>
  <c r="B167" i="4"/>
  <c r="H166" i="4"/>
  <c r="G166" i="4"/>
  <c r="F166" i="4"/>
  <c r="F166" i="7" s="1"/>
  <c r="E166" i="4"/>
  <c r="D166" i="4"/>
  <c r="C166" i="4"/>
  <c r="B166" i="4"/>
  <c r="B166" i="7" s="1"/>
  <c r="H165" i="4"/>
  <c r="G165" i="4"/>
  <c r="F165" i="4"/>
  <c r="E165" i="4"/>
  <c r="E165" i="7" s="1"/>
  <c r="D165" i="4"/>
  <c r="C165" i="4"/>
  <c r="B165" i="4"/>
  <c r="H164" i="4"/>
  <c r="H164" i="7" s="1"/>
  <c r="G164" i="4"/>
  <c r="F164" i="4"/>
  <c r="E164" i="4"/>
  <c r="D164" i="4"/>
  <c r="D164" i="7" s="1"/>
  <c r="C164" i="4"/>
  <c r="B164" i="4"/>
  <c r="H163" i="4"/>
  <c r="G163" i="4"/>
  <c r="G163" i="7" s="1"/>
  <c r="F163" i="4"/>
  <c r="E163" i="4"/>
  <c r="D163" i="4"/>
  <c r="C163" i="4"/>
  <c r="C163" i="7" s="1"/>
  <c r="B163" i="4"/>
  <c r="H162" i="4"/>
  <c r="G162" i="4"/>
  <c r="F162" i="4"/>
  <c r="F162" i="7" s="1"/>
  <c r="E162" i="4"/>
  <c r="D162" i="4"/>
  <c r="C162" i="4"/>
  <c r="B162" i="4"/>
  <c r="B162" i="7" s="1"/>
  <c r="H161" i="4"/>
  <c r="G161" i="4"/>
  <c r="F161" i="4"/>
  <c r="E161" i="4"/>
  <c r="E161" i="7" s="1"/>
  <c r="D161" i="4"/>
  <c r="C161" i="4"/>
  <c r="B161" i="4"/>
  <c r="H160" i="4"/>
  <c r="H160" i="7" s="1"/>
  <c r="G160" i="4"/>
  <c r="F160" i="4"/>
  <c r="E160" i="4"/>
  <c r="D160" i="4"/>
  <c r="D160" i="7" s="1"/>
  <c r="C160" i="4"/>
  <c r="B160" i="4"/>
  <c r="H159" i="4"/>
  <c r="G159" i="4"/>
  <c r="G159" i="7" s="1"/>
  <c r="F159" i="4"/>
  <c r="E159" i="4"/>
  <c r="D159" i="4"/>
  <c r="C159" i="4"/>
  <c r="C159" i="7" s="1"/>
  <c r="B159" i="4"/>
  <c r="H158" i="4"/>
  <c r="G158" i="4"/>
  <c r="F158" i="4"/>
  <c r="F158" i="7" s="1"/>
  <c r="E158" i="4"/>
  <c r="D158" i="4"/>
  <c r="C158" i="4"/>
  <c r="B158" i="4"/>
  <c r="B158" i="7" s="1"/>
  <c r="H157" i="4"/>
  <c r="G157" i="4"/>
  <c r="F157" i="4"/>
  <c r="E157" i="4"/>
  <c r="E157" i="7" s="1"/>
  <c r="D157" i="4"/>
  <c r="C157" i="4"/>
  <c r="B157" i="4"/>
  <c r="H156" i="4"/>
  <c r="H156" i="7" s="1"/>
  <c r="G156" i="4"/>
  <c r="F156" i="4"/>
  <c r="E156" i="4"/>
  <c r="D156" i="4"/>
  <c r="D156" i="7" s="1"/>
  <c r="C156" i="4"/>
  <c r="B156" i="4"/>
  <c r="H155" i="4"/>
  <c r="G155" i="4"/>
  <c r="G155" i="7" s="1"/>
  <c r="F155" i="4"/>
  <c r="E155" i="4"/>
  <c r="D155" i="4"/>
  <c r="C155" i="4"/>
  <c r="C155" i="7" s="1"/>
  <c r="B155" i="4"/>
  <c r="H154" i="4"/>
  <c r="G154" i="4"/>
  <c r="F154" i="4"/>
  <c r="F154" i="7" s="1"/>
  <c r="E154" i="4"/>
  <c r="D154" i="4"/>
  <c r="C154" i="4"/>
  <c r="B154" i="4"/>
  <c r="B154" i="7" s="1"/>
  <c r="H153" i="4"/>
  <c r="G153" i="4"/>
  <c r="F153" i="4"/>
  <c r="E153" i="4"/>
  <c r="E153" i="7" s="1"/>
  <c r="D153" i="4"/>
  <c r="C153" i="4"/>
  <c r="B153" i="4"/>
  <c r="H152" i="4"/>
  <c r="H152" i="7" s="1"/>
  <c r="G152" i="4"/>
  <c r="F152" i="4"/>
  <c r="E152" i="4"/>
  <c r="D152" i="4"/>
  <c r="D152" i="7" s="1"/>
  <c r="C152" i="4"/>
  <c r="B152" i="4"/>
  <c r="H151" i="4"/>
  <c r="G151" i="4"/>
  <c r="G151" i="7" s="1"/>
  <c r="F151" i="4"/>
  <c r="E151" i="4"/>
  <c r="D151" i="4"/>
  <c r="C151" i="4"/>
  <c r="C151" i="7" s="1"/>
  <c r="B151" i="4"/>
  <c r="H150" i="4"/>
  <c r="G150" i="4"/>
  <c r="F150" i="4"/>
  <c r="F150" i="7" s="1"/>
  <c r="E150" i="4"/>
  <c r="D150" i="4"/>
  <c r="C150" i="4"/>
  <c r="B150" i="4"/>
  <c r="B150" i="7" s="1"/>
  <c r="H149" i="4"/>
  <c r="G149" i="4"/>
  <c r="F149" i="4"/>
  <c r="E149" i="4"/>
  <c r="E149" i="7" s="1"/>
  <c r="D149" i="4"/>
  <c r="C149" i="4"/>
  <c r="B149" i="4"/>
  <c r="H148" i="4"/>
  <c r="H148" i="7" s="1"/>
  <c r="G148" i="4"/>
  <c r="F148" i="4"/>
  <c r="E148" i="4"/>
  <c r="D148" i="4"/>
  <c r="D148" i="7" s="1"/>
  <c r="C148" i="4"/>
  <c r="B148" i="4"/>
  <c r="H147" i="4"/>
  <c r="G147" i="4"/>
  <c r="G147" i="7" s="1"/>
  <c r="F147" i="4"/>
  <c r="E147" i="4"/>
  <c r="D147" i="4"/>
  <c r="C147" i="4"/>
  <c r="C147" i="7" s="1"/>
  <c r="B147" i="4"/>
  <c r="H146" i="4"/>
  <c r="G146" i="4"/>
  <c r="F146" i="4"/>
  <c r="F146" i="7" s="1"/>
  <c r="E146" i="4"/>
  <c r="D146" i="4"/>
  <c r="C146" i="4"/>
  <c r="B146" i="4"/>
  <c r="B146" i="7" s="1"/>
  <c r="H145" i="4"/>
  <c r="G145" i="4"/>
  <c r="F145" i="4"/>
  <c r="E145" i="4"/>
  <c r="E145" i="7" s="1"/>
  <c r="D145" i="4"/>
  <c r="C145" i="4"/>
  <c r="B145" i="4"/>
  <c r="H144" i="4"/>
  <c r="H144" i="7" s="1"/>
  <c r="G144" i="4"/>
  <c r="F144" i="4"/>
  <c r="E144" i="4"/>
  <c r="D144" i="4"/>
  <c r="D144" i="7" s="1"/>
  <c r="C144" i="4"/>
  <c r="B144" i="4"/>
  <c r="H143" i="4"/>
  <c r="G143" i="4"/>
  <c r="G143" i="7" s="1"/>
  <c r="F143" i="4"/>
  <c r="E143" i="4"/>
  <c r="D143" i="4"/>
  <c r="C143" i="4"/>
  <c r="C143" i="7" s="1"/>
  <c r="B143" i="4"/>
  <c r="H142" i="4"/>
  <c r="G142" i="4"/>
  <c r="F142" i="4"/>
  <c r="F142" i="7" s="1"/>
  <c r="E142" i="4"/>
  <c r="D142" i="4"/>
  <c r="C142" i="4"/>
  <c r="B142" i="4"/>
  <c r="B142" i="7" s="1"/>
  <c r="H141" i="4"/>
  <c r="G141" i="4"/>
  <c r="F141" i="4"/>
  <c r="E141" i="4"/>
  <c r="E141" i="7" s="1"/>
  <c r="D141" i="4"/>
  <c r="C141" i="4"/>
  <c r="B141" i="4"/>
  <c r="H140" i="4"/>
  <c r="H140" i="7" s="1"/>
  <c r="G140" i="4"/>
  <c r="F140" i="4"/>
  <c r="E140" i="4"/>
  <c r="D140" i="4"/>
  <c r="D140" i="7" s="1"/>
  <c r="C140" i="4"/>
  <c r="B140" i="4"/>
  <c r="H139" i="4"/>
  <c r="G139" i="4"/>
  <c r="G139" i="7" s="1"/>
  <c r="F139" i="4"/>
  <c r="E139" i="4"/>
  <c r="D139" i="4"/>
  <c r="C139" i="4"/>
  <c r="C139" i="7" s="1"/>
  <c r="B139" i="4"/>
  <c r="H138" i="4"/>
  <c r="G138" i="4"/>
  <c r="F138" i="4"/>
  <c r="F138" i="7" s="1"/>
  <c r="E138" i="4"/>
  <c r="D138" i="4"/>
  <c r="C138" i="4"/>
  <c r="B138" i="4"/>
  <c r="B138" i="7" s="1"/>
  <c r="H137" i="4"/>
  <c r="G137" i="4"/>
  <c r="F137" i="4"/>
  <c r="E137" i="4"/>
  <c r="E137" i="7" s="1"/>
  <c r="D137" i="4"/>
  <c r="C137" i="4"/>
  <c r="B137" i="4"/>
  <c r="H136" i="4"/>
  <c r="H136" i="7" s="1"/>
  <c r="G136" i="4"/>
  <c r="F136" i="4"/>
  <c r="E136" i="4"/>
  <c r="D136" i="4"/>
  <c r="D136" i="7" s="1"/>
  <c r="C136" i="4"/>
  <c r="B136" i="4"/>
  <c r="H135" i="4"/>
  <c r="G135" i="4"/>
  <c r="G135" i="7" s="1"/>
  <c r="F135" i="4"/>
  <c r="E135" i="4"/>
  <c r="D135" i="4"/>
  <c r="C135" i="4"/>
  <c r="C135" i="7" s="1"/>
  <c r="B135" i="4"/>
  <c r="H134" i="4"/>
  <c r="G134" i="4"/>
  <c r="F134" i="4"/>
  <c r="F134" i="7" s="1"/>
  <c r="E134" i="4"/>
  <c r="D134" i="4"/>
  <c r="C134" i="4"/>
  <c r="B134" i="4"/>
  <c r="B134" i="7" s="1"/>
  <c r="H133" i="4"/>
  <c r="G133" i="4"/>
  <c r="F133" i="4"/>
  <c r="E133" i="4"/>
  <c r="E133" i="7" s="1"/>
  <c r="D133" i="4"/>
  <c r="C133" i="4"/>
  <c r="B133" i="4"/>
  <c r="H132" i="4"/>
  <c r="H132" i="7" s="1"/>
  <c r="G132" i="4"/>
  <c r="F132" i="4"/>
  <c r="E132" i="4"/>
  <c r="D132" i="4"/>
  <c r="D132" i="7" s="1"/>
  <c r="C132" i="4"/>
  <c r="B132" i="4"/>
  <c r="H131" i="4"/>
  <c r="G131" i="4"/>
  <c r="G131" i="7" s="1"/>
  <c r="F131" i="4"/>
  <c r="E131" i="4"/>
  <c r="D131" i="4"/>
  <c r="C131" i="4"/>
  <c r="C131" i="7" s="1"/>
  <c r="B131" i="4"/>
  <c r="H130" i="4"/>
  <c r="G130" i="4"/>
  <c r="F130" i="4"/>
  <c r="F130" i="7" s="1"/>
  <c r="E130" i="4"/>
  <c r="D130" i="4"/>
  <c r="C130" i="4"/>
  <c r="B130" i="4"/>
  <c r="B130" i="7" s="1"/>
  <c r="H129" i="4"/>
  <c r="G129" i="4"/>
  <c r="F129" i="4"/>
  <c r="E129" i="4"/>
  <c r="E129" i="7" s="1"/>
  <c r="D129" i="4"/>
  <c r="C129" i="4"/>
  <c r="B129" i="4"/>
  <c r="H128" i="4"/>
  <c r="H128" i="7" s="1"/>
  <c r="G128" i="4"/>
  <c r="F128" i="4"/>
  <c r="E128" i="4"/>
  <c r="D128" i="4"/>
  <c r="D128" i="7" s="1"/>
  <c r="C128" i="4"/>
  <c r="B128" i="4"/>
  <c r="H127" i="4"/>
  <c r="G127" i="4"/>
  <c r="G127" i="7" s="1"/>
  <c r="F127" i="4"/>
  <c r="E127" i="4"/>
  <c r="D127" i="4"/>
  <c r="C127" i="4"/>
  <c r="C127" i="7" s="1"/>
  <c r="B127" i="4"/>
  <c r="H126" i="4"/>
  <c r="G126" i="4"/>
  <c r="F126" i="4"/>
  <c r="F126" i="7" s="1"/>
  <c r="E126" i="4"/>
  <c r="D126" i="4"/>
  <c r="C126" i="4"/>
  <c r="B126" i="4"/>
  <c r="B126" i="7" s="1"/>
  <c r="H125" i="4"/>
  <c r="G125" i="4"/>
  <c r="F125" i="4"/>
  <c r="E125" i="4"/>
  <c r="E125" i="7" s="1"/>
  <c r="D125" i="4"/>
  <c r="C125" i="4"/>
  <c r="B125" i="4"/>
  <c r="H124" i="4"/>
  <c r="H124" i="7" s="1"/>
  <c r="G124" i="4"/>
  <c r="F124" i="4"/>
  <c r="E124" i="4"/>
  <c r="D124" i="4"/>
  <c r="D124" i="7" s="1"/>
  <c r="C124" i="4"/>
  <c r="B124" i="4"/>
  <c r="H123" i="4"/>
  <c r="G123" i="4"/>
  <c r="G123" i="7" s="1"/>
  <c r="F123" i="4"/>
  <c r="E123" i="4"/>
  <c r="D123" i="4"/>
  <c r="C123" i="4"/>
  <c r="C123" i="7" s="1"/>
  <c r="B123" i="4"/>
  <c r="H122" i="4"/>
  <c r="G122" i="4"/>
  <c r="F122" i="4"/>
  <c r="F122" i="7" s="1"/>
  <c r="E122" i="4"/>
  <c r="D122" i="4"/>
  <c r="C122" i="4"/>
  <c r="B122" i="4"/>
  <c r="B122" i="7" s="1"/>
  <c r="H121" i="4"/>
  <c r="G121" i="4"/>
  <c r="F121" i="4"/>
  <c r="E121" i="4"/>
  <c r="E121" i="7" s="1"/>
  <c r="D121" i="4"/>
  <c r="C121" i="4"/>
  <c r="B121" i="4"/>
  <c r="H120" i="4"/>
  <c r="H120" i="7" s="1"/>
  <c r="G120" i="4"/>
  <c r="F120" i="4"/>
  <c r="E120" i="4"/>
  <c r="D120" i="4"/>
  <c r="D120" i="7" s="1"/>
  <c r="C120" i="4"/>
  <c r="B120" i="4"/>
  <c r="H119" i="4"/>
  <c r="G119" i="4"/>
  <c r="G119" i="7" s="1"/>
  <c r="F119" i="4"/>
  <c r="E119" i="4"/>
  <c r="D119" i="4"/>
  <c r="C119" i="4"/>
  <c r="C119" i="7" s="1"/>
  <c r="B119" i="4"/>
  <c r="H118" i="4"/>
  <c r="G118" i="4"/>
  <c r="F118" i="4"/>
  <c r="F118" i="7" s="1"/>
  <c r="E118" i="4"/>
  <c r="D118" i="4"/>
  <c r="C118" i="4"/>
  <c r="B118" i="4"/>
  <c r="B118" i="7" s="1"/>
  <c r="H117" i="4"/>
  <c r="G117" i="4"/>
  <c r="F117" i="4"/>
  <c r="E117" i="4"/>
  <c r="E117" i="7" s="1"/>
  <c r="D117" i="4"/>
  <c r="C117" i="4"/>
  <c r="B117" i="4"/>
  <c r="H116" i="4"/>
  <c r="H116" i="7" s="1"/>
  <c r="G116" i="4"/>
  <c r="F116" i="4"/>
  <c r="E116" i="4"/>
  <c r="D116" i="4"/>
  <c r="D116" i="7" s="1"/>
  <c r="C116" i="4"/>
  <c r="B116" i="4"/>
  <c r="H115" i="4"/>
  <c r="G115" i="4"/>
  <c r="G115" i="7" s="1"/>
  <c r="F115" i="4"/>
  <c r="E115" i="4"/>
  <c r="D115" i="4"/>
  <c r="C115" i="4"/>
  <c r="C115" i="7" s="1"/>
  <c r="B115" i="4"/>
  <c r="H114" i="4"/>
  <c r="G114" i="4"/>
  <c r="F114" i="4"/>
  <c r="F114" i="7" s="1"/>
  <c r="E114" i="4"/>
  <c r="D114" i="4"/>
  <c r="C114" i="4"/>
  <c r="B114" i="4"/>
  <c r="B114" i="7" s="1"/>
  <c r="H113" i="4"/>
  <c r="G113" i="4"/>
  <c r="F113" i="4"/>
  <c r="E113" i="4"/>
  <c r="E113" i="7" s="1"/>
  <c r="D113" i="4"/>
  <c r="C113" i="4"/>
  <c r="B113" i="4"/>
  <c r="H112" i="4"/>
  <c r="H112" i="7" s="1"/>
  <c r="G112" i="4"/>
  <c r="F112" i="4"/>
  <c r="E112" i="4"/>
  <c r="D112" i="4"/>
  <c r="D112" i="7" s="1"/>
  <c r="C112" i="4"/>
  <c r="B112" i="4"/>
  <c r="H111" i="4"/>
  <c r="G111" i="4"/>
  <c r="G111" i="7" s="1"/>
  <c r="F111" i="4"/>
  <c r="E111" i="4"/>
  <c r="D111" i="4"/>
  <c r="C111" i="4"/>
  <c r="C111" i="7" s="1"/>
  <c r="B111" i="4"/>
  <c r="H110" i="4"/>
  <c r="G110" i="4"/>
  <c r="F110" i="4"/>
  <c r="F110" i="7" s="1"/>
  <c r="E110" i="4"/>
  <c r="D110" i="4"/>
  <c r="C110" i="4"/>
  <c r="B110" i="4"/>
  <c r="B110" i="7" s="1"/>
  <c r="H109" i="4"/>
  <c r="G109" i="4"/>
  <c r="F109" i="4"/>
  <c r="E109" i="4"/>
  <c r="E109" i="7" s="1"/>
  <c r="D109" i="4"/>
  <c r="C109" i="4"/>
  <c r="B109" i="4"/>
  <c r="H108" i="4"/>
  <c r="H108" i="7" s="1"/>
  <c r="G108" i="4"/>
  <c r="F108" i="4"/>
  <c r="E108" i="4"/>
  <c r="D108" i="4"/>
  <c r="D108" i="7" s="1"/>
  <c r="C108" i="4"/>
  <c r="B108" i="4"/>
  <c r="H107" i="4"/>
  <c r="G107" i="4"/>
  <c r="G107" i="7" s="1"/>
  <c r="F107" i="4"/>
  <c r="E107" i="4"/>
  <c r="D107" i="4"/>
  <c r="C107" i="4"/>
  <c r="C107" i="7" s="1"/>
  <c r="B107" i="4"/>
  <c r="H106" i="4"/>
  <c r="G106" i="4"/>
  <c r="F106" i="4"/>
  <c r="F106" i="7" s="1"/>
  <c r="E106" i="4"/>
  <c r="D106" i="4"/>
  <c r="C106" i="4"/>
  <c r="B106" i="4"/>
  <c r="B106" i="7" s="1"/>
  <c r="H105" i="4"/>
  <c r="G105" i="4"/>
  <c r="F105" i="4"/>
  <c r="E105" i="4"/>
  <c r="E105" i="7" s="1"/>
  <c r="D105" i="4"/>
  <c r="C105" i="4"/>
  <c r="B105" i="4"/>
  <c r="H104" i="4"/>
  <c r="H104" i="7" s="1"/>
  <c r="G104" i="4"/>
  <c r="F104" i="4"/>
  <c r="E104" i="4"/>
  <c r="D104" i="4"/>
  <c r="D104" i="7" s="1"/>
  <c r="C104" i="4"/>
  <c r="B104" i="4"/>
  <c r="H103" i="4"/>
  <c r="G103" i="4"/>
  <c r="G103" i="7" s="1"/>
  <c r="F103" i="4"/>
  <c r="E103" i="4"/>
  <c r="D103" i="4"/>
  <c r="C103" i="4"/>
  <c r="C103" i="7" s="1"/>
  <c r="B103" i="4"/>
  <c r="H102" i="4"/>
  <c r="G102" i="4"/>
  <c r="F102" i="4"/>
  <c r="F102" i="7" s="1"/>
  <c r="E102" i="4"/>
  <c r="D102" i="4"/>
  <c r="C102" i="4"/>
  <c r="B102" i="4"/>
  <c r="B102" i="7" s="1"/>
  <c r="H101" i="4"/>
  <c r="G101" i="4"/>
  <c r="F101" i="4"/>
  <c r="E101" i="4"/>
  <c r="E101" i="7" s="1"/>
  <c r="D101" i="4"/>
  <c r="C101" i="4"/>
  <c r="B101" i="4"/>
  <c r="H100" i="4"/>
  <c r="H100" i="7" s="1"/>
  <c r="G100" i="4"/>
  <c r="F100" i="4"/>
  <c r="E100" i="4"/>
  <c r="D100" i="4"/>
  <c r="D100" i="7" s="1"/>
  <c r="C100" i="4"/>
  <c r="B100" i="4"/>
  <c r="H99" i="4"/>
  <c r="G99" i="4"/>
  <c r="G99" i="7" s="1"/>
  <c r="F99" i="4"/>
  <c r="E99" i="4"/>
  <c r="D99" i="4"/>
  <c r="C99" i="4"/>
  <c r="C99" i="7" s="1"/>
  <c r="B99" i="4"/>
  <c r="H98" i="4"/>
  <c r="G98" i="4"/>
  <c r="F98" i="4"/>
  <c r="F98" i="7" s="1"/>
  <c r="E98" i="4"/>
  <c r="D98" i="4"/>
  <c r="C98" i="4"/>
  <c r="B98" i="4"/>
  <c r="B98" i="7" s="1"/>
  <c r="H97" i="4"/>
  <c r="G97" i="4"/>
  <c r="F97" i="4"/>
  <c r="E97" i="4"/>
  <c r="E97" i="7" s="1"/>
  <c r="D97" i="4"/>
  <c r="C97" i="4"/>
  <c r="B97" i="4"/>
  <c r="H96" i="4"/>
  <c r="H96" i="7" s="1"/>
  <c r="G96" i="4"/>
  <c r="F96" i="4"/>
  <c r="E96" i="4"/>
  <c r="D96" i="4"/>
  <c r="D96" i="7" s="1"/>
  <c r="C96" i="4"/>
  <c r="B96" i="4"/>
  <c r="H95" i="4"/>
  <c r="G95" i="4"/>
  <c r="G95" i="7" s="1"/>
  <c r="F95" i="4"/>
  <c r="E95" i="4"/>
  <c r="D95" i="4"/>
  <c r="C95" i="4"/>
  <c r="C95" i="7" s="1"/>
  <c r="B95" i="4"/>
  <c r="H94" i="4"/>
  <c r="G94" i="4"/>
  <c r="F94" i="4"/>
  <c r="F94" i="7" s="1"/>
  <c r="E94" i="4"/>
  <c r="D94" i="4"/>
  <c r="C94" i="4"/>
  <c r="B94" i="4"/>
  <c r="B94" i="7" s="1"/>
  <c r="H93" i="4"/>
  <c r="G93" i="4"/>
  <c r="F93" i="4"/>
  <c r="E93" i="4"/>
  <c r="E93" i="7" s="1"/>
  <c r="D93" i="4"/>
  <c r="C93" i="4"/>
  <c r="B93" i="4"/>
  <c r="H92" i="4"/>
  <c r="H92" i="7" s="1"/>
  <c r="G92" i="4"/>
  <c r="F92" i="4"/>
  <c r="E92" i="4"/>
  <c r="D92" i="4"/>
  <c r="D92" i="7" s="1"/>
  <c r="C92" i="4"/>
  <c r="B92" i="4"/>
  <c r="H91" i="4"/>
  <c r="G91" i="4"/>
  <c r="G91" i="7" s="1"/>
  <c r="F91" i="4"/>
  <c r="E91" i="4"/>
  <c r="D91" i="4"/>
  <c r="C91" i="4"/>
  <c r="C91" i="7" s="1"/>
  <c r="B91" i="4"/>
  <c r="H90" i="4"/>
  <c r="G90" i="4"/>
  <c r="F90" i="4"/>
  <c r="F90" i="7" s="1"/>
  <c r="E90" i="4"/>
  <c r="D90" i="4"/>
  <c r="C90" i="4"/>
  <c r="B90" i="4"/>
  <c r="B90" i="7" s="1"/>
  <c r="H89" i="4"/>
  <c r="G89" i="4"/>
  <c r="F89" i="4"/>
  <c r="E89" i="4"/>
  <c r="E89" i="7" s="1"/>
  <c r="D89" i="4"/>
  <c r="C89" i="4"/>
  <c r="B89" i="4"/>
  <c r="H88" i="4"/>
  <c r="H88" i="7" s="1"/>
  <c r="G88" i="4"/>
  <c r="F88" i="4"/>
  <c r="E88" i="4"/>
  <c r="D88" i="4"/>
  <c r="D88" i="7" s="1"/>
  <c r="C88" i="4"/>
  <c r="B88" i="4"/>
  <c r="H87" i="4"/>
  <c r="G87" i="4"/>
  <c r="G87" i="7" s="1"/>
  <c r="F87" i="4"/>
  <c r="E87" i="4"/>
  <c r="D87" i="4"/>
  <c r="C87" i="4"/>
  <c r="C87" i="7" s="1"/>
  <c r="B87" i="4"/>
  <c r="H86" i="4"/>
  <c r="G86" i="4"/>
  <c r="F86" i="4"/>
  <c r="F86" i="7" s="1"/>
  <c r="E86" i="4"/>
  <c r="D86" i="4"/>
  <c r="C86" i="4"/>
  <c r="B86" i="4"/>
  <c r="B86" i="7" s="1"/>
  <c r="H85" i="4"/>
  <c r="G85" i="4"/>
  <c r="F85" i="4"/>
  <c r="E85" i="4"/>
  <c r="E85" i="7" s="1"/>
  <c r="D85" i="4"/>
  <c r="C85" i="4"/>
  <c r="B85" i="4"/>
  <c r="H84" i="4"/>
  <c r="H84" i="7" s="1"/>
  <c r="G84" i="4"/>
  <c r="F84" i="4"/>
  <c r="E84" i="4"/>
  <c r="D84" i="4"/>
  <c r="D84" i="7" s="1"/>
  <c r="C84" i="4"/>
  <c r="B84" i="4"/>
  <c r="H83" i="4"/>
  <c r="G83" i="4"/>
  <c r="G83" i="7" s="1"/>
  <c r="F83" i="4"/>
  <c r="E83" i="4"/>
  <c r="D83" i="4"/>
  <c r="C83" i="4"/>
  <c r="C83" i="7" s="1"/>
  <c r="B83" i="4"/>
  <c r="H82" i="4"/>
  <c r="G82" i="4"/>
  <c r="F82" i="4"/>
  <c r="F82" i="7" s="1"/>
  <c r="E82" i="4"/>
  <c r="D82" i="4"/>
  <c r="C82" i="4"/>
  <c r="B82" i="4"/>
  <c r="B82" i="7" s="1"/>
  <c r="H81" i="4"/>
  <c r="G81" i="4"/>
  <c r="F81" i="4"/>
  <c r="E81" i="4"/>
  <c r="E81" i="7" s="1"/>
  <c r="D81" i="4"/>
  <c r="C81" i="4"/>
  <c r="B81" i="4"/>
  <c r="H80" i="4"/>
  <c r="H80" i="7" s="1"/>
  <c r="G80" i="4"/>
  <c r="F80" i="4"/>
  <c r="E80" i="4"/>
  <c r="D80" i="4"/>
  <c r="D80" i="7" s="1"/>
  <c r="C80" i="4"/>
  <c r="B80" i="4"/>
  <c r="H79" i="4"/>
  <c r="G79" i="4"/>
  <c r="G79" i="7" s="1"/>
  <c r="F79" i="4"/>
  <c r="E79" i="4"/>
  <c r="D79" i="4"/>
  <c r="C79" i="4"/>
  <c r="C79" i="7" s="1"/>
  <c r="B79" i="4"/>
  <c r="H78" i="4"/>
  <c r="G78" i="4"/>
  <c r="F78" i="4"/>
  <c r="F78" i="7" s="1"/>
  <c r="E78" i="4"/>
  <c r="D78" i="4"/>
  <c r="C78" i="4"/>
  <c r="B78" i="4"/>
  <c r="B78" i="7" s="1"/>
  <c r="H77" i="4"/>
  <c r="G77" i="4"/>
  <c r="F77" i="4"/>
  <c r="E77" i="4"/>
  <c r="E77" i="7" s="1"/>
  <c r="D77" i="4"/>
  <c r="C77" i="4"/>
  <c r="B77" i="4"/>
  <c r="H76" i="4"/>
  <c r="H76" i="7" s="1"/>
  <c r="G76" i="4"/>
  <c r="F76" i="4"/>
  <c r="E76" i="4"/>
  <c r="D76" i="4"/>
  <c r="D76" i="7" s="1"/>
  <c r="C76" i="4"/>
  <c r="B76" i="4"/>
  <c r="H75" i="4"/>
  <c r="G75" i="4"/>
  <c r="G75" i="7" s="1"/>
  <c r="F75" i="4"/>
  <c r="E75" i="4"/>
  <c r="D75" i="4"/>
  <c r="C75" i="4"/>
  <c r="C75" i="7" s="1"/>
  <c r="B75" i="4"/>
  <c r="H74" i="4"/>
  <c r="G74" i="4"/>
  <c r="F74" i="4"/>
  <c r="F74" i="7" s="1"/>
  <c r="E74" i="4"/>
  <c r="D74" i="4"/>
  <c r="C74" i="4"/>
  <c r="B74" i="4"/>
  <c r="B74" i="7" s="1"/>
  <c r="H73" i="4"/>
  <c r="G73" i="4"/>
  <c r="F73" i="4"/>
  <c r="E73" i="4"/>
  <c r="E73" i="7" s="1"/>
  <c r="D73" i="4"/>
  <c r="C73" i="4"/>
  <c r="B73" i="4"/>
  <c r="H72" i="4"/>
  <c r="H72" i="7" s="1"/>
  <c r="G72" i="4"/>
  <c r="F72" i="4"/>
  <c r="E72" i="4"/>
  <c r="D72" i="4"/>
  <c r="D72" i="7" s="1"/>
  <c r="C72" i="4"/>
  <c r="B72" i="4"/>
  <c r="H71" i="4"/>
  <c r="G71" i="4"/>
  <c r="G71" i="7" s="1"/>
  <c r="F71" i="4"/>
  <c r="E71" i="4"/>
  <c r="D71" i="4"/>
  <c r="C71" i="4"/>
  <c r="C71" i="7" s="1"/>
  <c r="B71" i="4"/>
  <c r="H70" i="4"/>
  <c r="G70" i="4"/>
  <c r="F70" i="4"/>
  <c r="F70" i="7" s="1"/>
  <c r="E70" i="4"/>
  <c r="D70" i="4"/>
  <c r="C70" i="4"/>
  <c r="B70" i="4"/>
  <c r="B70" i="7" s="1"/>
  <c r="H69" i="4"/>
  <c r="G69" i="4"/>
  <c r="F69" i="4"/>
  <c r="E69" i="4"/>
  <c r="E69" i="7" s="1"/>
  <c r="D69" i="4"/>
  <c r="C69" i="4"/>
  <c r="B69" i="4"/>
  <c r="H68" i="4"/>
  <c r="H68" i="7" s="1"/>
  <c r="G68" i="4"/>
  <c r="F68" i="4"/>
  <c r="E68" i="4"/>
  <c r="D68" i="4"/>
  <c r="D68" i="7" s="1"/>
  <c r="C68" i="4"/>
  <c r="B68" i="4"/>
  <c r="H67" i="4"/>
  <c r="G67" i="4"/>
  <c r="G67" i="7" s="1"/>
  <c r="F67" i="4"/>
  <c r="E67" i="4"/>
  <c r="D67" i="4"/>
  <c r="C67" i="4"/>
  <c r="C67" i="7" s="1"/>
  <c r="B67" i="4"/>
  <c r="H66" i="4"/>
  <c r="G66" i="4"/>
  <c r="F66" i="4"/>
  <c r="F66" i="7" s="1"/>
  <c r="E66" i="4"/>
  <c r="D66" i="4"/>
  <c r="C66" i="4"/>
  <c r="B66" i="4"/>
  <c r="B66" i="7" s="1"/>
  <c r="H65" i="4"/>
  <c r="G65" i="4"/>
  <c r="F65" i="4"/>
  <c r="E65" i="4"/>
  <c r="E65" i="7" s="1"/>
  <c r="D65" i="4"/>
  <c r="C65" i="4"/>
  <c r="B65" i="4"/>
  <c r="H64" i="4"/>
  <c r="H64" i="7" s="1"/>
  <c r="G64" i="4"/>
  <c r="F64" i="4"/>
  <c r="E64" i="4"/>
  <c r="D64" i="4"/>
  <c r="D64" i="7" s="1"/>
  <c r="C64" i="4"/>
  <c r="B64" i="4"/>
  <c r="H63" i="4"/>
  <c r="G63" i="4"/>
  <c r="G63" i="7" s="1"/>
  <c r="F63" i="4"/>
  <c r="E63" i="4"/>
  <c r="D63" i="4"/>
  <c r="C63" i="4"/>
  <c r="C63" i="7" s="1"/>
  <c r="B63" i="4"/>
  <c r="H62" i="4"/>
  <c r="G62" i="4"/>
  <c r="F62" i="4"/>
  <c r="F62" i="7" s="1"/>
  <c r="E62" i="4"/>
  <c r="D62" i="4"/>
  <c r="C62" i="4"/>
  <c r="B62" i="4"/>
  <c r="B62" i="7" s="1"/>
  <c r="H61" i="4"/>
  <c r="G61" i="4"/>
  <c r="F61" i="4"/>
  <c r="E61" i="4"/>
  <c r="E61" i="7" s="1"/>
  <c r="D61" i="4"/>
  <c r="C61" i="4"/>
  <c r="B61" i="4"/>
  <c r="H60" i="4"/>
  <c r="H60" i="7" s="1"/>
  <c r="G60" i="4"/>
  <c r="F60" i="4"/>
  <c r="E60" i="4"/>
  <c r="D60" i="4"/>
  <c r="D60" i="7" s="1"/>
  <c r="C60" i="4"/>
  <c r="B60" i="4"/>
  <c r="H59" i="4"/>
  <c r="G59" i="4"/>
  <c r="G59" i="7" s="1"/>
  <c r="F59" i="4"/>
  <c r="E59" i="4"/>
  <c r="D59" i="4"/>
  <c r="C59" i="4"/>
  <c r="C59" i="7" s="1"/>
  <c r="B59" i="4"/>
  <c r="H58" i="4"/>
  <c r="G58" i="4"/>
  <c r="F58" i="4"/>
  <c r="F58" i="7" s="1"/>
  <c r="E58" i="4"/>
  <c r="D58" i="4"/>
  <c r="C58" i="4"/>
  <c r="B58" i="4"/>
  <c r="B58" i="7" s="1"/>
  <c r="H57" i="4"/>
  <c r="G57" i="4"/>
  <c r="F57" i="4"/>
  <c r="E57" i="4"/>
  <c r="E57" i="7" s="1"/>
  <c r="D57" i="4"/>
  <c r="C57" i="4"/>
  <c r="B57" i="4"/>
  <c r="H56" i="4"/>
  <c r="H56" i="7" s="1"/>
  <c r="G56" i="4"/>
  <c r="F56" i="4"/>
  <c r="E56" i="4"/>
  <c r="D56" i="4"/>
  <c r="D56" i="7" s="1"/>
  <c r="C56" i="4"/>
  <c r="B56" i="4"/>
  <c r="H55" i="4"/>
  <c r="G55" i="4"/>
  <c r="G55" i="7" s="1"/>
  <c r="F55" i="4"/>
  <c r="E55" i="4"/>
  <c r="D55" i="4"/>
  <c r="C55" i="4"/>
  <c r="C55" i="7" s="1"/>
  <c r="B55" i="4"/>
  <c r="H54" i="4"/>
  <c r="G54" i="4"/>
  <c r="F54" i="4"/>
  <c r="F54" i="7" s="1"/>
  <c r="E54" i="4"/>
  <c r="D54" i="4"/>
  <c r="C54" i="4"/>
  <c r="B54" i="4"/>
  <c r="B54" i="7" s="1"/>
  <c r="H53" i="4"/>
  <c r="G53" i="4"/>
  <c r="F53" i="4"/>
  <c r="E53" i="4"/>
  <c r="E53" i="7" s="1"/>
  <c r="D53" i="4"/>
  <c r="C53" i="4"/>
  <c r="B53" i="4"/>
  <c r="H52" i="4"/>
  <c r="H52" i="7" s="1"/>
  <c r="G52" i="4"/>
  <c r="F52" i="4"/>
  <c r="E52" i="4"/>
  <c r="D52" i="4"/>
  <c r="D52" i="7" s="1"/>
  <c r="C52" i="4"/>
  <c r="B52" i="4"/>
  <c r="H51" i="4"/>
  <c r="G51" i="4"/>
  <c r="G51" i="7" s="1"/>
  <c r="F51" i="4"/>
  <c r="E51" i="4"/>
  <c r="D51" i="4"/>
  <c r="C51" i="4"/>
  <c r="C51" i="7" s="1"/>
  <c r="B51" i="4"/>
  <c r="H50" i="4"/>
  <c r="G50" i="4"/>
  <c r="F50" i="4"/>
  <c r="F50" i="7" s="1"/>
  <c r="E50" i="4"/>
  <c r="D50" i="4"/>
  <c r="C50" i="4"/>
  <c r="B50" i="4"/>
  <c r="B50" i="7" s="1"/>
  <c r="H49" i="4"/>
  <c r="G49" i="4"/>
  <c r="F49" i="4"/>
  <c r="E49" i="4"/>
  <c r="E49" i="7" s="1"/>
  <c r="D49" i="4"/>
  <c r="C49" i="4"/>
  <c r="B49" i="4"/>
  <c r="H48" i="4"/>
  <c r="H48" i="7" s="1"/>
  <c r="G48" i="4"/>
  <c r="F48" i="4"/>
  <c r="E48" i="4"/>
  <c r="D48" i="4"/>
  <c r="D48" i="7" s="1"/>
  <c r="C48" i="4"/>
  <c r="B48" i="4"/>
  <c r="H47" i="4"/>
  <c r="G47" i="4"/>
  <c r="G47" i="7" s="1"/>
  <c r="F47" i="4"/>
  <c r="E47" i="4"/>
  <c r="D47" i="4"/>
  <c r="C47" i="4"/>
  <c r="C47" i="7" s="1"/>
  <c r="B47" i="4"/>
  <c r="H46" i="4"/>
  <c r="G46" i="4"/>
  <c r="F46" i="4"/>
  <c r="F46" i="7" s="1"/>
  <c r="E46" i="4"/>
  <c r="D46" i="4"/>
  <c r="C46" i="4"/>
  <c r="B46" i="4"/>
  <c r="B46" i="7" s="1"/>
  <c r="H45" i="4"/>
  <c r="G45" i="4"/>
  <c r="F45" i="4"/>
  <c r="E45" i="4"/>
  <c r="E45" i="7" s="1"/>
  <c r="D45" i="4"/>
  <c r="C45" i="4"/>
  <c r="B45" i="4"/>
  <c r="H44" i="4"/>
  <c r="H44" i="7" s="1"/>
  <c r="G44" i="4"/>
  <c r="F44" i="4"/>
  <c r="E44" i="4"/>
  <c r="D44" i="4"/>
  <c r="D44" i="7" s="1"/>
  <c r="C44" i="4"/>
  <c r="B44" i="4"/>
  <c r="H43" i="4"/>
  <c r="G43" i="4"/>
  <c r="G43" i="7" s="1"/>
  <c r="F43" i="4"/>
  <c r="E43" i="4"/>
  <c r="D43" i="4"/>
  <c r="C43" i="4"/>
  <c r="C43" i="7" s="1"/>
  <c r="B43" i="4"/>
  <c r="H42" i="4"/>
  <c r="G42" i="4"/>
  <c r="F42" i="4"/>
  <c r="F42" i="7" s="1"/>
  <c r="E42" i="4"/>
  <c r="D42" i="4"/>
  <c r="C42" i="4"/>
  <c r="B42" i="4"/>
  <c r="B42" i="7" s="1"/>
  <c r="H41" i="4"/>
  <c r="G41" i="4"/>
  <c r="F41" i="4"/>
  <c r="E41" i="4"/>
  <c r="E41" i="7" s="1"/>
  <c r="D41" i="4"/>
  <c r="C41" i="4"/>
  <c r="B41" i="4"/>
  <c r="H40" i="4"/>
  <c r="H40" i="7" s="1"/>
  <c r="G40" i="4"/>
  <c r="F40" i="4"/>
  <c r="E40" i="4"/>
  <c r="D40" i="4"/>
  <c r="D40" i="7" s="1"/>
  <c r="C40" i="4"/>
  <c r="B40" i="4"/>
  <c r="H39" i="4"/>
  <c r="G39" i="4"/>
  <c r="G39" i="7" s="1"/>
  <c r="F39" i="4"/>
  <c r="E39" i="4"/>
  <c r="D39" i="4"/>
  <c r="C39" i="4"/>
  <c r="C39" i="7" s="1"/>
  <c r="B39" i="4"/>
  <c r="H38" i="4"/>
  <c r="G38" i="4"/>
  <c r="F38" i="4"/>
  <c r="F38" i="7" s="1"/>
  <c r="E38" i="4"/>
  <c r="D38" i="4"/>
  <c r="C38" i="4"/>
  <c r="B38" i="4"/>
  <c r="B38" i="7" s="1"/>
  <c r="H37" i="4"/>
  <c r="G37" i="4"/>
  <c r="F37" i="4"/>
  <c r="E37" i="4"/>
  <c r="E37" i="7" s="1"/>
  <c r="D37" i="4"/>
  <c r="C37" i="4"/>
  <c r="B37" i="4"/>
  <c r="H36" i="4"/>
  <c r="H36" i="7" s="1"/>
  <c r="G36" i="4"/>
  <c r="F36" i="4"/>
  <c r="E36" i="4"/>
  <c r="D36" i="4"/>
  <c r="D36" i="7" s="1"/>
  <c r="C36" i="4"/>
  <c r="B36" i="4"/>
  <c r="H35" i="4"/>
  <c r="G35" i="4"/>
  <c r="G35" i="7" s="1"/>
  <c r="F35" i="4"/>
  <c r="E35" i="4"/>
  <c r="D35" i="4"/>
  <c r="C35" i="4"/>
  <c r="C35" i="7" s="1"/>
  <c r="B35" i="4"/>
  <c r="H34" i="4"/>
  <c r="G34" i="4"/>
  <c r="F34" i="4"/>
  <c r="F34" i="7" s="1"/>
  <c r="E34" i="4"/>
  <c r="D34" i="4"/>
  <c r="C34" i="4"/>
  <c r="B34" i="4"/>
  <c r="B34" i="7" s="1"/>
  <c r="H33" i="4"/>
  <c r="G33" i="4"/>
  <c r="F33" i="4"/>
  <c r="E33" i="4"/>
  <c r="E33" i="7" s="1"/>
  <c r="D33" i="4"/>
  <c r="C33" i="4"/>
  <c r="B33" i="4"/>
  <c r="H32" i="4"/>
  <c r="H32" i="7" s="1"/>
  <c r="G32" i="4"/>
  <c r="F32" i="4"/>
  <c r="E32" i="4"/>
  <c r="D32" i="4"/>
  <c r="D32" i="7" s="1"/>
  <c r="C32" i="4"/>
  <c r="B32" i="4"/>
  <c r="H31" i="4"/>
  <c r="G31" i="4"/>
  <c r="G31" i="7" s="1"/>
  <c r="F31" i="4"/>
  <c r="E31" i="4"/>
  <c r="D31" i="4"/>
  <c r="C31" i="4"/>
  <c r="C31" i="7" s="1"/>
  <c r="B31" i="4"/>
  <c r="H30" i="4"/>
  <c r="G30" i="4"/>
  <c r="F30" i="4"/>
  <c r="F30" i="7" s="1"/>
  <c r="E30" i="4"/>
  <c r="D30" i="4"/>
  <c r="C30" i="4"/>
  <c r="B30" i="4"/>
  <c r="B30" i="7" s="1"/>
  <c r="H29" i="4"/>
  <c r="G29" i="4"/>
  <c r="F29" i="4"/>
  <c r="E29" i="4"/>
  <c r="E29" i="7" s="1"/>
  <c r="D29" i="4"/>
  <c r="C29" i="4"/>
  <c r="B29" i="4"/>
  <c r="H28" i="4"/>
  <c r="H28" i="7" s="1"/>
  <c r="G28" i="4"/>
  <c r="F28" i="4"/>
  <c r="E28" i="4"/>
  <c r="D28" i="4"/>
  <c r="D28" i="7" s="1"/>
  <c r="C28" i="4"/>
  <c r="B28" i="4"/>
  <c r="H27" i="4"/>
  <c r="G27" i="4"/>
  <c r="G27" i="7" s="1"/>
  <c r="F27" i="4"/>
  <c r="E27" i="4"/>
  <c r="D27" i="4"/>
  <c r="C27" i="4"/>
  <c r="C27" i="7" s="1"/>
  <c r="B27" i="4"/>
  <c r="H26" i="4"/>
  <c r="G26" i="4"/>
  <c r="F26" i="4"/>
  <c r="F26" i="7" s="1"/>
  <c r="E26" i="4"/>
  <c r="D26" i="4"/>
  <c r="C26" i="4"/>
  <c r="B26" i="4"/>
  <c r="B26" i="7" s="1"/>
  <c r="H25" i="4"/>
  <c r="G25" i="4"/>
  <c r="F25" i="4"/>
  <c r="E25" i="4"/>
  <c r="E25" i="7" s="1"/>
  <c r="D25" i="4"/>
  <c r="C25" i="4"/>
  <c r="B25" i="4"/>
  <c r="H24" i="4"/>
  <c r="H24" i="7" s="1"/>
  <c r="G24" i="4"/>
  <c r="F24" i="4"/>
  <c r="E24" i="4"/>
  <c r="D24" i="4"/>
  <c r="D24" i="7" s="1"/>
  <c r="C24" i="4"/>
  <c r="B24" i="4"/>
  <c r="H23" i="4"/>
  <c r="G23" i="4"/>
  <c r="G23" i="7" s="1"/>
  <c r="F23" i="4"/>
  <c r="E23" i="4"/>
  <c r="D23" i="4"/>
  <c r="C23" i="4"/>
  <c r="C23" i="7" s="1"/>
  <c r="B23" i="4"/>
  <c r="H22" i="4"/>
  <c r="G22" i="4"/>
  <c r="F22" i="4"/>
  <c r="F22" i="7" s="1"/>
  <c r="E22" i="4"/>
  <c r="D22" i="4"/>
  <c r="C22" i="4"/>
  <c r="B22" i="4"/>
  <c r="B22" i="7" s="1"/>
  <c r="H21" i="4"/>
  <c r="G21" i="4"/>
  <c r="F21" i="4"/>
  <c r="E21" i="4"/>
  <c r="E21" i="7" s="1"/>
  <c r="D21" i="4"/>
  <c r="C21" i="4"/>
  <c r="B21" i="4"/>
  <c r="H20" i="4"/>
  <c r="H20" i="7" s="1"/>
  <c r="G20" i="4"/>
  <c r="F20" i="4"/>
  <c r="E20" i="4"/>
  <c r="D20" i="4"/>
  <c r="D20" i="7" s="1"/>
  <c r="C20" i="4"/>
  <c r="B20" i="4"/>
  <c r="H19" i="4"/>
  <c r="G19" i="4"/>
  <c r="G19" i="7" s="1"/>
  <c r="F19" i="4"/>
  <c r="E19" i="4"/>
  <c r="D19" i="4"/>
  <c r="C19" i="4"/>
  <c r="C19" i="7" s="1"/>
  <c r="B19" i="4"/>
  <c r="H18" i="4"/>
  <c r="G18" i="4"/>
  <c r="F18" i="4"/>
  <c r="F18" i="7" s="1"/>
  <c r="E18" i="4"/>
  <c r="D18" i="4"/>
  <c r="C18" i="4"/>
  <c r="B18" i="4"/>
  <c r="B18" i="7" s="1"/>
  <c r="H17" i="4"/>
  <c r="G17" i="4"/>
  <c r="F17" i="4"/>
  <c r="E17" i="4"/>
  <c r="E17" i="7" s="1"/>
  <c r="D17" i="4"/>
  <c r="C17" i="4"/>
  <c r="B17" i="4"/>
  <c r="H16" i="4"/>
  <c r="H16" i="7" s="1"/>
  <c r="G16" i="4"/>
  <c r="F16" i="4"/>
  <c r="E16" i="4"/>
  <c r="D16" i="4"/>
  <c r="D16" i="7" s="1"/>
  <c r="C16" i="4"/>
  <c r="B16" i="4"/>
  <c r="H15" i="4"/>
  <c r="G15" i="4"/>
  <c r="G15" i="7" s="1"/>
  <c r="F15" i="4"/>
  <c r="E15" i="4"/>
  <c r="D15" i="4"/>
  <c r="C15" i="4"/>
  <c r="C15" i="7" s="1"/>
  <c r="B15" i="4"/>
  <c r="H14" i="4"/>
  <c r="G14" i="4"/>
  <c r="F14" i="4"/>
  <c r="F14" i="7" s="1"/>
  <c r="E14" i="4"/>
  <c r="D14" i="4"/>
  <c r="C14" i="4"/>
  <c r="B14" i="4"/>
  <c r="B14" i="7" s="1"/>
  <c r="H13" i="4"/>
  <c r="G13" i="4"/>
  <c r="F13" i="4"/>
  <c r="E13" i="4"/>
  <c r="E13" i="7" s="1"/>
  <c r="D13" i="4"/>
  <c r="C13" i="4"/>
  <c r="B13" i="4"/>
  <c r="H12" i="4"/>
  <c r="H12" i="7" s="1"/>
  <c r="G12" i="4"/>
  <c r="F12" i="4"/>
  <c r="E12" i="4"/>
  <c r="D12" i="4"/>
  <c r="D12" i="7" s="1"/>
  <c r="C12" i="4"/>
  <c r="B12" i="4"/>
  <c r="H11" i="4"/>
  <c r="G11" i="4"/>
  <c r="G11" i="7" s="1"/>
  <c r="F11" i="4"/>
  <c r="E11" i="4"/>
  <c r="D11" i="4"/>
  <c r="C11" i="4"/>
  <c r="C11" i="7" s="1"/>
  <c r="B11" i="4"/>
  <c r="H10" i="4"/>
  <c r="G10" i="4"/>
  <c r="F10" i="4"/>
  <c r="F10" i="7" s="1"/>
  <c r="E10" i="4"/>
  <c r="D10" i="4"/>
  <c r="C10" i="4"/>
  <c r="B10" i="4"/>
  <c r="B10" i="7" s="1"/>
  <c r="H9" i="4"/>
  <c r="G9" i="4"/>
  <c r="F9" i="4"/>
  <c r="E9" i="4"/>
  <c r="E9" i="7" s="1"/>
  <c r="D9" i="4"/>
  <c r="C9" i="4"/>
  <c r="B9" i="4"/>
  <c r="H8" i="4"/>
  <c r="H8" i="7" s="1"/>
  <c r="G8" i="4"/>
  <c r="F8" i="4"/>
  <c r="E8" i="4"/>
  <c r="D8" i="4"/>
  <c r="D8" i="7" s="1"/>
  <c r="C8" i="4"/>
  <c r="B8" i="4"/>
  <c r="H7" i="4"/>
  <c r="G7" i="4"/>
  <c r="G7" i="7" s="1"/>
  <c r="F7" i="4"/>
  <c r="E7" i="4"/>
  <c r="D7" i="4"/>
  <c r="C7" i="4"/>
  <c r="C7" i="7" s="1"/>
  <c r="B7" i="4"/>
  <c r="H6" i="4"/>
  <c r="G6" i="4"/>
  <c r="F6" i="4"/>
  <c r="F6" i="7" s="1"/>
  <c r="E6" i="4"/>
  <c r="D6" i="4"/>
  <c r="C6" i="4"/>
  <c r="B6" i="4"/>
  <c r="B6" i="7" s="1"/>
  <c r="H5" i="4"/>
  <c r="G5" i="4"/>
  <c r="F5" i="4"/>
  <c r="E5" i="4"/>
  <c r="E5" i="7" s="1"/>
  <c r="D5" i="4"/>
  <c r="C5" i="4"/>
  <c r="B5" i="4"/>
  <c r="H4" i="4"/>
  <c r="H4" i="7" s="1"/>
  <c r="G4" i="4"/>
  <c r="F4" i="4"/>
  <c r="E4" i="4"/>
  <c r="D4" i="4"/>
  <c r="D4" i="7" s="1"/>
  <c r="C4" i="4"/>
  <c r="B4" i="4"/>
  <c r="H3" i="4"/>
  <c r="G3" i="4"/>
  <c r="G3" i="7" s="1"/>
  <c r="F3" i="4"/>
  <c r="E3" i="4"/>
  <c r="D3" i="4"/>
  <c r="C3" i="4"/>
  <c r="C3" i="7" s="1"/>
  <c r="B3" i="4"/>
  <c r="H2" i="4"/>
  <c r="G2" i="4"/>
  <c r="F2" i="4"/>
  <c r="E2" i="4"/>
  <c r="D2" i="4"/>
  <c r="C2" i="4"/>
  <c r="B2" i="4"/>
  <c r="B18" i="1" s="1"/>
  <c r="A10" i="3"/>
  <c r="F9" i="3"/>
  <c r="C9" i="3"/>
  <c r="B9" i="3"/>
  <c r="A9" i="3"/>
  <c r="A8" i="3"/>
  <c r="D8" i="3" s="1"/>
  <c r="C8" i="2" s="1"/>
  <c r="F7" i="3"/>
  <c r="C7" i="3"/>
  <c r="B7" i="3"/>
  <c r="A7" i="3"/>
  <c r="A6" i="3"/>
  <c r="D6" i="3" s="1"/>
  <c r="C6" i="2" s="1"/>
  <c r="F5" i="3"/>
  <c r="C5" i="3"/>
  <c r="B5" i="3"/>
  <c r="A5" i="3"/>
  <c r="A4" i="3"/>
  <c r="D4" i="3" s="1"/>
  <c r="C4" i="2" s="1"/>
  <c r="A10" i="2"/>
  <c r="A9" i="2"/>
  <c r="A8" i="2"/>
  <c r="A7" i="2"/>
  <c r="A6" i="2"/>
  <c r="A5" i="2"/>
  <c r="A4" i="2"/>
  <c r="B14" i="1"/>
  <c r="B12" i="1"/>
  <c r="F10" i="3" s="1"/>
  <c r="B8" i="1"/>
  <c r="B6" i="1"/>
  <c r="B13" i="1" s="1"/>
  <c r="B5" i="1"/>
  <c r="H66" i="6" l="1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H41" i="6"/>
  <c r="D41" i="6"/>
  <c r="H40" i="6"/>
  <c r="D40" i="6"/>
  <c r="H39" i="6"/>
  <c r="D39" i="6"/>
  <c r="H38" i="6"/>
  <c r="D38" i="6"/>
  <c r="H37" i="6"/>
  <c r="D37" i="6"/>
  <c r="H36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C23" i="6"/>
  <c r="G22" i="6"/>
  <c r="C22" i="6"/>
  <c r="G21" i="6"/>
  <c r="C21" i="6"/>
  <c r="G20" i="6"/>
  <c r="C20" i="6"/>
  <c r="G19" i="6"/>
  <c r="C19" i="6"/>
  <c r="G18" i="6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H35" i="6"/>
  <c r="B35" i="6"/>
  <c r="E34" i="6"/>
  <c r="H33" i="6"/>
  <c r="B33" i="6"/>
  <c r="E32" i="6"/>
  <c r="H31" i="6"/>
  <c r="B31" i="6"/>
  <c r="E30" i="6"/>
  <c r="H29" i="6"/>
  <c r="B29" i="6"/>
  <c r="E28" i="6"/>
  <c r="H27" i="6"/>
  <c r="B27" i="6"/>
  <c r="E26" i="6"/>
  <c r="H25" i="6"/>
  <c r="B25" i="6"/>
  <c r="E24" i="6"/>
  <c r="H23" i="6"/>
  <c r="B23" i="6"/>
  <c r="E22" i="6"/>
  <c r="H21" i="6"/>
  <c r="B21" i="6"/>
  <c r="E20" i="6"/>
  <c r="H19" i="6"/>
  <c r="B19" i="6"/>
  <c r="E18" i="6"/>
  <c r="H17" i="6"/>
  <c r="B17" i="6"/>
  <c r="E16" i="6"/>
  <c r="H15" i="6"/>
  <c r="B15" i="6"/>
  <c r="E14" i="6"/>
  <c r="H13" i="6"/>
  <c r="B13" i="6"/>
  <c r="E12" i="6"/>
  <c r="H11" i="6"/>
  <c r="B11" i="6"/>
  <c r="E10" i="6"/>
  <c r="H9" i="6"/>
  <c r="B9" i="6"/>
  <c r="E8" i="6"/>
  <c r="H7" i="6"/>
  <c r="B7" i="6"/>
  <c r="F6" i="6"/>
  <c r="B6" i="6"/>
  <c r="F5" i="6"/>
  <c r="B5" i="6"/>
  <c r="F4" i="6"/>
  <c r="B4" i="6"/>
  <c r="F3" i="6"/>
  <c r="B3" i="6"/>
  <c r="F2" i="6"/>
  <c r="B2" i="6"/>
  <c r="F66" i="5"/>
  <c r="B66" i="5"/>
  <c r="F65" i="5"/>
  <c r="B65" i="5"/>
  <c r="F64" i="5"/>
  <c r="B64" i="5"/>
  <c r="F63" i="5"/>
  <c r="B63" i="5"/>
  <c r="F62" i="5"/>
  <c r="B62" i="5"/>
  <c r="F61" i="5"/>
  <c r="B61" i="5"/>
  <c r="F60" i="5"/>
  <c r="B60" i="5"/>
  <c r="F59" i="5"/>
  <c r="B59" i="5"/>
  <c r="F58" i="5"/>
  <c r="B58" i="5"/>
  <c r="F57" i="5"/>
  <c r="B57" i="5"/>
  <c r="F56" i="5"/>
  <c r="B56" i="5"/>
  <c r="F55" i="5"/>
  <c r="B55" i="5"/>
  <c r="F54" i="5"/>
  <c r="B54" i="5"/>
  <c r="F53" i="5"/>
  <c r="B53" i="5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B6" i="5"/>
  <c r="F5" i="5"/>
  <c r="B5" i="5"/>
  <c r="F4" i="5"/>
  <c r="B4" i="5"/>
  <c r="F3" i="5"/>
  <c r="B3" i="5"/>
  <c r="F2" i="5"/>
  <c r="B2" i="5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D36" i="6"/>
  <c r="F35" i="6"/>
  <c r="D34" i="6"/>
  <c r="F33" i="6"/>
  <c r="D32" i="6"/>
  <c r="F31" i="6"/>
  <c r="D30" i="6"/>
  <c r="F29" i="6"/>
  <c r="D28" i="6"/>
  <c r="F27" i="6"/>
  <c r="D26" i="6"/>
  <c r="F25" i="6"/>
  <c r="D24" i="6"/>
  <c r="F23" i="6"/>
  <c r="D22" i="6"/>
  <c r="F21" i="6"/>
  <c r="D20" i="6"/>
  <c r="F19" i="6"/>
  <c r="D18" i="6"/>
  <c r="F17" i="6"/>
  <c r="D16" i="6"/>
  <c r="F15" i="6"/>
  <c r="D14" i="6"/>
  <c r="F13" i="6"/>
  <c r="D12" i="6"/>
  <c r="F11" i="6"/>
  <c r="D10" i="6"/>
  <c r="F9" i="6"/>
  <c r="D8" i="6"/>
  <c r="F7" i="6"/>
  <c r="E6" i="6"/>
  <c r="E5" i="6"/>
  <c r="E4" i="6"/>
  <c r="E3" i="6"/>
  <c r="E2" i="6"/>
  <c r="E66" i="5"/>
  <c r="A66" i="5"/>
  <c r="E65" i="5"/>
  <c r="A65" i="5"/>
  <c r="E64" i="5"/>
  <c r="A64" i="5"/>
  <c r="E63" i="5"/>
  <c r="A63" i="5"/>
  <c r="E62" i="5"/>
  <c r="A62" i="5"/>
  <c r="E61" i="5"/>
  <c r="A61" i="5"/>
  <c r="E60" i="5"/>
  <c r="A60" i="5"/>
  <c r="E59" i="5"/>
  <c r="A59" i="5"/>
  <c r="E58" i="5"/>
  <c r="A58" i="5"/>
  <c r="E57" i="5"/>
  <c r="A57" i="5"/>
  <c r="E56" i="5"/>
  <c r="A56" i="5"/>
  <c r="E55" i="5"/>
  <c r="A55" i="5"/>
  <c r="E54" i="5"/>
  <c r="A54" i="5"/>
  <c r="E53" i="5"/>
  <c r="A53" i="5"/>
  <c r="E52" i="5"/>
  <c r="A52" i="5"/>
  <c r="E51" i="5"/>
  <c r="A51" i="5"/>
  <c r="E50" i="5"/>
  <c r="A50" i="5"/>
  <c r="E49" i="5"/>
  <c r="A49" i="5"/>
  <c r="E48" i="5"/>
  <c r="A48" i="5"/>
  <c r="E47" i="5"/>
  <c r="A47" i="5"/>
  <c r="E46" i="5"/>
  <c r="A46" i="5"/>
  <c r="E45" i="5"/>
  <c r="A45" i="5"/>
  <c r="E44" i="5"/>
  <c r="A44" i="5"/>
  <c r="E43" i="5"/>
  <c r="A43" i="5"/>
  <c r="E42" i="5"/>
  <c r="A42" i="5"/>
  <c r="E41" i="5"/>
  <c r="A41" i="5"/>
  <c r="E40" i="5"/>
  <c r="A40" i="5"/>
  <c r="E39" i="5"/>
  <c r="A39" i="5"/>
  <c r="E38" i="5"/>
  <c r="A38" i="5"/>
  <c r="E37" i="5"/>
  <c r="A37" i="5"/>
  <c r="E36" i="5"/>
  <c r="A36" i="5"/>
  <c r="E35" i="5"/>
  <c r="A35" i="5"/>
  <c r="E34" i="5"/>
  <c r="A34" i="5"/>
  <c r="E33" i="5"/>
  <c r="A33" i="5"/>
  <c r="E32" i="5"/>
  <c r="A32" i="5"/>
  <c r="E31" i="5"/>
  <c r="A31" i="5"/>
  <c r="E30" i="5"/>
  <c r="A30" i="5"/>
  <c r="E29" i="5"/>
  <c r="A29" i="5"/>
  <c r="E28" i="5"/>
  <c r="A28" i="5"/>
  <c r="E27" i="5"/>
  <c r="A27" i="5"/>
  <c r="E26" i="5"/>
  <c r="A26" i="5"/>
  <c r="E25" i="5"/>
  <c r="A25" i="5"/>
  <c r="E24" i="5"/>
  <c r="A24" i="5"/>
  <c r="E23" i="5"/>
  <c r="A23" i="5"/>
  <c r="E22" i="5"/>
  <c r="A22" i="5"/>
  <c r="E21" i="5"/>
  <c r="A21" i="5"/>
  <c r="E20" i="5"/>
  <c r="A20" i="5"/>
  <c r="E19" i="5"/>
  <c r="A19" i="5"/>
  <c r="E18" i="5"/>
  <c r="A18" i="5"/>
  <c r="E17" i="5"/>
  <c r="A17" i="5"/>
  <c r="E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E4" i="5"/>
  <c r="A4" i="5"/>
  <c r="E3" i="5"/>
  <c r="A3" i="5"/>
  <c r="E2" i="5"/>
  <c r="A44" i="6"/>
  <c r="B36" i="6"/>
  <c r="E35" i="6"/>
  <c r="H34" i="6"/>
  <c r="B34" i="6"/>
  <c r="E33" i="6"/>
  <c r="H32" i="6"/>
  <c r="B32" i="6"/>
  <c r="E31" i="6"/>
  <c r="H30" i="6"/>
  <c r="B30" i="6"/>
  <c r="E29" i="6"/>
  <c r="H28" i="6"/>
  <c r="B28" i="6"/>
  <c r="E27" i="6"/>
  <c r="H26" i="6"/>
  <c r="B26" i="6"/>
  <c r="E25" i="6"/>
  <c r="H24" i="6"/>
  <c r="B24" i="6"/>
  <c r="E23" i="6"/>
  <c r="H22" i="6"/>
  <c r="B22" i="6"/>
  <c r="E21" i="6"/>
  <c r="H20" i="6"/>
  <c r="B20" i="6"/>
  <c r="E19" i="6"/>
  <c r="H18" i="6"/>
  <c r="B18" i="6"/>
  <c r="E17" i="6"/>
  <c r="H16" i="6"/>
  <c r="B16" i="6"/>
  <c r="E15" i="6"/>
  <c r="H14" i="6"/>
  <c r="B14" i="6"/>
  <c r="E13" i="6"/>
  <c r="H12" i="6"/>
  <c r="B12" i="6"/>
  <c r="E11" i="6"/>
  <c r="H10" i="6"/>
  <c r="B10" i="6"/>
  <c r="E9" i="6"/>
  <c r="H8" i="6"/>
  <c r="B8" i="6"/>
  <c r="E7" i="6"/>
  <c r="H6" i="6"/>
  <c r="D6" i="6"/>
  <c r="H5" i="6"/>
  <c r="D5" i="6"/>
  <c r="H4" i="6"/>
  <c r="D4" i="6"/>
  <c r="H3" i="6"/>
  <c r="D3" i="6"/>
  <c r="H2" i="6"/>
  <c r="D2" i="6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H7" i="5"/>
  <c r="D7" i="5"/>
  <c r="H6" i="5"/>
  <c r="D6" i="5"/>
  <c r="H5" i="5"/>
  <c r="D5" i="5"/>
  <c r="H4" i="5"/>
  <c r="D4" i="5"/>
  <c r="H3" i="5"/>
  <c r="D3" i="5"/>
  <c r="H2" i="5"/>
  <c r="D2" i="5"/>
  <c r="F64" i="6"/>
  <c r="F60" i="6"/>
  <c r="F56" i="6"/>
  <c r="F52" i="6"/>
  <c r="F48" i="6"/>
  <c r="F44" i="6"/>
  <c r="F40" i="6"/>
  <c r="F36" i="6"/>
  <c r="D31" i="6"/>
  <c r="F28" i="6"/>
  <c r="D23" i="6"/>
  <c r="F20" i="6"/>
  <c r="D15" i="6"/>
  <c r="F12" i="6"/>
  <c r="D7" i="6"/>
  <c r="C5" i="6"/>
  <c r="C3" i="6"/>
  <c r="C66" i="5"/>
  <c r="C64" i="5"/>
  <c r="C62" i="5"/>
  <c r="C60" i="5"/>
  <c r="C58" i="5"/>
  <c r="C56" i="5"/>
  <c r="C54" i="5"/>
  <c r="C52" i="5"/>
  <c r="C50" i="5"/>
  <c r="C48" i="5"/>
  <c r="C46" i="5"/>
  <c r="C44" i="5"/>
  <c r="C42" i="5"/>
  <c r="C40" i="5"/>
  <c r="C38" i="5"/>
  <c r="C36" i="5"/>
  <c r="C34" i="5"/>
  <c r="C32" i="5"/>
  <c r="C30" i="5"/>
  <c r="C28" i="5"/>
  <c r="C26" i="5"/>
  <c r="C24" i="5"/>
  <c r="C22" i="5"/>
  <c r="C20" i="5"/>
  <c r="C18" i="5"/>
  <c r="C16" i="5"/>
  <c r="C14" i="5"/>
  <c r="C12" i="5"/>
  <c r="C10" i="5"/>
  <c r="C8" i="5"/>
  <c r="C6" i="5"/>
  <c r="C4" i="5"/>
  <c r="C2" i="5"/>
  <c r="F63" i="6"/>
  <c r="F59" i="6"/>
  <c r="F55" i="6"/>
  <c r="F51" i="6"/>
  <c r="F47" i="6"/>
  <c r="F43" i="6"/>
  <c r="F39" i="6"/>
  <c r="D33" i="6"/>
  <c r="F30" i="6"/>
  <c r="D25" i="6"/>
  <c r="F22" i="6"/>
  <c r="D17" i="6"/>
  <c r="F14" i="6"/>
  <c r="D9" i="6"/>
  <c r="G6" i="6"/>
  <c r="G4" i="6"/>
  <c r="G2" i="6"/>
  <c r="G65" i="5"/>
  <c r="G63" i="5"/>
  <c r="G61" i="5"/>
  <c r="G59" i="5"/>
  <c r="G57" i="5"/>
  <c r="G55" i="5"/>
  <c r="G53" i="5"/>
  <c r="G51" i="5"/>
  <c r="G49" i="5"/>
  <c r="G47" i="5"/>
  <c r="G45" i="5"/>
  <c r="G43" i="5"/>
  <c r="G41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F66" i="6"/>
  <c r="F62" i="6"/>
  <c r="F58" i="6"/>
  <c r="F54" i="6"/>
  <c r="F50" i="6"/>
  <c r="F46" i="6"/>
  <c r="F42" i="6"/>
  <c r="F38" i="6"/>
  <c r="D35" i="6"/>
  <c r="F32" i="6"/>
  <c r="D27" i="6"/>
  <c r="F24" i="6"/>
  <c r="D19" i="6"/>
  <c r="F16" i="6"/>
  <c r="D11" i="6"/>
  <c r="F8" i="6"/>
  <c r="C6" i="6"/>
  <c r="C4" i="6"/>
  <c r="C2" i="6"/>
  <c r="C65" i="5"/>
  <c r="C63" i="5"/>
  <c r="C61" i="5"/>
  <c r="C59" i="5"/>
  <c r="C57" i="5"/>
  <c r="C55" i="5"/>
  <c r="C53" i="5"/>
  <c r="C51" i="5"/>
  <c r="C49" i="5"/>
  <c r="C47" i="5"/>
  <c r="C45" i="5"/>
  <c r="C43" i="5"/>
  <c r="C41" i="5"/>
  <c r="C39" i="5"/>
  <c r="C37" i="5"/>
  <c r="C35" i="5"/>
  <c r="C33" i="5"/>
  <c r="C31" i="5"/>
  <c r="C29" i="5"/>
  <c r="C27" i="5"/>
  <c r="C25" i="5"/>
  <c r="C23" i="5"/>
  <c r="C21" i="5"/>
  <c r="C19" i="5"/>
  <c r="C17" i="5"/>
  <c r="C15" i="5"/>
  <c r="C13" i="5"/>
  <c r="C11" i="5"/>
  <c r="C9" i="5"/>
  <c r="C7" i="5"/>
  <c r="C5" i="5"/>
  <c r="C3" i="5"/>
  <c r="F65" i="6"/>
  <c r="F61" i="6"/>
  <c r="F57" i="6"/>
  <c r="F53" i="6"/>
  <c r="F49" i="6"/>
  <c r="F45" i="6"/>
  <c r="F41" i="6"/>
  <c r="F37" i="6"/>
  <c r="F34" i="6"/>
  <c r="D29" i="6"/>
  <c r="F26" i="6"/>
  <c r="D21" i="6"/>
  <c r="F18" i="6"/>
  <c r="D13" i="6"/>
  <c r="F10" i="6"/>
  <c r="G5" i="6"/>
  <c r="G3" i="6"/>
  <c r="G66" i="5"/>
  <c r="G64" i="5"/>
  <c r="G62" i="5"/>
  <c r="G60" i="5"/>
  <c r="G58" i="5"/>
  <c r="G56" i="5"/>
  <c r="G54" i="5"/>
  <c r="G52" i="5"/>
  <c r="G50" i="5"/>
  <c r="G48" i="5"/>
  <c r="G46" i="5"/>
  <c r="G44" i="5"/>
  <c r="G42" i="5"/>
  <c r="G40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  <c r="G2" i="5"/>
  <c r="B17" i="1"/>
  <c r="E4" i="3"/>
  <c r="E8" i="3"/>
  <c r="B8" i="2" s="1"/>
  <c r="D10" i="3"/>
  <c r="C10" i="2" s="1"/>
  <c r="E10" i="3"/>
  <c r="B10" i="2" s="1"/>
  <c r="E6" i="3"/>
  <c r="B6" i="2" s="1"/>
  <c r="D16" i="3"/>
  <c r="C4" i="3"/>
  <c r="E5" i="3"/>
  <c r="B5" i="2" s="1"/>
  <c r="C6" i="3"/>
  <c r="E7" i="3"/>
  <c r="B7" i="2" s="1"/>
  <c r="C8" i="3"/>
  <c r="E9" i="3"/>
  <c r="B9" i="2" s="1"/>
  <c r="C10" i="3"/>
  <c r="E3" i="7"/>
  <c r="B4" i="7"/>
  <c r="F4" i="7"/>
  <c r="C5" i="7"/>
  <c r="G5" i="7"/>
  <c r="D6" i="7"/>
  <c r="H6" i="7"/>
  <c r="E7" i="7"/>
  <c r="B8" i="7"/>
  <c r="F8" i="7"/>
  <c r="C9" i="7"/>
  <c r="G9" i="7"/>
  <c r="D10" i="7"/>
  <c r="H10" i="7"/>
  <c r="E11" i="7"/>
  <c r="B12" i="7"/>
  <c r="F12" i="7"/>
  <c r="C13" i="7"/>
  <c r="G13" i="7"/>
  <c r="D14" i="7"/>
  <c r="H14" i="7"/>
  <c r="E15" i="7"/>
  <c r="B16" i="7"/>
  <c r="F16" i="7"/>
  <c r="C17" i="7"/>
  <c r="G17" i="7"/>
  <c r="D18" i="7"/>
  <c r="H18" i="7"/>
  <c r="E19" i="7"/>
  <c r="B20" i="7"/>
  <c r="F20" i="7"/>
  <c r="C21" i="7"/>
  <c r="G21" i="7"/>
  <c r="D22" i="7"/>
  <c r="H22" i="7"/>
  <c r="E23" i="7"/>
  <c r="B24" i="7"/>
  <c r="F24" i="7"/>
  <c r="C25" i="7"/>
  <c r="G25" i="7"/>
  <c r="D26" i="7"/>
  <c r="H26" i="7"/>
  <c r="E27" i="7"/>
  <c r="B28" i="7"/>
  <c r="F28" i="7"/>
  <c r="C29" i="7"/>
  <c r="G29" i="7"/>
  <c r="D30" i="7"/>
  <c r="H30" i="7"/>
  <c r="E31" i="7"/>
  <c r="B32" i="7"/>
  <c r="F32" i="7"/>
  <c r="C33" i="7"/>
  <c r="G33" i="7"/>
  <c r="D34" i="7"/>
  <c r="H34" i="7"/>
  <c r="E35" i="7"/>
  <c r="B36" i="7"/>
  <c r="F36" i="7"/>
  <c r="C37" i="7"/>
  <c r="G37" i="7"/>
  <c r="D38" i="7"/>
  <c r="H38" i="7"/>
  <c r="E39" i="7"/>
  <c r="B40" i="7"/>
  <c r="F40" i="7"/>
  <c r="C41" i="7"/>
  <c r="G41" i="7"/>
  <c r="D42" i="7"/>
  <c r="H42" i="7"/>
  <c r="E43" i="7"/>
  <c r="B44" i="7"/>
  <c r="F44" i="7"/>
  <c r="C45" i="7"/>
  <c r="G45" i="7"/>
  <c r="D46" i="7"/>
  <c r="H46" i="7"/>
  <c r="E47" i="7"/>
  <c r="B48" i="7"/>
  <c r="F48" i="7"/>
  <c r="C49" i="7"/>
  <c r="G49" i="7"/>
  <c r="D50" i="7"/>
  <c r="H50" i="7"/>
  <c r="E51" i="7"/>
  <c r="B52" i="7"/>
  <c r="F52" i="7"/>
  <c r="C53" i="7"/>
  <c r="G53" i="7"/>
  <c r="D54" i="7"/>
  <c r="H54" i="7"/>
  <c r="E55" i="7"/>
  <c r="B56" i="7"/>
  <c r="F56" i="7"/>
  <c r="C57" i="7"/>
  <c r="G57" i="7"/>
  <c r="D58" i="7"/>
  <c r="H58" i="7"/>
  <c r="E59" i="7"/>
  <c r="B60" i="7"/>
  <c r="F60" i="7"/>
  <c r="C61" i="7"/>
  <c r="G61" i="7"/>
  <c r="D62" i="7"/>
  <c r="H62" i="7"/>
  <c r="E63" i="7"/>
  <c r="B64" i="7"/>
  <c r="F64" i="7"/>
  <c r="C65" i="7"/>
  <c r="G65" i="7"/>
  <c r="D66" i="7"/>
  <c r="H66" i="7"/>
  <c r="E67" i="7"/>
  <c r="B68" i="7"/>
  <c r="F68" i="7"/>
  <c r="C69" i="7"/>
  <c r="G69" i="7"/>
  <c r="D70" i="7"/>
  <c r="H70" i="7"/>
  <c r="E71" i="7"/>
  <c r="B72" i="7"/>
  <c r="F72" i="7"/>
  <c r="C73" i="7"/>
  <c r="G73" i="7"/>
  <c r="D74" i="7"/>
  <c r="H74" i="7"/>
  <c r="E75" i="7"/>
  <c r="B76" i="7"/>
  <c r="F76" i="7"/>
  <c r="C77" i="7"/>
  <c r="G77" i="7"/>
  <c r="D78" i="7"/>
  <c r="H78" i="7"/>
  <c r="E79" i="7"/>
  <c r="B80" i="7"/>
  <c r="F80" i="7"/>
  <c r="C81" i="7"/>
  <c r="G81" i="7"/>
  <c r="D82" i="7"/>
  <c r="H82" i="7"/>
  <c r="E83" i="7"/>
  <c r="B84" i="7"/>
  <c r="F84" i="7"/>
  <c r="C85" i="7"/>
  <c r="G85" i="7"/>
  <c r="D86" i="7"/>
  <c r="H86" i="7"/>
  <c r="E87" i="7"/>
  <c r="B88" i="7"/>
  <c r="F88" i="7"/>
  <c r="C89" i="7"/>
  <c r="G89" i="7"/>
  <c r="D90" i="7"/>
  <c r="H90" i="7"/>
  <c r="E91" i="7"/>
  <c r="B92" i="7"/>
  <c r="F92" i="7"/>
  <c r="C93" i="7"/>
  <c r="G93" i="7"/>
  <c r="D94" i="7"/>
  <c r="H94" i="7"/>
  <c r="E95" i="7"/>
  <c r="B96" i="7"/>
  <c r="F96" i="7"/>
  <c r="C97" i="7"/>
  <c r="G97" i="7"/>
  <c r="D98" i="7"/>
  <c r="H98" i="7"/>
  <c r="E99" i="7"/>
  <c r="B100" i="7"/>
  <c r="F100" i="7"/>
  <c r="C101" i="7"/>
  <c r="G101" i="7"/>
  <c r="D102" i="7"/>
  <c r="H102" i="7"/>
  <c r="E103" i="7"/>
  <c r="B104" i="7"/>
  <c r="F104" i="7"/>
  <c r="C105" i="7"/>
  <c r="G105" i="7"/>
  <c r="D106" i="7"/>
  <c r="H106" i="7"/>
  <c r="E107" i="7"/>
  <c r="B108" i="7"/>
  <c r="F108" i="7"/>
  <c r="C109" i="7"/>
  <c r="G109" i="7"/>
  <c r="D110" i="7"/>
  <c r="H110" i="7"/>
  <c r="E111" i="7"/>
  <c r="B112" i="7"/>
  <c r="F112" i="7"/>
  <c r="C113" i="7"/>
  <c r="G113" i="7"/>
  <c r="D114" i="7"/>
  <c r="H114" i="7"/>
  <c r="E115" i="7"/>
  <c r="B116" i="7"/>
  <c r="F116" i="7"/>
  <c r="C117" i="7"/>
  <c r="G117" i="7"/>
  <c r="D118" i="7"/>
  <c r="H118" i="7"/>
  <c r="E119" i="7"/>
  <c r="B120" i="7"/>
  <c r="F120" i="7"/>
  <c r="C121" i="7"/>
  <c r="G121" i="7"/>
  <c r="D122" i="7"/>
  <c r="H122" i="7"/>
  <c r="E123" i="7"/>
  <c r="B124" i="7"/>
  <c r="F124" i="7"/>
  <c r="C125" i="7"/>
  <c r="G125" i="7"/>
  <c r="D126" i="7"/>
  <c r="H126" i="7"/>
  <c r="E127" i="7"/>
  <c r="B128" i="7"/>
  <c r="F128" i="7"/>
  <c r="C129" i="7"/>
  <c r="G129" i="7"/>
  <c r="D130" i="7"/>
  <c r="H130" i="7"/>
  <c r="E131" i="7"/>
  <c r="B132" i="7"/>
  <c r="F132" i="7"/>
  <c r="C133" i="7"/>
  <c r="G133" i="7"/>
  <c r="D134" i="7"/>
  <c r="H134" i="7"/>
  <c r="E135" i="7"/>
  <c r="B136" i="7"/>
  <c r="F136" i="7"/>
  <c r="C137" i="7"/>
  <c r="G137" i="7"/>
  <c r="D138" i="7"/>
  <c r="H138" i="7"/>
  <c r="E139" i="7"/>
  <c r="B140" i="7"/>
  <c r="F140" i="7"/>
  <c r="C141" i="7"/>
  <c r="G141" i="7"/>
  <c r="D142" i="7"/>
  <c r="H142" i="7"/>
  <c r="E143" i="7"/>
  <c r="B144" i="7"/>
  <c r="F144" i="7"/>
  <c r="C145" i="7"/>
  <c r="G145" i="7"/>
  <c r="D146" i="7"/>
  <c r="H146" i="7"/>
  <c r="E147" i="7"/>
  <c r="B148" i="7"/>
  <c r="F148" i="7"/>
  <c r="C149" i="7"/>
  <c r="G149" i="7"/>
  <c r="D150" i="7"/>
  <c r="H150" i="7"/>
  <c r="E151" i="7"/>
  <c r="B152" i="7"/>
  <c r="F152" i="7"/>
  <c r="C153" i="7"/>
  <c r="G153" i="7"/>
  <c r="D154" i="7"/>
  <c r="H154" i="7"/>
  <c r="E155" i="7"/>
  <c r="B156" i="7"/>
  <c r="F156" i="7"/>
  <c r="C157" i="7"/>
  <c r="G157" i="7"/>
  <c r="D158" i="7"/>
  <c r="H158" i="7"/>
  <c r="E159" i="7"/>
  <c r="B160" i="7"/>
  <c r="F160" i="7"/>
  <c r="C161" i="7"/>
  <c r="G161" i="7"/>
  <c r="D162" i="7"/>
  <c r="H162" i="7"/>
  <c r="E163" i="7"/>
  <c r="B164" i="7"/>
  <c r="F164" i="7"/>
  <c r="C165" i="7"/>
  <c r="G165" i="7"/>
  <c r="D166" i="7"/>
  <c r="H166" i="7"/>
  <c r="E167" i="7"/>
  <c r="B168" i="7"/>
  <c r="F168" i="7"/>
  <c r="C169" i="7"/>
  <c r="G169" i="7"/>
  <c r="D170" i="7"/>
  <c r="H170" i="7"/>
  <c r="E171" i="7"/>
  <c r="B172" i="7"/>
  <c r="F172" i="7"/>
  <c r="C173" i="7"/>
  <c r="G173" i="7"/>
  <c r="D174" i="7"/>
  <c r="H174" i="7"/>
  <c r="E175" i="7"/>
  <c r="B176" i="7"/>
  <c r="B3" i="7"/>
  <c r="F3" i="7"/>
  <c r="C4" i="7"/>
  <c r="G4" i="7"/>
  <c r="D5" i="7"/>
  <c r="H5" i="7"/>
  <c r="H23" i="8" s="1"/>
  <c r="E6" i="7"/>
  <c r="B7" i="7"/>
  <c r="F7" i="7"/>
  <c r="C8" i="7"/>
  <c r="G8" i="7"/>
  <c r="D9" i="7"/>
  <c r="H9" i="7"/>
  <c r="H27" i="8" s="1"/>
  <c r="E10" i="7"/>
  <c r="E28" i="8" s="1"/>
  <c r="B11" i="7"/>
  <c r="F11" i="7"/>
  <c r="C12" i="7"/>
  <c r="C30" i="8" s="1"/>
  <c r="G12" i="7"/>
  <c r="D13" i="7"/>
  <c r="H13" i="7"/>
  <c r="E14" i="7"/>
  <c r="B15" i="7"/>
  <c r="B33" i="8" s="1"/>
  <c r="F15" i="7"/>
  <c r="C16" i="7"/>
  <c r="G16" i="7"/>
  <c r="D17" i="7"/>
  <c r="H17" i="7"/>
  <c r="E18" i="7"/>
  <c r="B19" i="7"/>
  <c r="F19" i="7"/>
  <c r="C20" i="7"/>
  <c r="G20" i="7"/>
  <c r="D21" i="7"/>
  <c r="H21" i="7"/>
  <c r="H39" i="8" s="1"/>
  <c r="E22" i="7"/>
  <c r="B23" i="7"/>
  <c r="F23" i="7"/>
  <c r="C24" i="7"/>
  <c r="C42" i="8" s="1"/>
  <c r="G24" i="7"/>
  <c r="D25" i="7"/>
  <c r="H25" i="7"/>
  <c r="E26" i="7"/>
  <c r="B27" i="7"/>
  <c r="F27" i="7"/>
  <c r="C28" i="7"/>
  <c r="C46" i="8" s="1"/>
  <c r="G28" i="7"/>
  <c r="D29" i="7"/>
  <c r="H29" i="7"/>
  <c r="E30" i="7"/>
  <c r="E48" i="8" s="1"/>
  <c r="B31" i="7"/>
  <c r="F31" i="7"/>
  <c r="C32" i="7"/>
  <c r="G32" i="7"/>
  <c r="D33" i="7"/>
  <c r="H33" i="7"/>
  <c r="E34" i="7"/>
  <c r="B35" i="7"/>
  <c r="F35" i="7"/>
  <c r="C36" i="7"/>
  <c r="C54" i="8" s="1"/>
  <c r="G36" i="7"/>
  <c r="D37" i="7"/>
  <c r="H37" i="7"/>
  <c r="E38" i="7"/>
  <c r="B39" i="7"/>
  <c r="F39" i="7"/>
  <c r="C40" i="7"/>
  <c r="G40" i="7"/>
  <c r="D41" i="7"/>
  <c r="H41" i="7"/>
  <c r="E42" i="7"/>
  <c r="B43" i="7"/>
  <c r="F43" i="7"/>
  <c r="C44" i="7"/>
  <c r="G44" i="7"/>
  <c r="D45" i="7"/>
  <c r="H45" i="7"/>
  <c r="E46" i="7"/>
  <c r="B47" i="7"/>
  <c r="F47" i="7"/>
  <c r="C48" i="7"/>
  <c r="G48" i="7"/>
  <c r="D49" i="7"/>
  <c r="H49" i="7"/>
  <c r="E50" i="7"/>
  <c r="B51" i="7"/>
  <c r="F51" i="7"/>
  <c r="C52" i="7"/>
  <c r="G52" i="7"/>
  <c r="D53" i="7"/>
  <c r="H53" i="7"/>
  <c r="E54" i="7"/>
  <c r="B55" i="7"/>
  <c r="F55" i="7"/>
  <c r="C56" i="7"/>
  <c r="G56" i="7"/>
  <c r="D57" i="7"/>
  <c r="H57" i="7"/>
  <c r="E58" i="7"/>
  <c r="B59" i="7"/>
  <c r="F59" i="7"/>
  <c r="C60" i="7"/>
  <c r="G60" i="7"/>
  <c r="D61" i="7"/>
  <c r="H61" i="7"/>
  <c r="E62" i="7"/>
  <c r="B63" i="7"/>
  <c r="F63" i="7"/>
  <c r="C64" i="7"/>
  <c r="G64" i="7"/>
  <c r="D65" i="7"/>
  <c r="H65" i="7"/>
  <c r="E66" i="7"/>
  <c r="B67" i="7"/>
  <c r="F67" i="7"/>
  <c r="C68" i="7"/>
  <c r="G68" i="7"/>
  <c r="D69" i="7"/>
  <c r="H69" i="7"/>
  <c r="E70" i="7"/>
  <c r="B71" i="7"/>
  <c r="F71" i="7"/>
  <c r="C72" i="7"/>
  <c r="G72" i="7"/>
  <c r="D73" i="7"/>
  <c r="H73" i="7"/>
  <c r="E74" i="7"/>
  <c r="B75" i="7"/>
  <c r="F75" i="7"/>
  <c r="C76" i="7"/>
  <c r="G76" i="7"/>
  <c r="D77" i="7"/>
  <c r="H77" i="7"/>
  <c r="E78" i="7"/>
  <c r="B79" i="7"/>
  <c r="F79" i="7"/>
  <c r="C80" i="7"/>
  <c r="G80" i="7"/>
  <c r="D81" i="7"/>
  <c r="H81" i="7"/>
  <c r="E82" i="7"/>
  <c r="B83" i="7"/>
  <c r="F83" i="7"/>
  <c r="C84" i="7"/>
  <c r="G84" i="7"/>
  <c r="D85" i="7"/>
  <c r="H85" i="7"/>
  <c r="E86" i="7"/>
  <c r="B87" i="7"/>
  <c r="F87" i="7"/>
  <c r="C88" i="7"/>
  <c r="G88" i="7"/>
  <c r="D89" i="7"/>
  <c r="H89" i="7"/>
  <c r="E90" i="7"/>
  <c r="B91" i="7"/>
  <c r="F91" i="7"/>
  <c r="C92" i="7"/>
  <c r="G92" i="7"/>
  <c r="D93" i="7"/>
  <c r="H93" i="7"/>
  <c r="E94" i="7"/>
  <c r="B95" i="7"/>
  <c r="F95" i="7"/>
  <c r="C96" i="7"/>
  <c r="G96" i="7"/>
  <c r="D97" i="7"/>
  <c r="H97" i="7"/>
  <c r="E98" i="7"/>
  <c r="B99" i="7"/>
  <c r="F99" i="7"/>
  <c r="C100" i="7"/>
  <c r="G100" i="7"/>
  <c r="D101" i="7"/>
  <c r="H101" i="7"/>
  <c r="E102" i="7"/>
  <c r="B103" i="7"/>
  <c r="F103" i="7"/>
  <c r="C104" i="7"/>
  <c r="G104" i="7"/>
  <c r="D105" i="7"/>
  <c r="H105" i="7"/>
  <c r="E106" i="7"/>
  <c r="B107" i="7"/>
  <c r="F107" i="7"/>
  <c r="C108" i="7"/>
  <c r="G108" i="7"/>
  <c r="D109" i="7"/>
  <c r="H109" i="7"/>
  <c r="E110" i="7"/>
  <c r="B111" i="7"/>
  <c r="F111" i="7"/>
  <c r="C112" i="7"/>
  <c r="G112" i="7"/>
  <c r="D113" i="7"/>
  <c r="H113" i="7"/>
  <c r="E114" i="7"/>
  <c r="B115" i="7"/>
  <c r="F115" i="7"/>
  <c r="C116" i="7"/>
  <c r="G116" i="7"/>
  <c r="D117" i="7"/>
  <c r="H117" i="7"/>
  <c r="E118" i="7"/>
  <c r="B119" i="7"/>
  <c r="F119" i="7"/>
  <c r="C120" i="7"/>
  <c r="G120" i="7"/>
  <c r="D121" i="7"/>
  <c r="H121" i="7"/>
  <c r="E122" i="7"/>
  <c r="B123" i="7"/>
  <c r="F123" i="7"/>
  <c r="C124" i="7"/>
  <c r="G124" i="7"/>
  <c r="D125" i="7"/>
  <c r="H125" i="7"/>
  <c r="E126" i="7"/>
  <c r="B127" i="7"/>
  <c r="F127" i="7"/>
  <c r="C128" i="7"/>
  <c r="G128" i="7"/>
  <c r="D129" i="7"/>
  <c r="H129" i="7"/>
  <c r="E130" i="7"/>
  <c r="B131" i="7"/>
  <c r="F131" i="7"/>
  <c r="C132" i="7"/>
  <c r="G132" i="7"/>
  <c r="D133" i="7"/>
  <c r="H133" i="7"/>
  <c r="E134" i="7"/>
  <c r="B135" i="7"/>
  <c r="F135" i="7"/>
  <c r="C136" i="7"/>
  <c r="G136" i="7"/>
  <c r="D137" i="7"/>
  <c r="H137" i="7"/>
  <c r="E138" i="7"/>
  <c r="B139" i="7"/>
  <c r="F139" i="7"/>
  <c r="C140" i="7"/>
  <c r="G140" i="7"/>
  <c r="D141" i="7"/>
  <c r="H141" i="7"/>
  <c r="E142" i="7"/>
  <c r="B143" i="7"/>
  <c r="F143" i="7"/>
  <c r="C144" i="7"/>
  <c r="G144" i="7"/>
  <c r="D145" i="7"/>
  <c r="H145" i="7"/>
  <c r="E146" i="7"/>
  <c r="B147" i="7"/>
  <c r="F147" i="7"/>
  <c r="C148" i="7"/>
  <c r="G148" i="7"/>
  <c r="D149" i="7"/>
  <c r="H149" i="7"/>
  <c r="E150" i="7"/>
  <c r="B151" i="7"/>
  <c r="F151" i="7"/>
  <c r="C152" i="7"/>
  <c r="G152" i="7"/>
  <c r="D153" i="7"/>
  <c r="H153" i="7"/>
  <c r="E154" i="7"/>
  <c r="B155" i="7"/>
  <c r="F155" i="7"/>
  <c r="C156" i="7"/>
  <c r="G156" i="7"/>
  <c r="D157" i="7"/>
  <c r="H157" i="7"/>
  <c r="E158" i="7"/>
  <c r="B159" i="7"/>
  <c r="F159" i="7"/>
  <c r="C160" i="7"/>
  <c r="G160" i="7"/>
  <c r="D161" i="7"/>
  <c r="H161" i="7"/>
  <c r="E162" i="7"/>
  <c r="B163" i="7"/>
  <c r="F163" i="7"/>
  <c r="C164" i="7"/>
  <c r="G164" i="7"/>
  <c r="D165" i="7"/>
  <c r="H165" i="7"/>
  <c r="E166" i="7"/>
  <c r="B167" i="7"/>
  <c r="F167" i="7"/>
  <c r="C168" i="7"/>
  <c r="G168" i="7"/>
  <c r="D169" i="7"/>
  <c r="H169" i="7"/>
  <c r="E170" i="7"/>
  <c r="B171" i="7"/>
  <c r="F171" i="7"/>
  <c r="C172" i="7"/>
  <c r="G172" i="7"/>
  <c r="D173" i="7"/>
  <c r="H173" i="7"/>
  <c r="E174" i="7"/>
  <c r="B175" i="7"/>
  <c r="F175" i="7"/>
  <c r="C176" i="7"/>
  <c r="G176" i="7"/>
  <c r="D177" i="7"/>
  <c r="H177" i="7"/>
  <c r="E178" i="7"/>
  <c r="B179" i="7"/>
  <c r="F179" i="7"/>
  <c r="C180" i="7"/>
  <c r="G180" i="7"/>
  <c r="D181" i="7"/>
  <c r="B4" i="3"/>
  <c r="F4" i="3"/>
  <c r="D5" i="3"/>
  <c r="C5" i="2" s="1"/>
  <c r="B6" i="3"/>
  <c r="F6" i="3"/>
  <c r="D7" i="3"/>
  <c r="C7" i="2" s="1"/>
  <c r="B8" i="3"/>
  <c r="F8" i="3"/>
  <c r="D9" i="3"/>
  <c r="C9" i="2" s="1"/>
  <c r="B10" i="3"/>
  <c r="D3" i="7"/>
  <c r="H3" i="7"/>
  <c r="E4" i="7"/>
  <c r="B5" i="7"/>
  <c r="F5" i="7"/>
  <c r="C6" i="7"/>
  <c r="G6" i="7"/>
  <c r="D7" i="7"/>
  <c r="H7" i="7"/>
  <c r="E8" i="7"/>
  <c r="E24" i="8" s="1"/>
  <c r="B9" i="7"/>
  <c r="F9" i="7"/>
  <c r="C10" i="7"/>
  <c r="G10" i="7"/>
  <c r="D11" i="7"/>
  <c r="D27" i="8" s="1"/>
  <c r="H11" i="7"/>
  <c r="E12" i="7"/>
  <c r="B13" i="7"/>
  <c r="F13" i="7"/>
  <c r="C14" i="7"/>
  <c r="G14" i="7"/>
  <c r="G30" i="8" s="1"/>
  <c r="D15" i="7"/>
  <c r="H15" i="7"/>
  <c r="E16" i="7"/>
  <c r="B17" i="7"/>
  <c r="F17" i="7"/>
  <c r="F33" i="8" s="1"/>
  <c r="C18" i="7"/>
  <c r="G18" i="7"/>
  <c r="D19" i="7"/>
  <c r="D35" i="8" s="1"/>
  <c r="H19" i="7"/>
  <c r="E20" i="7"/>
  <c r="B21" i="7"/>
  <c r="F21" i="7"/>
  <c r="C22" i="7"/>
  <c r="G22" i="7"/>
  <c r="D23" i="7"/>
  <c r="H23" i="7"/>
  <c r="E24" i="7"/>
  <c r="E40" i="8" s="1"/>
  <c r="B25" i="7"/>
  <c r="F25" i="7"/>
  <c r="C26" i="7"/>
  <c r="G26" i="7"/>
  <c r="D27" i="7"/>
  <c r="H27" i="7"/>
  <c r="E28" i="7"/>
  <c r="B29" i="7"/>
  <c r="B45" i="8" s="1"/>
  <c r="F29" i="7"/>
  <c r="C30" i="7"/>
  <c r="G30" i="7"/>
  <c r="G46" i="8" s="1"/>
  <c r="D31" i="7"/>
  <c r="H31" i="7"/>
  <c r="E32" i="7"/>
  <c r="B33" i="7"/>
  <c r="B49" i="8" s="1"/>
  <c r="F33" i="7"/>
  <c r="C34" i="7"/>
  <c r="G34" i="7"/>
  <c r="D35" i="7"/>
  <c r="H35" i="7"/>
  <c r="H51" i="8" s="1"/>
  <c r="E36" i="7"/>
  <c r="B37" i="7"/>
  <c r="F37" i="7"/>
  <c r="C38" i="7"/>
  <c r="G38" i="7"/>
  <c r="D39" i="7"/>
  <c r="H39" i="7"/>
  <c r="H55" i="8" s="1"/>
  <c r="E40" i="7"/>
  <c r="E56" i="8" s="1"/>
  <c r="B41" i="7"/>
  <c r="B57" i="8" s="1"/>
  <c r="F41" i="7"/>
  <c r="C42" i="7"/>
  <c r="C58" i="8" s="1"/>
  <c r="G42" i="7"/>
  <c r="G58" i="8" s="1"/>
  <c r="D43" i="7"/>
  <c r="D59" i="8" s="1"/>
  <c r="H43" i="7"/>
  <c r="E44" i="7"/>
  <c r="E60" i="8" s="1"/>
  <c r="B45" i="7"/>
  <c r="B61" i="8" s="1"/>
  <c r="F45" i="7"/>
  <c r="F61" i="8" s="1"/>
  <c r="C46" i="7"/>
  <c r="G46" i="7"/>
  <c r="G62" i="8" s="1"/>
  <c r="D47" i="7"/>
  <c r="D63" i="8" s="1"/>
  <c r="H47" i="7"/>
  <c r="H63" i="8" s="1"/>
  <c r="E48" i="7"/>
  <c r="B49" i="7"/>
  <c r="B65" i="8" s="1"/>
  <c r="F49" i="7"/>
  <c r="F65" i="8" s="1"/>
  <c r="C50" i="7"/>
  <c r="C66" i="8" s="1"/>
  <c r="G50" i="7"/>
  <c r="D51" i="7"/>
  <c r="D67" i="8" s="1"/>
  <c r="H51" i="7"/>
  <c r="H67" i="8" s="1"/>
  <c r="E52" i="7"/>
  <c r="E68" i="8" s="1"/>
  <c r="B53" i="7"/>
  <c r="F53" i="7"/>
  <c r="F69" i="8" s="1"/>
  <c r="C54" i="7"/>
  <c r="C70" i="8" s="1"/>
  <c r="G54" i="7"/>
  <c r="G70" i="8" s="1"/>
  <c r="D55" i="7"/>
  <c r="H55" i="7"/>
  <c r="H71" i="8" s="1"/>
  <c r="E56" i="7"/>
  <c r="E72" i="8" s="1"/>
  <c r="B57" i="7"/>
  <c r="B73" i="8" s="1"/>
  <c r="F57" i="7"/>
  <c r="C58" i="7"/>
  <c r="C74" i="8" s="1"/>
  <c r="G58" i="7"/>
  <c r="G74" i="8" s="1"/>
  <c r="D59" i="7"/>
  <c r="D75" i="8" s="1"/>
  <c r="H59" i="7"/>
  <c r="E60" i="7"/>
  <c r="E76" i="8" s="1"/>
  <c r="B61" i="7"/>
  <c r="B77" i="8" s="1"/>
  <c r="F61" i="7"/>
  <c r="F77" i="8" s="1"/>
  <c r="C62" i="7"/>
  <c r="G62" i="7"/>
  <c r="G78" i="8" s="1"/>
  <c r="D63" i="7"/>
  <c r="D79" i="8" s="1"/>
  <c r="H63" i="7"/>
  <c r="H79" i="8" s="1"/>
  <c r="E64" i="7"/>
  <c r="B65" i="7"/>
  <c r="B81" i="8" s="1"/>
  <c r="F65" i="7"/>
  <c r="F81" i="8" s="1"/>
  <c r="C66" i="7"/>
  <c r="C82" i="8" s="1"/>
  <c r="G66" i="7"/>
  <c r="D67" i="7"/>
  <c r="D83" i="8" s="1"/>
  <c r="H67" i="7"/>
  <c r="H83" i="8" s="1"/>
  <c r="E68" i="7"/>
  <c r="E84" i="8" s="1"/>
  <c r="B69" i="7"/>
  <c r="F69" i="7"/>
  <c r="F85" i="8" s="1"/>
  <c r="C70" i="7"/>
  <c r="C86" i="8" s="1"/>
  <c r="G70" i="7"/>
  <c r="G86" i="8" s="1"/>
  <c r="D71" i="7"/>
  <c r="H71" i="7"/>
  <c r="H87" i="8" s="1"/>
  <c r="E72" i="7"/>
  <c r="E88" i="8" s="1"/>
  <c r="B73" i="7"/>
  <c r="B89" i="8" s="1"/>
  <c r="F73" i="7"/>
  <c r="C74" i="7"/>
  <c r="C90" i="8" s="1"/>
  <c r="G74" i="7"/>
  <c r="G90" i="8" s="1"/>
  <c r="D75" i="7"/>
  <c r="D91" i="8" s="1"/>
  <c r="H75" i="7"/>
  <c r="E76" i="7"/>
  <c r="E92" i="8" s="1"/>
  <c r="B77" i="7"/>
  <c r="B93" i="8" s="1"/>
  <c r="F77" i="7"/>
  <c r="F93" i="8" s="1"/>
  <c r="C78" i="7"/>
  <c r="G78" i="7"/>
  <c r="G94" i="8" s="1"/>
  <c r="D79" i="7"/>
  <c r="D95" i="8" s="1"/>
  <c r="H79" i="7"/>
  <c r="H95" i="8" s="1"/>
  <c r="E80" i="7"/>
  <c r="B81" i="7"/>
  <c r="B97" i="8" s="1"/>
  <c r="F81" i="7"/>
  <c r="F97" i="8" s="1"/>
  <c r="C82" i="7"/>
  <c r="C98" i="8" s="1"/>
  <c r="G82" i="7"/>
  <c r="D83" i="7"/>
  <c r="D99" i="8" s="1"/>
  <c r="H83" i="7"/>
  <c r="H99" i="8" s="1"/>
  <c r="E84" i="7"/>
  <c r="E100" i="8" s="1"/>
  <c r="B85" i="7"/>
  <c r="F85" i="7"/>
  <c r="F101" i="8" s="1"/>
  <c r="C86" i="7"/>
  <c r="C102" i="8" s="1"/>
  <c r="G86" i="7"/>
  <c r="G102" i="8" s="1"/>
  <c r="D87" i="7"/>
  <c r="H87" i="7"/>
  <c r="H103" i="8" s="1"/>
  <c r="E88" i="7"/>
  <c r="E104" i="8" s="1"/>
  <c r="B89" i="7"/>
  <c r="B105" i="8" s="1"/>
  <c r="F89" i="7"/>
  <c r="C90" i="7"/>
  <c r="C106" i="8" s="1"/>
  <c r="G90" i="7"/>
  <c r="G106" i="8" s="1"/>
  <c r="D91" i="7"/>
  <c r="D107" i="8" s="1"/>
  <c r="H91" i="7"/>
  <c r="E92" i="7"/>
  <c r="E108" i="8" s="1"/>
  <c r="B93" i="7"/>
  <c r="B109" i="8" s="1"/>
  <c r="F93" i="7"/>
  <c r="F109" i="8" s="1"/>
  <c r="C94" i="7"/>
  <c r="G94" i="7"/>
  <c r="G110" i="8" s="1"/>
  <c r="D95" i="7"/>
  <c r="D111" i="8" s="1"/>
  <c r="H95" i="7"/>
  <c r="H111" i="8" s="1"/>
  <c r="E96" i="7"/>
  <c r="B97" i="7"/>
  <c r="B113" i="8" s="1"/>
  <c r="F97" i="7"/>
  <c r="F113" i="8" s="1"/>
  <c r="C98" i="7"/>
  <c r="C114" i="8" s="1"/>
  <c r="G98" i="7"/>
  <c r="D99" i="7"/>
  <c r="D115" i="8" s="1"/>
  <c r="H99" i="7"/>
  <c r="H115" i="8" s="1"/>
  <c r="E100" i="7"/>
  <c r="E116" i="8" s="1"/>
  <c r="B101" i="7"/>
  <c r="F101" i="7"/>
  <c r="F117" i="8" s="1"/>
  <c r="C102" i="7"/>
  <c r="C118" i="8" s="1"/>
  <c r="G102" i="7"/>
  <c r="G118" i="8" s="1"/>
  <c r="D103" i="7"/>
  <c r="H103" i="7"/>
  <c r="H119" i="8" s="1"/>
  <c r="E104" i="7"/>
  <c r="E120" i="8" s="1"/>
  <c r="B105" i="7"/>
  <c r="B121" i="8" s="1"/>
  <c r="F105" i="7"/>
  <c r="C106" i="7"/>
  <c r="C122" i="8" s="1"/>
  <c r="G106" i="7"/>
  <c r="G122" i="8" s="1"/>
  <c r="D107" i="7"/>
  <c r="D123" i="8" s="1"/>
  <c r="H107" i="7"/>
  <c r="E108" i="7"/>
  <c r="E124" i="8" s="1"/>
  <c r="B109" i="7"/>
  <c r="B125" i="8" s="1"/>
  <c r="F109" i="7"/>
  <c r="F125" i="8" s="1"/>
  <c r="C110" i="7"/>
  <c r="G110" i="7"/>
  <c r="G126" i="8" s="1"/>
  <c r="D111" i="7"/>
  <c r="D127" i="8" s="1"/>
  <c r="H111" i="7"/>
  <c r="H127" i="8" s="1"/>
  <c r="E112" i="7"/>
  <c r="B113" i="7"/>
  <c r="B129" i="8" s="1"/>
  <c r="F113" i="7"/>
  <c r="F129" i="8" s="1"/>
  <c r="C114" i="7"/>
  <c r="C130" i="8" s="1"/>
  <c r="G114" i="7"/>
  <c r="D115" i="7"/>
  <c r="D131" i="8" s="1"/>
  <c r="H115" i="7"/>
  <c r="H131" i="8" s="1"/>
  <c r="E116" i="7"/>
  <c r="E132" i="8" s="1"/>
  <c r="B117" i="7"/>
  <c r="F117" i="7"/>
  <c r="F133" i="8" s="1"/>
  <c r="C118" i="7"/>
  <c r="C134" i="8" s="1"/>
  <c r="G118" i="7"/>
  <c r="G134" i="8" s="1"/>
  <c r="D119" i="7"/>
  <c r="H119" i="7"/>
  <c r="H135" i="8" s="1"/>
  <c r="E120" i="7"/>
  <c r="E136" i="8" s="1"/>
  <c r="B121" i="7"/>
  <c r="B137" i="8" s="1"/>
  <c r="F121" i="7"/>
  <c r="C122" i="7"/>
  <c r="C138" i="8" s="1"/>
  <c r="G122" i="7"/>
  <c r="G138" i="8" s="1"/>
  <c r="D123" i="7"/>
  <c r="D139" i="8" s="1"/>
  <c r="H123" i="7"/>
  <c r="E124" i="7"/>
  <c r="E140" i="8" s="1"/>
  <c r="B125" i="7"/>
  <c r="B141" i="8" s="1"/>
  <c r="F125" i="7"/>
  <c r="F141" i="8" s="1"/>
  <c r="C126" i="7"/>
  <c r="G126" i="7"/>
  <c r="G142" i="8" s="1"/>
  <c r="D127" i="7"/>
  <c r="D143" i="8" s="1"/>
  <c r="H127" i="7"/>
  <c r="H143" i="8" s="1"/>
  <c r="E128" i="7"/>
  <c r="B129" i="7"/>
  <c r="B145" i="8" s="1"/>
  <c r="F129" i="7"/>
  <c r="F145" i="8" s="1"/>
  <c r="C130" i="7"/>
  <c r="C146" i="8" s="1"/>
  <c r="G130" i="7"/>
  <c r="D131" i="7"/>
  <c r="H131" i="7"/>
  <c r="H147" i="8" s="1"/>
  <c r="E132" i="7"/>
  <c r="E148" i="8" s="1"/>
  <c r="B133" i="7"/>
  <c r="F133" i="7"/>
  <c r="C134" i="7"/>
  <c r="C150" i="8" s="1"/>
  <c r="G134" i="7"/>
  <c r="G150" i="8" s="1"/>
  <c r="D135" i="7"/>
  <c r="H135" i="7"/>
  <c r="E136" i="7"/>
  <c r="E152" i="8" s="1"/>
  <c r="B137" i="7"/>
  <c r="B153" i="8" s="1"/>
  <c r="F137" i="7"/>
  <c r="C138" i="7"/>
  <c r="G138" i="7"/>
  <c r="G154" i="8" s="1"/>
  <c r="D139" i="7"/>
  <c r="H139" i="7"/>
  <c r="E140" i="7"/>
  <c r="B141" i="7"/>
  <c r="B157" i="8" s="1"/>
  <c r="F141" i="7"/>
  <c r="C142" i="7"/>
  <c r="G142" i="7"/>
  <c r="D143" i="7"/>
  <c r="H143" i="7"/>
  <c r="H159" i="8" s="1"/>
  <c r="E144" i="7"/>
  <c r="B145" i="7"/>
  <c r="F145" i="7"/>
  <c r="C146" i="7"/>
  <c r="C162" i="8" s="1"/>
  <c r="G146" i="7"/>
  <c r="D147" i="7"/>
  <c r="H147" i="7"/>
  <c r="E148" i="7"/>
  <c r="E164" i="8" s="1"/>
  <c r="B149" i="7"/>
  <c r="F149" i="7"/>
  <c r="C150" i="7"/>
  <c r="G150" i="7"/>
  <c r="G166" i="8" s="1"/>
  <c r="D151" i="7"/>
  <c r="H151" i="7"/>
  <c r="E152" i="7"/>
  <c r="B153" i="7"/>
  <c r="B169" i="8" s="1"/>
  <c r="F153" i="7"/>
  <c r="C154" i="7"/>
  <c r="G154" i="7"/>
  <c r="D155" i="7"/>
  <c r="D171" i="8" s="1"/>
  <c r="H155" i="7"/>
  <c r="E156" i="7"/>
  <c r="B157" i="7"/>
  <c r="F157" i="7"/>
  <c r="F173" i="8" s="1"/>
  <c r="C158" i="7"/>
  <c r="G158" i="7"/>
  <c r="D159" i="7"/>
  <c r="H159" i="7"/>
  <c r="H175" i="8" s="1"/>
  <c r="E160" i="7"/>
  <c r="B161" i="7"/>
  <c r="F161" i="7"/>
  <c r="C162" i="7"/>
  <c r="C178" i="8" s="1"/>
  <c r="G162" i="7"/>
  <c r="D163" i="7"/>
  <c r="H163" i="7"/>
  <c r="E164" i="7"/>
  <c r="E180" i="8" s="1"/>
  <c r="B165" i="7"/>
  <c r="F165" i="7"/>
  <c r="C166" i="7"/>
  <c r="G166" i="7"/>
  <c r="D167" i="7"/>
  <c r="H167" i="7"/>
  <c r="E168" i="7"/>
  <c r="B169" i="7"/>
  <c r="F169" i="7"/>
  <c r="C170" i="7"/>
  <c r="G170" i="7"/>
  <c r="D171" i="7"/>
  <c r="H171" i="7"/>
  <c r="E172" i="7"/>
  <c r="B173" i="7"/>
  <c r="F173" i="7"/>
  <c r="C174" i="7"/>
  <c r="G174" i="7"/>
  <c r="D175" i="7"/>
  <c r="H175" i="7"/>
  <c r="E176" i="7"/>
  <c r="H181" i="7"/>
  <c r="E182" i="7"/>
  <c r="B183" i="7"/>
  <c r="F183" i="7"/>
  <c r="C184" i="7"/>
  <c r="G184" i="7"/>
  <c r="D185" i="7"/>
  <c r="H185" i="7"/>
  <c r="E186" i="7"/>
  <c r="B187" i="7"/>
  <c r="F187" i="7"/>
  <c r="C188" i="7"/>
  <c r="G188" i="7"/>
  <c r="D189" i="7"/>
  <c r="H189" i="7"/>
  <c r="E190" i="7"/>
  <c r="B191" i="7"/>
  <c r="F191" i="7"/>
  <c r="C192" i="7"/>
  <c r="G192" i="7"/>
  <c r="D193" i="7"/>
  <c r="H193" i="7"/>
  <c r="E194" i="7"/>
  <c r="B195" i="7"/>
  <c r="F195" i="7"/>
  <c r="C196" i="7"/>
  <c r="G196" i="7"/>
  <c r="D197" i="7"/>
  <c r="H197" i="7"/>
  <c r="E198" i="7"/>
  <c r="B199" i="7"/>
  <c r="F199" i="7"/>
  <c r="C200" i="7"/>
  <c r="G200" i="7"/>
  <c r="D201" i="7"/>
  <c r="H201" i="7"/>
  <c r="E202" i="7"/>
  <c r="B203" i="7"/>
  <c r="F203" i="7"/>
  <c r="C204" i="7"/>
  <c r="G204" i="7"/>
  <c r="D205" i="7"/>
  <c r="H205" i="7"/>
  <c r="E206" i="7"/>
  <c r="B207" i="7"/>
  <c r="F207" i="7"/>
  <c r="C208" i="7"/>
  <c r="G208" i="7"/>
  <c r="D209" i="7"/>
  <c r="H209" i="7"/>
  <c r="E210" i="7"/>
  <c r="B211" i="7"/>
  <c r="F211" i="7"/>
  <c r="C212" i="7"/>
  <c r="G212" i="7"/>
  <c r="D213" i="7"/>
  <c r="H213" i="7"/>
  <c r="E214" i="7"/>
  <c r="B215" i="7"/>
  <c r="F215" i="7"/>
  <c r="C216" i="7"/>
  <c r="G216" i="7"/>
  <c r="D217" i="7"/>
  <c r="H217" i="7"/>
  <c r="E218" i="7"/>
  <c r="E236" i="8" s="1"/>
  <c r="B219" i="7"/>
  <c r="F219" i="7"/>
  <c r="C220" i="7"/>
  <c r="G220" i="7"/>
  <c r="D221" i="7"/>
  <c r="H221" i="7"/>
  <c r="E222" i="7"/>
  <c r="B223" i="7"/>
  <c r="B241" i="8" s="1"/>
  <c r="F223" i="7"/>
  <c r="C224" i="7"/>
  <c r="G224" i="7"/>
  <c r="D225" i="7"/>
  <c r="H225" i="7"/>
  <c r="E226" i="7"/>
  <c r="B227" i="7"/>
  <c r="F227" i="7"/>
  <c r="F245" i="8" s="1"/>
  <c r="C228" i="7"/>
  <c r="G228" i="7"/>
  <c r="D229" i="7"/>
  <c r="H229" i="7"/>
  <c r="H247" i="8" s="1"/>
  <c r="F10" i="2" s="1"/>
  <c r="E230" i="7"/>
  <c r="B231" i="7"/>
  <c r="F231" i="7"/>
  <c r="C232" i="7"/>
  <c r="G232" i="7"/>
  <c r="D233" i="7"/>
  <c r="H233" i="7"/>
  <c r="E234" i="7"/>
  <c r="B235" i="7"/>
  <c r="F235" i="7"/>
  <c r="C236" i="7"/>
  <c r="G236" i="7"/>
  <c r="D237" i="7"/>
  <c r="H237" i="7"/>
  <c r="E238" i="7"/>
  <c r="B239" i="7"/>
  <c r="F239" i="7"/>
  <c r="C240" i="7"/>
  <c r="G240" i="7"/>
  <c r="D241" i="7"/>
  <c r="H241" i="7"/>
  <c r="E242" i="7"/>
  <c r="B243" i="7"/>
  <c r="F243" i="7"/>
  <c r="C244" i="7"/>
  <c r="G244" i="7"/>
  <c r="D245" i="7"/>
  <c r="H245" i="7"/>
  <c r="E246" i="7"/>
  <c r="B247" i="7"/>
  <c r="F247" i="7"/>
  <c r="G247" i="7"/>
  <c r="B177" i="7"/>
  <c r="F177" i="7"/>
  <c r="C178" i="7"/>
  <c r="G178" i="7"/>
  <c r="D179" i="7"/>
  <c r="H179" i="7"/>
  <c r="E180" i="7"/>
  <c r="B181" i="7"/>
  <c r="F181" i="7"/>
  <c r="C182" i="7"/>
  <c r="G182" i="7"/>
  <c r="D183" i="7"/>
  <c r="H183" i="7"/>
  <c r="E184" i="7"/>
  <c r="B185" i="7"/>
  <c r="F185" i="7"/>
  <c r="C186" i="7"/>
  <c r="G186" i="7"/>
  <c r="D187" i="7"/>
  <c r="H187" i="7"/>
  <c r="E188" i="7"/>
  <c r="B189" i="7"/>
  <c r="F189" i="7"/>
  <c r="C190" i="7"/>
  <c r="G190" i="7"/>
  <c r="D191" i="7"/>
  <c r="H191" i="7"/>
  <c r="E192" i="7"/>
  <c r="B193" i="7"/>
  <c r="D203" i="7"/>
  <c r="H203" i="7"/>
  <c r="E204" i="7"/>
  <c r="B205" i="7"/>
  <c r="F205" i="7"/>
  <c r="C206" i="7"/>
  <c r="G206" i="7"/>
  <c r="D207" i="7"/>
  <c r="H207" i="7"/>
  <c r="E208" i="7"/>
  <c r="B209" i="7"/>
  <c r="F209" i="7"/>
  <c r="C210" i="7"/>
  <c r="G210" i="7"/>
  <c r="D211" i="7"/>
  <c r="H211" i="7"/>
  <c r="E212" i="7"/>
  <c r="B213" i="7"/>
  <c r="F213" i="7"/>
  <c r="C214" i="7"/>
  <c r="G214" i="7"/>
  <c r="D215" i="7"/>
  <c r="H215" i="7"/>
  <c r="E216" i="7"/>
  <c r="B217" i="7"/>
  <c r="F217" i="7"/>
  <c r="C218" i="7"/>
  <c r="G218" i="7"/>
  <c r="D219" i="7"/>
  <c r="H219" i="7"/>
  <c r="E220" i="7"/>
  <c r="B221" i="7"/>
  <c r="F221" i="7"/>
  <c r="C222" i="7"/>
  <c r="G222" i="7"/>
  <c r="D223" i="7"/>
  <c r="H223" i="7"/>
  <c r="E224" i="7"/>
  <c r="B225" i="7"/>
  <c r="F225" i="7"/>
  <c r="C226" i="7"/>
  <c r="G226" i="7"/>
  <c r="D227" i="7"/>
  <c r="H227" i="7"/>
  <c r="E228" i="7"/>
  <c r="B229" i="7"/>
  <c r="F229" i="7"/>
  <c r="C230" i="7"/>
  <c r="G230" i="7"/>
  <c r="D231" i="7"/>
  <c r="H231" i="7"/>
  <c r="E232" i="7"/>
  <c r="B233" i="7"/>
  <c r="F233" i="7"/>
  <c r="C234" i="7"/>
  <c r="G234" i="7"/>
  <c r="D235" i="7"/>
  <c r="H235" i="7"/>
  <c r="E236" i="7"/>
  <c r="B237" i="7"/>
  <c r="F237" i="7"/>
  <c r="C238" i="7"/>
  <c r="G238" i="7"/>
  <c r="D239" i="7"/>
  <c r="H239" i="7"/>
  <c r="E240" i="7"/>
  <c r="B241" i="7"/>
  <c r="F241" i="7"/>
  <c r="C242" i="7"/>
  <c r="G242" i="7"/>
  <c r="D243" i="7"/>
  <c r="H243" i="7"/>
  <c r="E244" i="7"/>
  <c r="B245" i="7"/>
  <c r="F245" i="7"/>
  <c r="C246" i="7"/>
  <c r="G246" i="7"/>
  <c r="D247" i="7"/>
  <c r="H247" i="7"/>
  <c r="F176" i="7"/>
  <c r="C177" i="7"/>
  <c r="G177" i="7"/>
  <c r="D178" i="7"/>
  <c r="H178" i="7"/>
  <c r="E179" i="7"/>
  <c r="B180" i="7"/>
  <c r="F180" i="7"/>
  <c r="C181" i="7"/>
  <c r="G181" i="7"/>
  <c r="D182" i="7"/>
  <c r="H182" i="7"/>
  <c r="E183" i="7"/>
  <c r="B184" i="7"/>
  <c r="F184" i="7"/>
  <c r="C185" i="7"/>
  <c r="G185" i="7"/>
  <c r="D186" i="7"/>
  <c r="H186" i="7"/>
  <c r="E187" i="7"/>
  <c r="B188" i="7"/>
  <c r="F188" i="7"/>
  <c r="C189" i="7"/>
  <c r="G189" i="7"/>
  <c r="D190" i="7"/>
  <c r="H190" i="7"/>
  <c r="E191" i="7"/>
  <c r="B192" i="7"/>
  <c r="F192" i="7"/>
  <c r="C193" i="7"/>
  <c r="G193" i="7"/>
  <c r="D194" i="7"/>
  <c r="H194" i="7"/>
  <c r="E195" i="7"/>
  <c r="B196" i="7"/>
  <c r="F196" i="7"/>
  <c r="F212" i="8" s="1"/>
  <c r="C197" i="7"/>
  <c r="C213" i="8" s="1"/>
  <c r="G197" i="7"/>
  <c r="D198" i="7"/>
  <c r="H198" i="7"/>
  <c r="H214" i="8" s="1"/>
  <c r="E199" i="7"/>
  <c r="B200" i="7"/>
  <c r="F200" i="7"/>
  <c r="F216" i="8" s="1"/>
  <c r="C201" i="7"/>
  <c r="G201" i="7"/>
  <c r="G217" i="8" s="1"/>
  <c r="D202" i="7"/>
  <c r="H202" i="7"/>
  <c r="E203" i="7"/>
  <c r="E219" i="8" s="1"/>
  <c r="B204" i="7"/>
  <c r="B220" i="8" s="1"/>
  <c r="F204" i="7"/>
  <c r="C205" i="7"/>
  <c r="C221" i="8" s="1"/>
  <c r="G205" i="7"/>
  <c r="G221" i="8" s="1"/>
  <c r="D206" i="7"/>
  <c r="H206" i="7"/>
  <c r="E207" i="7"/>
  <c r="B208" i="7"/>
  <c r="F208" i="7"/>
  <c r="C209" i="7"/>
  <c r="G209" i="7"/>
  <c r="D210" i="7"/>
  <c r="H210" i="7"/>
  <c r="E211" i="7"/>
  <c r="B212" i="7"/>
  <c r="F212" i="7"/>
  <c r="C213" i="7"/>
  <c r="G213" i="7"/>
  <c r="D214" i="7"/>
  <c r="H214" i="7"/>
  <c r="E215" i="7"/>
  <c r="B216" i="7"/>
  <c r="F216" i="7"/>
  <c r="C217" i="7"/>
  <c r="G217" i="7"/>
  <c r="D218" i="7"/>
  <c r="H218" i="7"/>
  <c r="H235" i="8" s="1"/>
  <c r="E219" i="7"/>
  <c r="B220" i="7"/>
  <c r="B237" i="8" s="1"/>
  <c r="F220" i="7"/>
  <c r="C221" i="7"/>
  <c r="G221" i="7"/>
  <c r="D222" i="7"/>
  <c r="H222" i="7"/>
  <c r="E223" i="7"/>
  <c r="E240" i="8" s="1"/>
  <c r="B224" i="7"/>
  <c r="F224" i="7"/>
  <c r="F241" i="8" s="1"/>
  <c r="C225" i="7"/>
  <c r="G225" i="7"/>
  <c r="D226" i="7"/>
  <c r="H226" i="7"/>
  <c r="E227" i="7"/>
  <c r="B228" i="7"/>
  <c r="B245" i="8" s="1"/>
  <c r="F228" i="7"/>
  <c r="C229" i="7"/>
  <c r="C246" i="8" s="1"/>
  <c r="G229" i="7"/>
  <c r="D230" i="7"/>
  <c r="D247" i="8" s="1"/>
  <c r="F6" i="2" s="1"/>
  <c r="H230" i="7"/>
  <c r="E231" i="7"/>
  <c r="B232" i="7"/>
  <c r="F232" i="7"/>
  <c r="C233" i="7"/>
  <c r="G233" i="7"/>
  <c r="D234" i="7"/>
  <c r="H234" i="7"/>
  <c r="E235" i="7"/>
  <c r="B236" i="7"/>
  <c r="F236" i="7"/>
  <c r="C237" i="7"/>
  <c r="G237" i="7"/>
  <c r="D238" i="7"/>
  <c r="H238" i="7"/>
  <c r="E239" i="7"/>
  <c r="B240" i="7"/>
  <c r="F240" i="7"/>
  <c r="C241" i="7"/>
  <c r="G241" i="7"/>
  <c r="D242" i="7"/>
  <c r="H242" i="7"/>
  <c r="E243" i="7"/>
  <c r="B244" i="7"/>
  <c r="F244" i="7"/>
  <c r="C245" i="7"/>
  <c r="G245" i="7"/>
  <c r="D246" i="7"/>
  <c r="H246" i="7"/>
  <c r="E247" i="7"/>
  <c r="C68" i="6" l="1"/>
  <c r="E5" i="2" s="1"/>
  <c r="H68" i="6"/>
  <c r="E10" i="2" s="1"/>
  <c r="H245" i="8"/>
  <c r="G236" i="8"/>
  <c r="F227" i="8"/>
  <c r="E218" i="8"/>
  <c r="D209" i="8"/>
  <c r="H197" i="8"/>
  <c r="H195" i="8"/>
  <c r="H246" i="8"/>
  <c r="F247" i="8"/>
  <c r="F8" i="2" s="1"/>
  <c r="G240" i="8"/>
  <c r="H233" i="8"/>
  <c r="B227" i="8"/>
  <c r="C220" i="8"/>
  <c r="D213" i="8"/>
  <c r="E206" i="8"/>
  <c r="G244" i="8"/>
  <c r="C240" i="8"/>
  <c r="F235" i="8"/>
  <c r="B231" i="8"/>
  <c r="E226" i="8"/>
  <c r="H221" i="8"/>
  <c r="D217" i="8"/>
  <c r="G212" i="8"/>
  <c r="C208" i="8"/>
  <c r="F203" i="8"/>
  <c r="D8" i="2"/>
  <c r="B199" i="8"/>
  <c r="B197" i="8"/>
  <c r="E243" i="8"/>
  <c r="H238" i="8"/>
  <c r="D234" i="8"/>
  <c r="E227" i="8"/>
  <c r="C225" i="8"/>
  <c r="F220" i="8"/>
  <c r="B216" i="8"/>
  <c r="G213" i="8"/>
  <c r="C209" i="8"/>
  <c r="F204" i="8"/>
  <c r="B200" i="8"/>
  <c r="D244" i="8"/>
  <c r="G239" i="8"/>
  <c r="C235" i="8"/>
  <c r="C234" i="8"/>
  <c r="F230" i="8"/>
  <c r="F229" i="8"/>
  <c r="B226" i="8"/>
  <c r="B225" i="8"/>
  <c r="G223" i="8"/>
  <c r="G222" i="8"/>
  <c r="C219" i="8"/>
  <c r="C218" i="8"/>
  <c r="F214" i="8"/>
  <c r="F213" i="8"/>
  <c r="B210" i="8"/>
  <c r="B209" i="8"/>
  <c r="E205" i="8"/>
  <c r="E204" i="8"/>
  <c r="H200" i="8"/>
  <c r="H199" i="8"/>
  <c r="E191" i="8"/>
  <c r="E188" i="8"/>
  <c r="H186" i="8"/>
  <c r="H183" i="8"/>
  <c r="D182" i="8"/>
  <c r="D179" i="8"/>
  <c r="F168" i="8"/>
  <c r="F165" i="8"/>
  <c r="E246" i="8"/>
  <c r="C244" i="8"/>
  <c r="H241" i="8"/>
  <c r="F239" i="8"/>
  <c r="D237" i="8"/>
  <c r="B235" i="8"/>
  <c r="G232" i="8"/>
  <c r="E230" i="8"/>
  <c r="C228" i="8"/>
  <c r="H225" i="8"/>
  <c r="F223" i="8"/>
  <c r="D221" i="8"/>
  <c r="B219" i="8"/>
  <c r="G216" i="8"/>
  <c r="E214" i="8"/>
  <c r="C212" i="8"/>
  <c r="H209" i="8"/>
  <c r="F207" i="8"/>
  <c r="D205" i="8"/>
  <c r="B203" i="8"/>
  <c r="D4" i="2"/>
  <c r="G200" i="8"/>
  <c r="G198" i="8"/>
  <c r="E198" i="8"/>
  <c r="E196" i="8"/>
  <c r="C196" i="8"/>
  <c r="C194" i="8"/>
  <c r="E247" i="8"/>
  <c r="F7" i="2" s="1"/>
  <c r="C245" i="8"/>
  <c r="H242" i="8"/>
  <c r="F240" i="8"/>
  <c r="D238" i="8"/>
  <c r="B236" i="8"/>
  <c r="G233" i="8"/>
  <c r="E231" i="8"/>
  <c r="C229" i="8"/>
  <c r="H226" i="8"/>
  <c r="F224" i="8"/>
  <c r="D222" i="8"/>
  <c r="E215" i="8"/>
  <c r="H210" i="8"/>
  <c r="F208" i="8"/>
  <c r="D206" i="8"/>
  <c r="B204" i="8"/>
  <c r="G201" i="8"/>
  <c r="E199" i="8"/>
  <c r="C197" i="8"/>
  <c r="D243" i="8"/>
  <c r="G238" i="8"/>
  <c r="B246" i="8"/>
  <c r="G243" i="8"/>
  <c r="E241" i="8"/>
  <c r="C239" i="8"/>
  <c r="H236" i="8"/>
  <c r="F234" i="8"/>
  <c r="B239" i="8"/>
  <c r="H229" i="8"/>
  <c r="G220" i="8"/>
  <c r="F211" i="8"/>
  <c r="E202" i="8"/>
  <c r="F244" i="8"/>
  <c r="D242" i="8"/>
  <c r="B240" i="8"/>
  <c r="G237" i="8"/>
  <c r="E235" i="8"/>
  <c r="C233" i="8"/>
  <c r="H230" i="8"/>
  <c r="F228" i="8"/>
  <c r="D226" i="8"/>
  <c r="B224" i="8"/>
  <c r="C217" i="8"/>
  <c r="D210" i="8"/>
  <c r="B208" i="8"/>
  <c r="G205" i="8"/>
  <c r="E203" i="8"/>
  <c r="D7" i="2"/>
  <c r="C201" i="8"/>
  <c r="H198" i="8"/>
  <c r="F196" i="8"/>
  <c r="G242" i="8"/>
  <c r="C238" i="8"/>
  <c r="G247" i="8"/>
  <c r="F9" i="2" s="1"/>
  <c r="E245" i="8"/>
  <c r="C243" i="8"/>
  <c r="H240" i="8"/>
  <c r="F238" i="8"/>
  <c r="D236" i="8"/>
  <c r="B233" i="8"/>
  <c r="G230" i="8"/>
  <c r="E228" i="8"/>
  <c r="C226" i="8"/>
  <c r="F221" i="8"/>
  <c r="D219" i="8"/>
  <c r="B217" i="8"/>
  <c r="G214" i="8"/>
  <c r="E212" i="8"/>
  <c r="C210" i="8"/>
  <c r="H207" i="8"/>
  <c r="F205" i="8"/>
  <c r="D203" i="8"/>
  <c r="B201" i="8"/>
  <c r="H191" i="8"/>
  <c r="F189" i="8"/>
  <c r="D187" i="8"/>
  <c r="B185" i="8"/>
  <c r="G182" i="8"/>
  <c r="F157" i="8"/>
  <c r="D155" i="8"/>
  <c r="D241" i="8"/>
  <c r="C232" i="8"/>
  <c r="B223" i="8"/>
  <c r="H213" i="8"/>
  <c r="G204" i="8"/>
  <c r="F195" i="8"/>
  <c r="F193" i="8"/>
  <c r="D245" i="8"/>
  <c r="E238" i="8"/>
  <c r="F231" i="8"/>
  <c r="G224" i="8"/>
  <c r="H217" i="8"/>
  <c r="B211" i="8"/>
  <c r="C204" i="8"/>
  <c r="H201" i="8"/>
  <c r="F199" i="8"/>
  <c r="F197" i="8"/>
  <c r="D197" i="8"/>
  <c r="D195" i="8"/>
  <c r="D246" i="8"/>
  <c r="B244" i="8"/>
  <c r="G241" i="8"/>
  <c r="E239" i="8"/>
  <c r="C237" i="8"/>
  <c r="H234" i="8"/>
  <c r="F232" i="8"/>
  <c r="D230" i="8"/>
  <c r="B228" i="8"/>
  <c r="G225" i="8"/>
  <c r="E223" i="8"/>
  <c r="H218" i="8"/>
  <c r="D214" i="8"/>
  <c r="B212" i="8"/>
  <c r="G209" i="8"/>
  <c r="E207" i="8"/>
  <c r="C205" i="8"/>
  <c r="H202" i="8"/>
  <c r="F200" i="8"/>
  <c r="D198" i="8"/>
  <c r="B196" i="8"/>
  <c r="B193" i="8"/>
  <c r="G246" i="8"/>
  <c r="E244" i="8"/>
  <c r="C242" i="8"/>
  <c r="H239" i="8"/>
  <c r="F237" i="8"/>
  <c r="D235" i="8"/>
  <c r="C247" i="8"/>
  <c r="F5" i="2" s="1"/>
  <c r="H244" i="8"/>
  <c r="F242" i="8"/>
  <c r="D240" i="8"/>
  <c r="B238" i="8"/>
  <c r="G235" i="8"/>
  <c r="E233" i="8"/>
  <c r="E232" i="8"/>
  <c r="C230" i="8"/>
  <c r="H227" i="8"/>
  <c r="F225" i="8"/>
  <c r="D223" i="8"/>
  <c r="B221" i="8"/>
  <c r="G218" i="8"/>
  <c r="E216" i="8"/>
  <c r="C214" i="8"/>
  <c r="H211" i="8"/>
  <c r="F209" i="8"/>
  <c r="D207" i="8"/>
  <c r="B205" i="8"/>
  <c r="G202" i="8"/>
  <c r="E200" i="8"/>
  <c r="D191" i="8"/>
  <c r="B189" i="8"/>
  <c r="G186" i="8"/>
  <c r="E184" i="8"/>
  <c r="C182" i="8"/>
  <c r="H179" i="8"/>
  <c r="F177" i="8"/>
  <c r="D175" i="8"/>
  <c r="B173" i="8"/>
  <c r="G170" i="8"/>
  <c r="E168" i="8"/>
  <c r="C166" i="8"/>
  <c r="H163" i="8"/>
  <c r="F161" i="8"/>
  <c r="D159" i="8"/>
  <c r="F243" i="8"/>
  <c r="E234" i="8"/>
  <c r="D225" i="8"/>
  <c r="C216" i="8"/>
  <c r="B207" i="8"/>
  <c r="C200" i="8"/>
  <c r="C198" i="8"/>
  <c r="B243" i="8"/>
  <c r="C236" i="8"/>
  <c r="D229" i="8"/>
  <c r="E222" i="8"/>
  <c r="F215" i="8"/>
  <c r="G208" i="8"/>
  <c r="B247" i="8"/>
  <c r="F4" i="2" s="1"/>
  <c r="E242" i="8"/>
  <c r="H237" i="8"/>
  <c r="D233" i="8"/>
  <c r="G228" i="8"/>
  <c r="C224" i="8"/>
  <c r="F219" i="8"/>
  <c r="B215" i="8"/>
  <c r="E210" i="8"/>
  <c r="H205" i="8"/>
  <c r="D201" i="8"/>
  <c r="D199" i="8"/>
  <c r="G196" i="8"/>
  <c r="G194" i="8"/>
  <c r="G245" i="8"/>
  <c r="C241" i="8"/>
  <c r="F236" i="8"/>
  <c r="B232" i="8"/>
  <c r="G229" i="8"/>
  <c r="H222" i="8"/>
  <c r="D218" i="8"/>
  <c r="E211" i="8"/>
  <c r="H206" i="8"/>
  <c r="D202" i="8"/>
  <c r="G197" i="8"/>
  <c r="H243" i="8"/>
  <c r="D239" i="8"/>
  <c r="G234" i="8"/>
  <c r="F246" i="8"/>
  <c r="B242" i="8"/>
  <c r="E237" i="8"/>
  <c r="H232" i="8"/>
  <c r="H231" i="8"/>
  <c r="D228" i="8"/>
  <c r="D227" i="8"/>
  <c r="E221" i="8"/>
  <c r="E220" i="8"/>
  <c r="H216" i="8"/>
  <c r="H215" i="8"/>
  <c r="D212" i="8"/>
  <c r="D211" i="8"/>
  <c r="G207" i="8"/>
  <c r="G206" i="8"/>
  <c r="C203" i="8"/>
  <c r="C202" i="8"/>
  <c r="D5" i="2"/>
  <c r="G193" i="8"/>
  <c r="G190" i="8"/>
  <c r="C189" i="8"/>
  <c r="C186" i="8"/>
  <c r="F184" i="8"/>
  <c r="F181" i="8"/>
  <c r="B180" i="8"/>
  <c r="B177" i="8"/>
  <c r="G177" i="8"/>
  <c r="G174" i="8"/>
  <c r="E175" i="8"/>
  <c r="E172" i="8"/>
  <c r="C173" i="8"/>
  <c r="C170" i="8"/>
  <c r="H170" i="8"/>
  <c r="H167" i="8"/>
  <c r="D166" i="8"/>
  <c r="D163" i="8"/>
  <c r="B161" i="8"/>
  <c r="G158" i="8"/>
  <c r="E156" i="8"/>
  <c r="C154" i="8"/>
  <c r="H151" i="8"/>
  <c r="F149" i="8"/>
  <c r="D147" i="8"/>
  <c r="D232" i="8"/>
  <c r="B230" i="8"/>
  <c r="G227" i="8"/>
  <c r="E225" i="8"/>
  <c r="C223" i="8"/>
  <c r="H220" i="8"/>
  <c r="F218" i="8"/>
  <c r="D216" i="8"/>
  <c r="B214" i="8"/>
  <c r="G211" i="8"/>
  <c r="E209" i="8"/>
  <c r="C207" i="8"/>
  <c r="H204" i="8"/>
  <c r="F202" i="8"/>
  <c r="E195" i="8"/>
  <c r="C193" i="8"/>
  <c r="H190" i="8"/>
  <c r="F188" i="8"/>
  <c r="D186" i="8"/>
  <c r="B184" i="8"/>
  <c r="G181" i="8"/>
  <c r="E179" i="8"/>
  <c r="C177" i="8"/>
  <c r="H174" i="8"/>
  <c r="F172" i="8"/>
  <c r="D170" i="8"/>
  <c r="B168" i="8"/>
  <c r="G165" i="8"/>
  <c r="E163" i="8"/>
  <c r="C161" i="8"/>
  <c r="H158" i="8"/>
  <c r="F156" i="8"/>
  <c r="D154" i="8"/>
  <c r="B152" i="8"/>
  <c r="G149" i="8"/>
  <c r="E147" i="8"/>
  <c r="C145" i="8"/>
  <c r="H142" i="8"/>
  <c r="F140" i="8"/>
  <c r="D138" i="8"/>
  <c r="B136" i="8"/>
  <c r="G133" i="8"/>
  <c r="E131" i="8"/>
  <c r="C129" i="8"/>
  <c r="H126" i="8"/>
  <c r="F124" i="8"/>
  <c r="D122" i="8"/>
  <c r="B120" i="8"/>
  <c r="G117" i="8"/>
  <c r="E115" i="8"/>
  <c r="C113" i="8"/>
  <c r="H110" i="8"/>
  <c r="F108" i="8"/>
  <c r="D106" i="8"/>
  <c r="B104" i="8"/>
  <c r="G101" i="8"/>
  <c r="E99" i="8"/>
  <c r="C97" i="8"/>
  <c r="H94" i="8"/>
  <c r="F92" i="8"/>
  <c r="D90" i="8"/>
  <c r="B88" i="8"/>
  <c r="G85" i="8"/>
  <c r="E83" i="8"/>
  <c r="C81" i="8"/>
  <c r="H78" i="8"/>
  <c r="F76" i="8"/>
  <c r="D74" i="8"/>
  <c r="B72" i="8"/>
  <c r="G69" i="8"/>
  <c r="E67" i="8"/>
  <c r="C65" i="8"/>
  <c r="H62" i="8"/>
  <c r="F60" i="8"/>
  <c r="D58" i="8"/>
  <c r="B56" i="8"/>
  <c r="G53" i="8"/>
  <c r="E51" i="8"/>
  <c r="C49" i="8"/>
  <c r="H46" i="8"/>
  <c r="F44" i="8"/>
  <c r="D42" i="8"/>
  <c r="B40" i="8"/>
  <c r="G37" i="8"/>
  <c r="E35" i="8"/>
  <c r="C33" i="8"/>
  <c r="H30" i="8"/>
  <c r="F28" i="8"/>
  <c r="D26" i="8"/>
  <c r="B24" i="8"/>
  <c r="F41" i="8"/>
  <c r="G34" i="8"/>
  <c r="G199" i="8"/>
  <c r="E197" i="8"/>
  <c r="C195" i="8"/>
  <c r="H192" i="8"/>
  <c r="F190" i="8"/>
  <c r="D188" i="8"/>
  <c r="B186" i="8"/>
  <c r="G183" i="8"/>
  <c r="E181" i="8"/>
  <c r="C179" i="8"/>
  <c r="H176" i="8"/>
  <c r="F174" i="8"/>
  <c r="D172" i="8"/>
  <c r="B170" i="8"/>
  <c r="G167" i="8"/>
  <c r="E165" i="8"/>
  <c r="C163" i="8"/>
  <c r="H160" i="8"/>
  <c r="F158" i="8"/>
  <c r="D156" i="8"/>
  <c r="B154" i="8"/>
  <c r="G151" i="8"/>
  <c r="E149" i="8"/>
  <c r="C147" i="8"/>
  <c r="H144" i="8"/>
  <c r="F142" i="8"/>
  <c r="D140" i="8"/>
  <c r="B138" i="8"/>
  <c r="G135" i="8"/>
  <c r="E133" i="8"/>
  <c r="C131" i="8"/>
  <c r="H128" i="8"/>
  <c r="F126" i="8"/>
  <c r="D124" i="8"/>
  <c r="B122" i="8"/>
  <c r="G119" i="8"/>
  <c r="E117" i="8"/>
  <c r="C115" i="8"/>
  <c r="H112" i="8"/>
  <c r="F110" i="8"/>
  <c r="D108" i="8"/>
  <c r="B106" i="8"/>
  <c r="G103" i="8"/>
  <c r="E101" i="8"/>
  <c r="C99" i="8"/>
  <c r="H96" i="8"/>
  <c r="F94" i="8"/>
  <c r="D92" i="8"/>
  <c r="B90" i="8"/>
  <c r="G87" i="8"/>
  <c r="E85" i="8"/>
  <c r="C83" i="8"/>
  <c r="H80" i="8"/>
  <c r="F78" i="8"/>
  <c r="D76" i="8"/>
  <c r="B74" i="8"/>
  <c r="G71" i="8"/>
  <c r="E69" i="8"/>
  <c r="C67" i="8"/>
  <c r="H64" i="8"/>
  <c r="F62" i="8"/>
  <c r="D60" i="8"/>
  <c r="B58" i="8"/>
  <c r="G55" i="8"/>
  <c r="E53" i="8"/>
  <c r="C51" i="8"/>
  <c r="H48" i="8"/>
  <c r="F46" i="8"/>
  <c r="D44" i="8"/>
  <c r="B42" i="8"/>
  <c r="G39" i="8"/>
  <c r="E37" i="8"/>
  <c r="C35" i="8"/>
  <c r="H32" i="8"/>
  <c r="F30" i="8"/>
  <c r="D28" i="8"/>
  <c r="B26" i="8"/>
  <c r="G23" i="8"/>
  <c r="H31" i="8"/>
  <c r="D193" i="8"/>
  <c r="B191" i="8"/>
  <c r="G188" i="8"/>
  <c r="E186" i="8"/>
  <c r="C184" i="8"/>
  <c r="H181" i="8"/>
  <c r="F179" i="8"/>
  <c r="D177" i="8"/>
  <c r="B175" i="8"/>
  <c r="G172" i="8"/>
  <c r="E170" i="8"/>
  <c r="C168" i="8"/>
  <c r="H165" i="8"/>
  <c r="F163" i="8"/>
  <c r="D161" i="8"/>
  <c r="B159" i="8"/>
  <c r="G156" i="8"/>
  <c r="E154" i="8"/>
  <c r="C152" i="8"/>
  <c r="H149" i="8"/>
  <c r="F147" i="8"/>
  <c r="D145" i="8"/>
  <c r="B143" i="8"/>
  <c r="G140" i="8"/>
  <c r="E138" i="8"/>
  <c r="C136" i="8"/>
  <c r="H133" i="8"/>
  <c r="F131" i="8"/>
  <c r="D129" i="8"/>
  <c r="B127" i="8"/>
  <c r="G124" i="8"/>
  <c r="E122" i="8"/>
  <c r="C120" i="8"/>
  <c r="H117" i="8"/>
  <c r="F115" i="8"/>
  <c r="D113" i="8"/>
  <c r="B111" i="8"/>
  <c r="G108" i="8"/>
  <c r="E106" i="8"/>
  <c r="C104" i="8"/>
  <c r="H101" i="8"/>
  <c r="F99" i="8"/>
  <c r="D97" i="8"/>
  <c r="B95" i="8"/>
  <c r="G92" i="8"/>
  <c r="E90" i="8"/>
  <c r="C88" i="8"/>
  <c r="H85" i="8"/>
  <c r="F83" i="8"/>
  <c r="D81" i="8"/>
  <c r="B79" i="8"/>
  <c r="G76" i="8"/>
  <c r="E74" i="8"/>
  <c r="C72" i="8"/>
  <c r="H69" i="8"/>
  <c r="F67" i="8"/>
  <c r="D65" i="8"/>
  <c r="B63" i="8"/>
  <c r="G60" i="8"/>
  <c r="E58" i="8"/>
  <c r="C56" i="8"/>
  <c r="H53" i="8"/>
  <c r="F51" i="8"/>
  <c r="D49" i="8"/>
  <c r="B47" i="8"/>
  <c r="G44" i="8"/>
  <c r="E42" i="8"/>
  <c r="C40" i="8"/>
  <c r="H37" i="8"/>
  <c r="F35" i="8"/>
  <c r="D33" i="8"/>
  <c r="B31" i="8"/>
  <c r="G28" i="8"/>
  <c r="E26" i="8"/>
  <c r="C24" i="8"/>
  <c r="D43" i="8"/>
  <c r="D15" i="3"/>
  <c r="G68" i="6"/>
  <c r="E9" i="2" s="1"/>
  <c r="E68" i="6"/>
  <c r="E7" i="2" s="1"/>
  <c r="B234" i="8"/>
  <c r="G231" i="8"/>
  <c r="E229" i="8"/>
  <c r="C227" i="8"/>
  <c r="H224" i="8"/>
  <c r="F222" i="8"/>
  <c r="D220" i="8"/>
  <c r="B218" i="8"/>
  <c r="G215" i="8"/>
  <c r="E213" i="8"/>
  <c r="C211" i="8"/>
  <c r="H208" i="8"/>
  <c r="F206" i="8"/>
  <c r="D204" i="8"/>
  <c r="B202" i="8"/>
  <c r="H194" i="8"/>
  <c r="F192" i="8"/>
  <c r="D190" i="8"/>
  <c r="B188" i="8"/>
  <c r="G185" i="8"/>
  <c r="E183" i="8"/>
  <c r="C181" i="8"/>
  <c r="H178" i="8"/>
  <c r="F176" i="8"/>
  <c r="D174" i="8"/>
  <c r="B172" i="8"/>
  <c r="G169" i="8"/>
  <c r="E167" i="8"/>
  <c r="C165" i="8"/>
  <c r="H162" i="8"/>
  <c r="F160" i="8"/>
  <c r="D158" i="8"/>
  <c r="B156" i="8"/>
  <c r="G153" i="8"/>
  <c r="E151" i="8"/>
  <c r="C149" i="8"/>
  <c r="H146" i="8"/>
  <c r="F144" i="8"/>
  <c r="D142" i="8"/>
  <c r="B140" i="8"/>
  <c r="G137" i="8"/>
  <c r="E135" i="8"/>
  <c r="C133" i="8"/>
  <c r="H130" i="8"/>
  <c r="F128" i="8"/>
  <c r="D126" i="8"/>
  <c r="B124" i="8"/>
  <c r="G121" i="8"/>
  <c r="E119" i="8"/>
  <c r="C117" i="8"/>
  <c r="H114" i="8"/>
  <c r="F112" i="8"/>
  <c r="D110" i="8"/>
  <c r="B108" i="8"/>
  <c r="G105" i="8"/>
  <c r="E103" i="8"/>
  <c r="C101" i="8"/>
  <c r="H98" i="8"/>
  <c r="F96" i="8"/>
  <c r="D94" i="8"/>
  <c r="B92" i="8"/>
  <c r="G89" i="8"/>
  <c r="E87" i="8"/>
  <c r="C85" i="8"/>
  <c r="H82" i="8"/>
  <c r="F80" i="8"/>
  <c r="D78" i="8"/>
  <c r="B76" i="8"/>
  <c r="G73" i="8"/>
  <c r="E71" i="8"/>
  <c r="C69" i="8"/>
  <c r="H66" i="8"/>
  <c r="F64" i="8"/>
  <c r="D62" i="8"/>
  <c r="B60" i="8"/>
  <c r="G57" i="8"/>
  <c r="E55" i="8"/>
  <c r="C53" i="8"/>
  <c r="H50" i="8"/>
  <c r="F48" i="8"/>
  <c r="D46" i="8"/>
  <c r="B44" i="8"/>
  <c r="G41" i="8"/>
  <c r="E39" i="8"/>
  <c r="C37" i="8"/>
  <c r="H34" i="8"/>
  <c r="F32" i="8"/>
  <c r="D30" i="8"/>
  <c r="B28" i="8"/>
  <c r="G25" i="8"/>
  <c r="E23" i="8"/>
  <c r="B16" i="3"/>
  <c r="B15" i="3"/>
  <c r="G50" i="8"/>
  <c r="F45" i="8"/>
  <c r="E32" i="8"/>
  <c r="G22" i="8"/>
  <c r="F25" i="8"/>
  <c r="C199" i="8"/>
  <c r="H196" i="8"/>
  <c r="F194" i="8"/>
  <c r="D192" i="8"/>
  <c r="B190" i="8"/>
  <c r="G187" i="8"/>
  <c r="E185" i="8"/>
  <c r="C183" i="8"/>
  <c r="H180" i="8"/>
  <c r="F178" i="8"/>
  <c r="D176" i="8"/>
  <c r="B174" i="8"/>
  <c r="G171" i="8"/>
  <c r="E169" i="8"/>
  <c r="C167" i="8"/>
  <c r="H164" i="8"/>
  <c r="F162" i="8"/>
  <c r="D160" i="8"/>
  <c r="B158" i="8"/>
  <c r="G155" i="8"/>
  <c r="E153" i="8"/>
  <c r="C151" i="8"/>
  <c r="H148" i="8"/>
  <c r="F146" i="8"/>
  <c r="D144" i="8"/>
  <c r="B142" i="8"/>
  <c r="G139" i="8"/>
  <c r="E137" i="8"/>
  <c r="C135" i="8"/>
  <c r="H132" i="8"/>
  <c r="F130" i="8"/>
  <c r="D128" i="8"/>
  <c r="B126" i="8"/>
  <c r="G123" i="8"/>
  <c r="E121" i="8"/>
  <c r="C119" i="8"/>
  <c r="H116" i="8"/>
  <c r="F114" i="8"/>
  <c r="D112" i="8"/>
  <c r="B110" i="8"/>
  <c r="G107" i="8"/>
  <c r="E105" i="8"/>
  <c r="C103" i="8"/>
  <c r="H100" i="8"/>
  <c r="F98" i="8"/>
  <c r="D96" i="8"/>
  <c r="B94" i="8"/>
  <c r="G91" i="8"/>
  <c r="E89" i="8"/>
  <c r="C87" i="8"/>
  <c r="H84" i="8"/>
  <c r="F82" i="8"/>
  <c r="D80" i="8"/>
  <c r="B78" i="8"/>
  <c r="G75" i="8"/>
  <c r="E73" i="8"/>
  <c r="C71" i="8"/>
  <c r="H68" i="8"/>
  <c r="F66" i="8"/>
  <c r="D64" i="8"/>
  <c r="B62" i="8"/>
  <c r="G59" i="8"/>
  <c r="E57" i="8"/>
  <c r="C55" i="8"/>
  <c r="H52" i="8"/>
  <c r="F50" i="8"/>
  <c r="D48" i="8"/>
  <c r="B46" i="8"/>
  <c r="G43" i="8"/>
  <c r="E41" i="8"/>
  <c r="C39" i="8"/>
  <c r="H36" i="8"/>
  <c r="F34" i="8"/>
  <c r="D32" i="8"/>
  <c r="B30" i="8"/>
  <c r="G27" i="8"/>
  <c r="E25" i="8"/>
  <c r="C23" i="8"/>
  <c r="C38" i="8"/>
  <c r="B195" i="8"/>
  <c r="G192" i="8"/>
  <c r="E190" i="8"/>
  <c r="C188" i="8"/>
  <c r="H185" i="8"/>
  <c r="F183" i="8"/>
  <c r="D181" i="8"/>
  <c r="B179" i="8"/>
  <c r="G176" i="8"/>
  <c r="E174" i="8"/>
  <c r="C172" i="8"/>
  <c r="H169" i="8"/>
  <c r="F167" i="8"/>
  <c r="D165" i="8"/>
  <c r="B163" i="8"/>
  <c r="G160" i="8"/>
  <c r="E158" i="8"/>
  <c r="C156" i="8"/>
  <c r="H153" i="8"/>
  <c r="F151" i="8"/>
  <c r="D149" i="8"/>
  <c r="B147" i="8"/>
  <c r="G144" i="8"/>
  <c r="E142" i="8"/>
  <c r="C140" i="8"/>
  <c r="H137" i="8"/>
  <c r="F135" i="8"/>
  <c r="D133" i="8"/>
  <c r="B131" i="8"/>
  <c r="G128" i="8"/>
  <c r="E126" i="8"/>
  <c r="C124" i="8"/>
  <c r="H121" i="8"/>
  <c r="F119" i="8"/>
  <c r="D117" i="8"/>
  <c r="B115" i="8"/>
  <c r="G112" i="8"/>
  <c r="E110" i="8"/>
  <c r="C108" i="8"/>
  <c r="H105" i="8"/>
  <c r="F103" i="8"/>
  <c r="D101" i="8"/>
  <c r="B99" i="8"/>
  <c r="G96" i="8"/>
  <c r="E94" i="8"/>
  <c r="C92" i="8"/>
  <c r="H89" i="8"/>
  <c r="F87" i="8"/>
  <c r="D85" i="8"/>
  <c r="B83" i="8"/>
  <c r="G80" i="8"/>
  <c r="E78" i="8"/>
  <c r="C76" i="8"/>
  <c r="H73" i="8"/>
  <c r="F71" i="8"/>
  <c r="D69" i="8"/>
  <c r="B67" i="8"/>
  <c r="G64" i="8"/>
  <c r="E62" i="8"/>
  <c r="C60" i="8"/>
  <c r="H57" i="8"/>
  <c r="F55" i="8"/>
  <c r="D53" i="8"/>
  <c r="B51" i="8"/>
  <c r="G48" i="8"/>
  <c r="E46" i="8"/>
  <c r="C44" i="8"/>
  <c r="H41" i="8"/>
  <c r="F39" i="8"/>
  <c r="D37" i="8"/>
  <c r="B35" i="8"/>
  <c r="G32" i="8"/>
  <c r="E30" i="8"/>
  <c r="C28" i="8"/>
  <c r="H25" i="8"/>
  <c r="F23" i="8"/>
  <c r="E52" i="8"/>
  <c r="D47" i="8"/>
  <c r="D6" i="2"/>
  <c r="D68" i="6"/>
  <c r="E6" i="2" s="1"/>
  <c r="C231" i="8"/>
  <c r="H228" i="8"/>
  <c r="F226" i="8"/>
  <c r="D224" i="8"/>
  <c r="B222" i="8"/>
  <c r="G219" i="8"/>
  <c r="E217" i="8"/>
  <c r="C215" i="8"/>
  <c r="H212" i="8"/>
  <c r="F210" i="8"/>
  <c r="D208" i="8"/>
  <c r="B206" i="8"/>
  <c r="G203" i="8"/>
  <c r="E201" i="8"/>
  <c r="D194" i="8"/>
  <c r="B192" i="8"/>
  <c r="G189" i="8"/>
  <c r="E187" i="8"/>
  <c r="C185" i="8"/>
  <c r="H182" i="8"/>
  <c r="F180" i="8"/>
  <c r="D178" i="8"/>
  <c r="B176" i="8"/>
  <c r="G173" i="8"/>
  <c r="E171" i="8"/>
  <c r="C169" i="8"/>
  <c r="H166" i="8"/>
  <c r="F164" i="8"/>
  <c r="D162" i="8"/>
  <c r="B160" i="8"/>
  <c r="G157" i="8"/>
  <c r="E155" i="8"/>
  <c r="C153" i="8"/>
  <c r="H150" i="8"/>
  <c r="F148" i="8"/>
  <c r="D146" i="8"/>
  <c r="B144" i="8"/>
  <c r="G141" i="8"/>
  <c r="E139" i="8"/>
  <c r="C137" i="8"/>
  <c r="H134" i="8"/>
  <c r="F132" i="8"/>
  <c r="D130" i="8"/>
  <c r="B128" i="8"/>
  <c r="G125" i="8"/>
  <c r="E123" i="8"/>
  <c r="C121" i="8"/>
  <c r="H118" i="8"/>
  <c r="F116" i="8"/>
  <c r="D114" i="8"/>
  <c r="B112" i="8"/>
  <c r="G109" i="8"/>
  <c r="E107" i="8"/>
  <c r="C105" i="8"/>
  <c r="H102" i="8"/>
  <c r="F100" i="8"/>
  <c r="D98" i="8"/>
  <c r="B96" i="8"/>
  <c r="G93" i="8"/>
  <c r="E91" i="8"/>
  <c r="C89" i="8"/>
  <c r="H86" i="8"/>
  <c r="F84" i="8"/>
  <c r="D82" i="8"/>
  <c r="B80" i="8"/>
  <c r="G77" i="8"/>
  <c r="E75" i="8"/>
  <c r="C73" i="8"/>
  <c r="H70" i="8"/>
  <c r="F68" i="8"/>
  <c r="D66" i="8"/>
  <c r="B64" i="8"/>
  <c r="G61" i="8"/>
  <c r="E59" i="8"/>
  <c r="C57" i="8"/>
  <c r="H54" i="8"/>
  <c r="F52" i="8"/>
  <c r="D50" i="8"/>
  <c r="B48" i="8"/>
  <c r="G45" i="8"/>
  <c r="E43" i="8"/>
  <c r="C41" i="8"/>
  <c r="H38" i="8"/>
  <c r="F36" i="8"/>
  <c r="D34" i="8"/>
  <c r="B32" i="8"/>
  <c r="G29" i="8"/>
  <c r="E27" i="8"/>
  <c r="C25" i="8"/>
  <c r="H22" i="8"/>
  <c r="F49" i="8"/>
  <c r="H43" i="8"/>
  <c r="G38" i="8"/>
  <c r="D55" i="8"/>
  <c r="D39" i="8"/>
  <c r="D31" i="8"/>
  <c r="D23" i="8"/>
  <c r="F198" i="8"/>
  <c r="D196" i="8"/>
  <c r="B194" i="8"/>
  <c r="G191" i="8"/>
  <c r="E189" i="8"/>
  <c r="C187" i="8"/>
  <c r="H184" i="8"/>
  <c r="F182" i="8"/>
  <c r="D180" i="8"/>
  <c r="B178" i="8"/>
  <c r="G175" i="8"/>
  <c r="E173" i="8"/>
  <c r="C171" i="8"/>
  <c r="H168" i="8"/>
  <c r="F166" i="8"/>
  <c r="D164" i="8"/>
  <c r="B162" i="8"/>
  <c r="G159" i="8"/>
  <c r="E157" i="8"/>
  <c r="C155" i="8"/>
  <c r="H152" i="8"/>
  <c r="F150" i="8"/>
  <c r="D148" i="8"/>
  <c r="B146" i="8"/>
  <c r="G143" i="8"/>
  <c r="E141" i="8"/>
  <c r="C139" i="8"/>
  <c r="H136" i="8"/>
  <c r="F134" i="8"/>
  <c r="D132" i="8"/>
  <c r="B130" i="8"/>
  <c r="G127" i="8"/>
  <c r="E125" i="8"/>
  <c r="C123" i="8"/>
  <c r="H120" i="8"/>
  <c r="F118" i="8"/>
  <c r="D116" i="8"/>
  <c r="B114" i="8"/>
  <c r="G111" i="8"/>
  <c r="E109" i="8"/>
  <c r="C107" i="8"/>
  <c r="H104" i="8"/>
  <c r="F102" i="8"/>
  <c r="D100" i="8"/>
  <c r="B98" i="8"/>
  <c r="G95" i="8"/>
  <c r="E93" i="8"/>
  <c r="C91" i="8"/>
  <c r="H88" i="8"/>
  <c r="F86" i="8"/>
  <c r="D84" i="8"/>
  <c r="B82" i="8"/>
  <c r="G79" i="8"/>
  <c r="E77" i="8"/>
  <c r="C75" i="8"/>
  <c r="H72" i="8"/>
  <c r="F70" i="8"/>
  <c r="D68" i="8"/>
  <c r="B66" i="8"/>
  <c r="G63" i="8"/>
  <c r="E61" i="8"/>
  <c r="C59" i="8"/>
  <c r="H56" i="8"/>
  <c r="F54" i="8"/>
  <c r="D52" i="8"/>
  <c r="B50" i="8"/>
  <c r="G47" i="8"/>
  <c r="E45" i="8"/>
  <c r="C43" i="8"/>
  <c r="H40" i="8"/>
  <c r="F38" i="8"/>
  <c r="D36" i="8"/>
  <c r="B34" i="8"/>
  <c r="G31" i="8"/>
  <c r="E29" i="8"/>
  <c r="C27" i="8"/>
  <c r="H24" i="8"/>
  <c r="F22" i="8"/>
  <c r="H35" i="8"/>
  <c r="E194" i="8"/>
  <c r="C192" i="8"/>
  <c r="H189" i="8"/>
  <c r="F187" i="8"/>
  <c r="D185" i="8"/>
  <c r="B183" i="8"/>
  <c r="G180" i="8"/>
  <c r="E178" i="8"/>
  <c r="C176" i="8"/>
  <c r="H173" i="8"/>
  <c r="F171" i="8"/>
  <c r="D169" i="8"/>
  <c r="B167" i="8"/>
  <c r="G164" i="8"/>
  <c r="E162" i="8"/>
  <c r="C160" i="8"/>
  <c r="H157" i="8"/>
  <c r="F155" i="8"/>
  <c r="D153" i="8"/>
  <c r="B151" i="8"/>
  <c r="G148" i="8"/>
  <c r="E146" i="8"/>
  <c r="C144" i="8"/>
  <c r="H141" i="8"/>
  <c r="F139" i="8"/>
  <c r="D137" i="8"/>
  <c r="B135" i="8"/>
  <c r="G132" i="8"/>
  <c r="E130" i="8"/>
  <c r="C128" i="8"/>
  <c r="H125" i="8"/>
  <c r="F123" i="8"/>
  <c r="D121" i="8"/>
  <c r="B119" i="8"/>
  <c r="G116" i="8"/>
  <c r="E114" i="8"/>
  <c r="C112" i="8"/>
  <c r="H109" i="8"/>
  <c r="F107" i="8"/>
  <c r="D105" i="8"/>
  <c r="B103" i="8"/>
  <c r="G100" i="8"/>
  <c r="E98" i="8"/>
  <c r="C96" i="8"/>
  <c r="H93" i="8"/>
  <c r="F91" i="8"/>
  <c r="D89" i="8"/>
  <c r="B87" i="8"/>
  <c r="G84" i="8"/>
  <c r="E82" i="8"/>
  <c r="C80" i="8"/>
  <c r="H77" i="8"/>
  <c r="F75" i="8"/>
  <c r="D73" i="8"/>
  <c r="B71" i="8"/>
  <c r="G68" i="8"/>
  <c r="E66" i="8"/>
  <c r="C64" i="8"/>
  <c r="H61" i="8"/>
  <c r="F59" i="8"/>
  <c r="D57" i="8"/>
  <c r="B55" i="8"/>
  <c r="G52" i="8"/>
  <c r="E50" i="8"/>
  <c r="C48" i="8"/>
  <c r="H45" i="8"/>
  <c r="F43" i="8"/>
  <c r="D41" i="8"/>
  <c r="B39" i="8"/>
  <c r="G36" i="8"/>
  <c r="E34" i="8"/>
  <c r="C32" i="8"/>
  <c r="H29" i="8"/>
  <c r="F27" i="8"/>
  <c r="D25" i="8"/>
  <c r="B23" i="8"/>
  <c r="C15" i="3"/>
  <c r="C16" i="3"/>
  <c r="D51" i="8"/>
  <c r="B41" i="8"/>
  <c r="G26" i="8"/>
  <c r="C22" i="8"/>
  <c r="B68" i="6"/>
  <c r="E4" i="2" s="1"/>
  <c r="B164" i="8"/>
  <c r="G161" i="8"/>
  <c r="E159" i="8"/>
  <c r="C157" i="8"/>
  <c r="H154" i="8"/>
  <c r="F152" i="8"/>
  <c r="D150" i="8"/>
  <c r="B148" i="8"/>
  <c r="G145" i="8"/>
  <c r="E143" i="8"/>
  <c r="C141" i="8"/>
  <c r="H138" i="8"/>
  <c r="F136" i="8"/>
  <c r="D134" i="8"/>
  <c r="B132" i="8"/>
  <c r="G129" i="8"/>
  <c r="E127" i="8"/>
  <c r="C125" i="8"/>
  <c r="H122" i="8"/>
  <c r="F120" i="8"/>
  <c r="D118" i="8"/>
  <c r="B116" i="8"/>
  <c r="G113" i="8"/>
  <c r="E111" i="8"/>
  <c r="C109" i="8"/>
  <c r="H106" i="8"/>
  <c r="F104" i="8"/>
  <c r="D102" i="8"/>
  <c r="B100" i="8"/>
  <c r="G97" i="8"/>
  <c r="E95" i="8"/>
  <c r="C93" i="8"/>
  <c r="H90" i="8"/>
  <c r="F88" i="8"/>
  <c r="D86" i="8"/>
  <c r="B84" i="8"/>
  <c r="G81" i="8"/>
  <c r="E79" i="8"/>
  <c r="C77" i="8"/>
  <c r="H74" i="8"/>
  <c r="F72" i="8"/>
  <c r="D70" i="8"/>
  <c r="B68" i="8"/>
  <c r="G65" i="8"/>
  <c r="E63" i="8"/>
  <c r="C61" i="8"/>
  <c r="H58" i="8"/>
  <c r="F56" i="8"/>
  <c r="D54" i="8"/>
  <c r="B52" i="8"/>
  <c r="G49" i="8"/>
  <c r="E47" i="8"/>
  <c r="C45" i="8"/>
  <c r="H42" i="8"/>
  <c r="F40" i="8"/>
  <c r="D38" i="8"/>
  <c r="B36" i="8"/>
  <c r="G33" i="8"/>
  <c r="E31" i="8"/>
  <c r="C29" i="8"/>
  <c r="H26" i="8"/>
  <c r="F24" i="8"/>
  <c r="D22" i="8"/>
  <c r="F53" i="8"/>
  <c r="H47" i="8"/>
  <c r="G42" i="8"/>
  <c r="E36" i="8"/>
  <c r="B29" i="8"/>
  <c r="F233" i="8"/>
  <c r="D231" i="8"/>
  <c r="B229" i="8"/>
  <c r="G226" i="8"/>
  <c r="E224" i="8"/>
  <c r="C222" i="8"/>
  <c r="H219" i="8"/>
  <c r="F217" i="8"/>
  <c r="D215" i="8"/>
  <c r="B213" i="8"/>
  <c r="G210" i="8"/>
  <c r="E208" i="8"/>
  <c r="C206" i="8"/>
  <c r="H203" i="8"/>
  <c r="F201" i="8"/>
  <c r="E192" i="8"/>
  <c r="C190" i="8"/>
  <c r="H187" i="8"/>
  <c r="F185" i="8"/>
  <c r="D183" i="8"/>
  <c r="B181" i="8"/>
  <c r="G178" i="8"/>
  <c r="E176" i="8"/>
  <c r="C174" i="8"/>
  <c r="H171" i="8"/>
  <c r="F169" i="8"/>
  <c r="D167" i="8"/>
  <c r="B165" i="8"/>
  <c r="G162" i="8"/>
  <c r="E160" i="8"/>
  <c r="C158" i="8"/>
  <c r="H155" i="8"/>
  <c r="F153" i="8"/>
  <c r="D151" i="8"/>
  <c r="B149" i="8"/>
  <c r="G146" i="8"/>
  <c r="E144" i="8"/>
  <c r="C142" i="8"/>
  <c r="H139" i="8"/>
  <c r="F137" i="8"/>
  <c r="D135" i="8"/>
  <c r="B133" i="8"/>
  <c r="G130" i="8"/>
  <c r="E128" i="8"/>
  <c r="C126" i="8"/>
  <c r="H123" i="8"/>
  <c r="F121" i="8"/>
  <c r="D119" i="8"/>
  <c r="B117" i="8"/>
  <c r="G114" i="8"/>
  <c r="E112" i="8"/>
  <c r="C110" i="8"/>
  <c r="H107" i="8"/>
  <c r="F105" i="8"/>
  <c r="D103" i="8"/>
  <c r="B101" i="8"/>
  <c r="G98" i="8"/>
  <c r="E96" i="8"/>
  <c r="C94" i="8"/>
  <c r="H91" i="8"/>
  <c r="F89" i="8"/>
  <c r="D87" i="8"/>
  <c r="B85" i="8"/>
  <c r="G82" i="8"/>
  <c r="E80" i="8"/>
  <c r="C78" i="8"/>
  <c r="H75" i="8"/>
  <c r="F73" i="8"/>
  <c r="D71" i="8"/>
  <c r="B69" i="8"/>
  <c r="G66" i="8"/>
  <c r="E64" i="8"/>
  <c r="C62" i="8"/>
  <c r="H59" i="8"/>
  <c r="F57" i="8"/>
  <c r="B53" i="8"/>
  <c r="F37" i="8"/>
  <c r="F29" i="8"/>
  <c r="D200" i="8"/>
  <c r="B198" i="8"/>
  <c r="G195" i="8"/>
  <c r="E193" i="8"/>
  <c r="C191" i="8"/>
  <c r="H188" i="8"/>
  <c r="F186" i="8"/>
  <c r="D184" i="8"/>
  <c r="B182" i="8"/>
  <c r="G179" i="8"/>
  <c r="E177" i="8"/>
  <c r="C175" i="8"/>
  <c r="H172" i="8"/>
  <c r="F170" i="8"/>
  <c r="D168" i="8"/>
  <c r="B166" i="8"/>
  <c r="G163" i="8"/>
  <c r="E161" i="8"/>
  <c r="C159" i="8"/>
  <c r="H156" i="8"/>
  <c r="F154" i="8"/>
  <c r="D152" i="8"/>
  <c r="B150" i="8"/>
  <c r="G147" i="8"/>
  <c r="E145" i="8"/>
  <c r="C143" i="8"/>
  <c r="H140" i="8"/>
  <c r="F138" i="8"/>
  <c r="D136" i="8"/>
  <c r="B134" i="8"/>
  <c r="G131" i="8"/>
  <c r="E129" i="8"/>
  <c r="C127" i="8"/>
  <c r="H124" i="8"/>
  <c r="F122" i="8"/>
  <c r="D120" i="8"/>
  <c r="B118" i="8"/>
  <c r="G115" i="8"/>
  <c r="E113" i="8"/>
  <c r="C111" i="8"/>
  <c r="H108" i="8"/>
  <c r="F106" i="8"/>
  <c r="D104" i="8"/>
  <c r="B102" i="8"/>
  <c r="G99" i="8"/>
  <c r="E97" i="8"/>
  <c r="C95" i="8"/>
  <c r="H92" i="8"/>
  <c r="F90" i="8"/>
  <c r="D88" i="8"/>
  <c r="B86" i="8"/>
  <c r="G83" i="8"/>
  <c r="E81" i="8"/>
  <c r="C79" i="8"/>
  <c r="H76" i="8"/>
  <c r="F74" i="8"/>
  <c r="D72" i="8"/>
  <c r="B70" i="8"/>
  <c r="G67" i="8"/>
  <c r="E65" i="8"/>
  <c r="C63" i="8"/>
  <c r="H60" i="8"/>
  <c r="F58" i="8"/>
  <c r="D56" i="8"/>
  <c r="B54" i="8"/>
  <c r="G51" i="8"/>
  <c r="E49" i="8"/>
  <c r="C47" i="8"/>
  <c r="H44" i="8"/>
  <c r="F42" i="8"/>
  <c r="D40" i="8"/>
  <c r="B38" i="8"/>
  <c r="G35" i="8"/>
  <c r="E33" i="8"/>
  <c r="C31" i="8"/>
  <c r="H28" i="8"/>
  <c r="F26" i="8"/>
  <c r="D24" i="8"/>
  <c r="B22" i="8"/>
  <c r="C34" i="8"/>
  <c r="C26" i="8"/>
  <c r="H193" i="8"/>
  <c r="F191" i="8"/>
  <c r="D189" i="8"/>
  <c r="B187" i="8"/>
  <c r="G184" i="8"/>
  <c r="E182" i="8"/>
  <c r="C180" i="8"/>
  <c r="H177" i="8"/>
  <c r="F175" i="8"/>
  <c r="D173" i="8"/>
  <c r="B171" i="8"/>
  <c r="G168" i="8"/>
  <c r="E166" i="8"/>
  <c r="C164" i="8"/>
  <c r="H161" i="8"/>
  <c r="F159" i="8"/>
  <c r="D157" i="8"/>
  <c r="B155" i="8"/>
  <c r="G152" i="8"/>
  <c r="E150" i="8"/>
  <c r="C148" i="8"/>
  <c r="H145" i="8"/>
  <c r="F143" i="8"/>
  <c r="D141" i="8"/>
  <c r="B139" i="8"/>
  <c r="G136" i="8"/>
  <c r="E134" i="8"/>
  <c r="C132" i="8"/>
  <c r="H129" i="8"/>
  <c r="F127" i="8"/>
  <c r="D125" i="8"/>
  <c r="B123" i="8"/>
  <c r="G120" i="8"/>
  <c r="E118" i="8"/>
  <c r="C116" i="8"/>
  <c r="H113" i="8"/>
  <c r="F111" i="8"/>
  <c r="D109" i="8"/>
  <c r="B107" i="8"/>
  <c r="G104" i="8"/>
  <c r="E102" i="8"/>
  <c r="C100" i="8"/>
  <c r="H97" i="8"/>
  <c r="F95" i="8"/>
  <c r="D93" i="8"/>
  <c r="B91" i="8"/>
  <c r="G88" i="8"/>
  <c r="E86" i="8"/>
  <c r="C84" i="8"/>
  <c r="H81" i="8"/>
  <c r="F79" i="8"/>
  <c r="D77" i="8"/>
  <c r="B75" i="8"/>
  <c r="G72" i="8"/>
  <c r="E70" i="8"/>
  <c r="C68" i="8"/>
  <c r="H65" i="8"/>
  <c r="F63" i="8"/>
  <c r="D61" i="8"/>
  <c r="B59" i="8"/>
  <c r="G56" i="8"/>
  <c r="E54" i="8"/>
  <c r="C52" i="8"/>
  <c r="H49" i="8"/>
  <c r="F47" i="8"/>
  <c r="D45" i="8"/>
  <c r="B43" i="8"/>
  <c r="G40" i="8"/>
  <c r="E38" i="8"/>
  <c r="C36" i="8"/>
  <c r="H33" i="8"/>
  <c r="F31" i="8"/>
  <c r="D29" i="8"/>
  <c r="B27" i="8"/>
  <c r="G24" i="8"/>
  <c r="E22" i="8"/>
  <c r="G54" i="8"/>
  <c r="C50" i="8"/>
  <c r="E44" i="8"/>
  <c r="B37" i="8"/>
  <c r="B25" i="8"/>
  <c r="E15" i="3"/>
  <c r="F15" i="3" s="1"/>
  <c r="B4" i="2"/>
  <c r="E16" i="3"/>
  <c r="F16" i="3" s="1"/>
  <c r="D9" i="2"/>
  <c r="D10" i="2"/>
  <c r="F68" i="6"/>
  <c r="E8" i="2" s="1"/>
</calcChain>
</file>

<file path=xl/sharedStrings.xml><?xml version="1.0" encoding="utf-8"?>
<sst xmlns="http://schemas.openxmlformats.org/spreadsheetml/2006/main" count="1838" uniqueCount="81">
  <si>
    <t>Is the Indian Stock Market Rally Healthy?</t>
  </si>
  <si>
    <t>Index-level analysis. Fixed question: is the October 2026 rebound broad-based, or driven by a few heavyweights?</t>
  </si>
  <si>
    <t>Item</t>
  </si>
  <si>
    <t>Value</t>
  </si>
  <si>
    <t>Note</t>
  </si>
  <si>
    <t>Analysis end date</t>
  </si>
  <si>
    <t>Last trading day in the data.</t>
  </si>
  <si>
    <t>Analysis window start (3 months)</t>
  </si>
  <si>
    <t>End date minus 3 months.</t>
  </si>
  <si>
    <t>Rebound start date</t>
  </si>
  <si>
    <t>Lowest Nifty 50 closing price in the data (closing prices, not intraday). Nifty 50 closed 15.6% below its 2 Jan 2026 high on this day. Not every index bottomed here: Bank and IT on 29 Sep, FMCG on 1 Oct, Smallcap 100 on 24 Jul. All indices are measured from the Nifty 50 low so the comparison is on the same dates.</t>
  </si>
  <si>
    <t>Helper: date of lowest Nifty 50 close in the data</t>
  </si>
  <si>
    <t>Lowest close in the whole year of data.</t>
  </si>
  <si>
    <t>Trading days in 1 week</t>
  </si>
  <si>
    <t>Approximate. Input.</t>
  </si>
  <si>
    <t>Trading days in 1 month</t>
  </si>
  <si>
    <t>Trading days in 3 months</t>
  </si>
  <si>
    <t>Position of last date</t>
  </si>
  <si>
    <t>Row number inside the Prices date list.</t>
  </si>
  <si>
    <t>Position of window start</t>
  </si>
  <si>
    <t>Last trading day on or before the window start date.</t>
  </si>
  <si>
    <t>Position of rebound start</t>
  </si>
  <si>
    <t>Must be a date that exists in Prices.</t>
  </si>
  <si>
    <t>Signal threshold (percentage points)</t>
  </si>
  <si>
    <t>2.0% = a gap of 2 percentage points. Basis: over the past year, a 6-trading-day gap between Nifty 50 and Midcap 100 returns was bigger than 1 point about 35% of the time (normal noise) but bigger than 2 points only about 7% of the time. Typical gap (standard deviation) is about 1.1 points vs Midcap and 1.6 vs Smallcap. You may change it.</t>
  </si>
  <si>
    <t>Trading days per year (annualising)</t>
  </si>
  <si>
    <t>Standard convention.</t>
  </si>
  <si>
    <t>Days in analysis window</t>
  </si>
  <si>
    <t>Drawdown and Rebased sheets have exactly this many rows.</t>
  </si>
  <si>
    <t>Check: blank cells in Prices</t>
  </si>
  <si>
    <t>Must be 0.</t>
  </si>
  <si>
    <t>Legend</t>
  </si>
  <si>
    <t>Blue text = typed input</t>
  </si>
  <si>
    <t>Black text = formula</t>
  </si>
  <si>
    <t>Yellow fill = your decision</t>
  </si>
  <si>
    <t>Limits of this version</t>
  </si>
  <si>
    <t>NIFTY 50 EQUAL WEIGHT is not in the data, so the cap-weighted vs equal-weighted test is not done. Large vs mid vs small caps is used instead.</t>
  </si>
  <si>
    <t>Breadth (how many of the 50 stocks rose) needs the 50 stock price files. Not included yet.</t>
  </si>
  <si>
    <t>NIFTY FMCG and NIFTY AUTO are extra sectors for the sector view.</t>
  </si>
  <si>
    <t>Summary: key numbers by index</t>
  </si>
  <si>
    <t>Index</t>
  </si>
  <si>
    <t>Rebound return</t>
  </si>
  <si>
    <t>3-month return</t>
  </si>
  <si>
    <t>Window volatility (annualised)</t>
  </si>
  <si>
    <t>Max drawdown (window)</t>
  </si>
  <si>
    <t>Latest 20-day volatility</t>
  </si>
  <si>
    <t>Check these numbers against the NSE site before publishing. The rebound start date and the window dates are set on the Inputs sheet.</t>
  </si>
  <si>
    <t>Returns by index</t>
  </si>
  <si>
    <t>1 Week</t>
  </si>
  <si>
    <t>1 Month</t>
  </si>
  <si>
    <t>3 Months</t>
  </si>
  <si>
    <t>Rebound (since rebound start)</t>
  </si>
  <si>
    <t>1 Year (full data)</t>
  </si>
  <si>
    <t>Spreads (percentage points, Nifty 50 minus the other index)</t>
  </si>
  <si>
    <t>Comparison</t>
  </si>
  <si>
    <t>Rebound</t>
  </si>
  <si>
    <t>Reading (rebound)</t>
  </si>
  <si>
    <t>Nifty 50 minus Midcap 100</t>
  </si>
  <si>
    <t>Nifty 50 minus Smallcap 100</t>
  </si>
  <si>
    <t>Reading rule: above the threshold = clear signal. Between half the threshold and the threshold = slightly ahead (borderline). Below half = in line. Judge it together with the other tabs.</t>
  </si>
  <si>
    <t>Date</t>
  </si>
  <si>
    <t>NIFTY 50</t>
  </si>
  <si>
    <t>NIFTY MIDCAP 100</t>
  </si>
  <si>
    <t>NIFTY SMALLCAP 100</t>
  </si>
  <si>
    <t>NIFTY BANK</t>
  </si>
  <si>
    <t>NIFTY IT</t>
  </si>
  <si>
    <t>NIFTY FMCG</t>
  </si>
  <si>
    <t>NIFTY AUTO</t>
  </si>
  <si>
    <t>Rows cover the analysis window (65 trading days). If you change the window dates, the row count must be re-extended.</t>
  </si>
  <si>
    <t>Max drawdown</t>
  </si>
  <si>
    <t>20-day rolling volatility, annualised. First value appears after 20 daily returns.</t>
  </si>
  <si>
    <t>Index Name</t>
  </si>
  <si>
    <t>Open</t>
  </si>
  <si>
    <t>High</t>
  </si>
  <si>
    <t>Low</t>
  </si>
  <si>
    <t>Close</t>
  </si>
  <si>
    <t>NIFTY Midcap 100</t>
  </si>
  <si>
    <t>NIFTY Smallcap 100</t>
  </si>
  <si>
    <t>NIFTY Bank</t>
  </si>
  <si>
    <t>NIFTY Auto</t>
  </si>
  <si>
    <t>Source: NSE Indices (niftyindices.com)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</si>
</sst>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[$-F800]dddd\,\ mmmm\ dd\,\ yyyy"/>
    <numFmt numFmtId="167" formatCode="[$-14009]dd/mm/yyyy;@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theme="0"/>
      <name val="Arial"/>
      <family val="2"/>
    </font>
    <font>
      <b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A1E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2" fillId="0" borderId="1" xfId="0" applyFont="1" applyBorder="1"/>
    <xf numFmtId="166" fontId="6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8" fillId="2" borderId="0" xfId="0" applyNumberFormat="1" applyFont="1" applyFill="1" applyAlignment="1">
      <alignment horizontal="center" vertical="center"/>
    </xf>
    <xf numFmtId="14" fontId="6" fillId="0" borderId="0" xfId="0" applyNumberFormat="1" applyFont="1"/>
    <xf numFmtId="14" fontId="7" fillId="2" borderId="2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/>
    <xf numFmtId="14" fontId="2" fillId="0" borderId="1" xfId="0" applyNumberFormat="1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SemiBold" panose="020B0502040204020203" pitchFamily="34" charset="0"/>
                <a:ea typeface="+mn-ea"/>
                <a:cs typeface="+mn-cs"/>
              </a:defRPr>
            </a:pPr>
            <a:r>
              <a:rPr lang="en-IN" sz="1400" b="0" i="0" u="none" strike="noStrike" baseline="0"/>
              <a:t>Indices rebased to 100 (16 Jul 2026 = 100)</a:t>
            </a:r>
            <a:endParaRPr lang="en-IN">
              <a:latin typeface="Bahnschrift SemiBold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SemiBold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5832216696435"/>
          <c:y val="0.14961398117918187"/>
          <c:w val="0.67699066852657297"/>
          <c:h val="0.50882753985020168"/>
        </c:manualLayout>
      </c:layout>
      <c:lineChart>
        <c:grouping val="standard"/>
        <c:varyColors val="0"/>
        <c:ser>
          <c:idx val="0"/>
          <c:order val="0"/>
          <c:tx>
            <c:strRef>
              <c:f>Rebased!$B$1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Rebased!$B$2:$B$66</c:f>
              <c:numCache>
                <c:formatCode>0.0</c:formatCode>
                <c:ptCount val="65"/>
                <c:pt idx="0">
                  <c:v>100</c:v>
                </c:pt>
                <c:pt idx="1">
                  <c:v>101.08649821894049</c:v>
                </c:pt>
                <c:pt idx="2">
                  <c:v>100.68853786958283</c:v>
                </c:pt>
                <c:pt idx="3">
                  <c:v>100.47751087848293</c:v>
                </c:pt>
                <c:pt idx="4">
                  <c:v>99.682213290961769</c:v>
                </c:pt>
                <c:pt idx="5">
                  <c:v>99.156099739331822</c:v>
                </c:pt>
                <c:pt idx="6">
                  <c:v>98.731761016086665</c:v>
                </c:pt>
                <c:pt idx="7">
                  <c:v>99.680967068573395</c:v>
                </c:pt>
                <c:pt idx="8">
                  <c:v>99.636933877517109</c:v>
                </c:pt>
                <c:pt idx="9">
                  <c:v>100.73714054272986</c:v>
                </c:pt>
                <c:pt idx="10">
                  <c:v>101.01525583907116</c:v>
                </c:pt>
                <c:pt idx="11">
                  <c:v>101.29129409809848</c:v>
                </c:pt>
                <c:pt idx="12">
                  <c:v>102.91429105523879</c:v>
                </c:pt>
                <c:pt idx="13">
                  <c:v>102.25213155954347</c:v>
                </c:pt>
                <c:pt idx="14">
                  <c:v>102.292633787166</c:v>
                </c:pt>
                <c:pt idx="15">
                  <c:v>102.33978253419322</c:v>
                </c:pt>
                <c:pt idx="16">
                  <c:v>102.06831375725665</c:v>
                </c:pt>
                <c:pt idx="17">
                  <c:v>102.1229398386142</c:v>
                </c:pt>
                <c:pt idx="18">
                  <c:v>101.65726807282094</c:v>
                </c:pt>
                <c:pt idx="19">
                  <c:v>101.5087599048717</c:v>
                </c:pt>
                <c:pt idx="20">
                  <c:v>101.34218151229086</c:v>
                </c:pt>
                <c:pt idx="21">
                  <c:v>101.21818238464655</c:v>
                </c:pt>
                <c:pt idx="22">
                  <c:v>100.89271063754661</c:v>
                </c:pt>
                <c:pt idx="23">
                  <c:v>100.34125723068617</c:v>
                </c:pt>
                <c:pt idx="24">
                  <c:v>100.02305511418513</c:v>
                </c:pt>
                <c:pt idx="25">
                  <c:v>100.66091327330695</c:v>
                </c:pt>
                <c:pt idx="26">
                  <c:v>100.74461787706016</c:v>
                </c:pt>
                <c:pt idx="27">
                  <c:v>100.60774111806919</c:v>
                </c:pt>
                <c:pt idx="28">
                  <c:v>101.08753673759749</c:v>
                </c:pt>
                <c:pt idx="29">
                  <c:v>100.56080007477335</c:v>
                </c:pt>
                <c:pt idx="30">
                  <c:v>100.0751887507659</c:v>
                </c:pt>
                <c:pt idx="31">
                  <c:v>100.42745427921614</c:v>
                </c:pt>
                <c:pt idx="32">
                  <c:v>100.03177867090383</c:v>
                </c:pt>
                <c:pt idx="33">
                  <c:v>99.929588435056232</c:v>
                </c:pt>
                <c:pt idx="34">
                  <c:v>99.34240998639541</c:v>
                </c:pt>
                <c:pt idx="35">
                  <c:v>99.172092926649441</c:v>
                </c:pt>
                <c:pt idx="36">
                  <c:v>99.272829236377234</c:v>
                </c:pt>
                <c:pt idx="37">
                  <c:v>98.780363689233681</c:v>
                </c:pt>
                <c:pt idx="38">
                  <c:v>98.181969239077375</c:v>
                </c:pt>
                <c:pt idx="39">
                  <c:v>97.336199644826621</c:v>
                </c:pt>
                <c:pt idx="40">
                  <c:v>97.528533300100733</c:v>
                </c:pt>
                <c:pt idx="41">
                  <c:v>97.197453552253052</c:v>
                </c:pt>
                <c:pt idx="42">
                  <c:v>96.036389693740844</c:v>
                </c:pt>
                <c:pt idx="43">
                  <c:v>96.44764308190797</c:v>
                </c:pt>
                <c:pt idx="44">
                  <c:v>96.667809037189343</c:v>
                </c:pt>
                <c:pt idx="45">
                  <c:v>96.982687893988015</c:v>
                </c:pt>
                <c:pt idx="46">
                  <c:v>97.264749561225855</c:v>
                </c:pt>
                <c:pt idx="47">
                  <c:v>96.91040699546167</c:v>
                </c:pt>
                <c:pt idx="48">
                  <c:v>97.399756986634273</c:v>
                </c:pt>
                <c:pt idx="49">
                  <c:v>95.805838551889579</c:v>
                </c:pt>
                <c:pt idx="50">
                  <c:v>96.127363928092961</c:v>
                </c:pt>
                <c:pt idx="51">
                  <c:v>94.630858543373733</c:v>
                </c:pt>
                <c:pt idx="52">
                  <c:v>94.364790063453498</c:v>
                </c:pt>
                <c:pt idx="53">
                  <c:v>93.967037417827214</c:v>
                </c:pt>
                <c:pt idx="54">
                  <c:v>93.142453604178996</c:v>
                </c:pt>
                <c:pt idx="55">
                  <c:v>93.698268789398796</c:v>
                </c:pt>
                <c:pt idx="56">
                  <c:v>94.613619133667726</c:v>
                </c:pt>
                <c:pt idx="57">
                  <c:v>93.89475651930087</c:v>
                </c:pt>
                <c:pt idx="58">
                  <c:v>92.352556313674171</c:v>
                </c:pt>
                <c:pt idx="59">
                  <c:v>93.551629955032141</c:v>
                </c:pt>
                <c:pt idx="60">
                  <c:v>92.899024830981077</c:v>
                </c:pt>
                <c:pt idx="61">
                  <c:v>94.388675992564202</c:v>
                </c:pt>
                <c:pt idx="62">
                  <c:v>93.976384085740108</c:v>
                </c:pt>
                <c:pt idx="63">
                  <c:v>95.532708145101822</c:v>
                </c:pt>
                <c:pt idx="64">
                  <c:v>96.150834449740898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3-40BA-89A5-536CB086AD08}"/>
            </c:ext>
          </c:extLst>
        </c:ser>
        <c:ser>
          <c:idx val="1"/>
          <c:order val="1"/>
          <c:tx>
            <c:strRef>
              <c:f>Rebased!$C$1</c:f>
              <c:strCache>
                <c:ptCount val="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Rebased!$C$2:$C$66</c:f>
              <c:numCache>
                <c:formatCode>0.0</c:formatCode>
                <c:ptCount val="65"/>
                <c:pt idx="0">
                  <c:v>100</c:v>
                </c:pt>
                <c:pt idx="1">
                  <c:v>99.587313108432014</c:v>
                </c:pt>
                <c:pt idx="2">
                  <c:v>100.18345184588451</c:v>
                </c:pt>
                <c:pt idx="3">
                  <c:v>100.47992598116826</c:v>
                </c:pt>
                <c:pt idx="4">
                  <c:v>99.384000606188707</c:v>
                </c:pt>
                <c:pt idx="5">
                  <c:v>98.401974899001786</c:v>
                </c:pt>
                <c:pt idx="6">
                  <c:v>98.302033523830787</c:v>
                </c:pt>
                <c:pt idx="7">
                  <c:v>99.38886606818825</c:v>
                </c:pt>
                <c:pt idx="8">
                  <c:v>99.465197988410623</c:v>
                </c:pt>
                <c:pt idx="9">
                  <c:v>100.27996346915418</c:v>
                </c:pt>
                <c:pt idx="10">
                  <c:v>99.928214495088667</c:v>
                </c:pt>
                <c:pt idx="11">
                  <c:v>100.36459060327741</c:v>
                </c:pt>
                <c:pt idx="12">
                  <c:v>101.58334895332746</c:v>
                </c:pt>
                <c:pt idx="13">
                  <c:v>101.2839236361751</c:v>
                </c:pt>
                <c:pt idx="14">
                  <c:v>101.46522191691227</c:v>
                </c:pt>
                <c:pt idx="15">
                  <c:v>101.02102916485542</c:v>
                </c:pt>
                <c:pt idx="16">
                  <c:v>101.23917733811372</c:v>
                </c:pt>
                <c:pt idx="17">
                  <c:v>101.86474813257985</c:v>
                </c:pt>
                <c:pt idx="18">
                  <c:v>101.84584461628654</c:v>
                </c:pt>
                <c:pt idx="19">
                  <c:v>102.1338640143252</c:v>
                </c:pt>
                <c:pt idx="20">
                  <c:v>102.28884094326153</c:v>
                </c:pt>
                <c:pt idx="21">
                  <c:v>101.7474187128859</c:v>
                </c:pt>
                <c:pt idx="22">
                  <c:v>101.80301259835612</c:v>
                </c:pt>
                <c:pt idx="23">
                  <c:v>101.36017579472536</c:v>
                </c:pt>
                <c:pt idx="24">
                  <c:v>101.15175854546614</c:v>
                </c:pt>
                <c:pt idx="25">
                  <c:v>101.57098589414828</c:v>
                </c:pt>
                <c:pt idx="26">
                  <c:v>101.67339988115512</c:v>
                </c:pt>
                <c:pt idx="27">
                  <c:v>101.80341140671673</c:v>
                </c:pt>
                <c:pt idx="28">
                  <c:v>102.35480384610783</c:v>
                </c:pt>
                <c:pt idx="29">
                  <c:v>102.25637794270719</c:v>
                </c:pt>
                <c:pt idx="30">
                  <c:v>102.15149134386452</c:v>
                </c:pt>
                <c:pt idx="31">
                  <c:v>102.20580904258077</c:v>
                </c:pt>
                <c:pt idx="32">
                  <c:v>102.45346903452483</c:v>
                </c:pt>
                <c:pt idx="33">
                  <c:v>101.03331246236247</c:v>
                </c:pt>
                <c:pt idx="34">
                  <c:v>100.50225924936289</c:v>
                </c:pt>
                <c:pt idx="35">
                  <c:v>100.8749057815248</c:v>
                </c:pt>
                <c:pt idx="36">
                  <c:v>100.62581007948251</c:v>
                </c:pt>
                <c:pt idx="37">
                  <c:v>100.15856620418191</c:v>
                </c:pt>
                <c:pt idx="38">
                  <c:v>100.36538821999865</c:v>
                </c:pt>
                <c:pt idx="39">
                  <c:v>99.850127818079585</c:v>
                </c:pt>
                <c:pt idx="40">
                  <c:v>99.474530104049094</c:v>
                </c:pt>
                <c:pt idx="41">
                  <c:v>99.219053468236908</c:v>
                </c:pt>
                <c:pt idx="42">
                  <c:v>97.115020319285975</c:v>
                </c:pt>
                <c:pt idx="43">
                  <c:v>97.108559623843945</c:v>
                </c:pt>
                <c:pt idx="44">
                  <c:v>97.998540361400131</c:v>
                </c:pt>
                <c:pt idx="45">
                  <c:v>99.209561829254184</c:v>
                </c:pt>
                <c:pt idx="46">
                  <c:v>98.925370991477465</c:v>
                </c:pt>
                <c:pt idx="47">
                  <c:v>98.845689081025895</c:v>
                </c:pt>
                <c:pt idx="48">
                  <c:v>99.536903731649829</c:v>
                </c:pt>
                <c:pt idx="49">
                  <c:v>97.293526941498811</c:v>
                </c:pt>
                <c:pt idx="50">
                  <c:v>97.159288047314632</c:v>
                </c:pt>
                <c:pt idx="51">
                  <c:v>95.577135519069017</c:v>
                </c:pt>
                <c:pt idx="52">
                  <c:v>94.628290667485558</c:v>
                </c:pt>
                <c:pt idx="53">
                  <c:v>94.648470370532863</c:v>
                </c:pt>
                <c:pt idx="54">
                  <c:v>93.691250543376398</c:v>
                </c:pt>
                <c:pt idx="55">
                  <c:v>94.316023721121283</c:v>
                </c:pt>
                <c:pt idx="56">
                  <c:v>95.333064802370515</c:v>
                </c:pt>
                <c:pt idx="57">
                  <c:v>94.729109421049898</c:v>
                </c:pt>
                <c:pt idx="58">
                  <c:v>92.336099733994828</c:v>
                </c:pt>
                <c:pt idx="59">
                  <c:v>93.77946695274521</c:v>
                </c:pt>
                <c:pt idx="60">
                  <c:v>93.854841732902088</c:v>
                </c:pt>
                <c:pt idx="61">
                  <c:v>94.851304302743401</c:v>
                </c:pt>
                <c:pt idx="62">
                  <c:v>94.771383107275454</c:v>
                </c:pt>
                <c:pt idx="63">
                  <c:v>94.433432902487368</c:v>
                </c:pt>
                <c:pt idx="64">
                  <c:v>94.325754645120384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3-40BA-89A5-536CB086AD08}"/>
            </c:ext>
          </c:extLst>
        </c:ser>
        <c:ser>
          <c:idx val="2"/>
          <c:order val="2"/>
          <c:tx>
            <c:strRef>
              <c:f>Rebased!$D$1</c:f>
              <c:strCache>
                <c:ptCount val="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Rebased!$D$2:$D$66</c:f>
              <c:numCache>
                <c:formatCode>0.0</c:formatCode>
                <c:ptCount val="65"/>
                <c:pt idx="0">
                  <c:v>100</c:v>
                </c:pt>
                <c:pt idx="1">
                  <c:v>99.793393238089081</c:v>
                </c:pt>
                <c:pt idx="2">
                  <c:v>99.949317990820347</c:v>
                </c:pt>
                <c:pt idx="3">
                  <c:v>100.47475596353999</c:v>
                </c:pt>
                <c:pt idx="4">
                  <c:v>98.929471846919654</c:v>
                </c:pt>
                <c:pt idx="5">
                  <c:v>97.93186372745491</c:v>
                </c:pt>
                <c:pt idx="6">
                  <c:v>97.614325425043631</c:v>
                </c:pt>
                <c:pt idx="7">
                  <c:v>98.89508048354773</c:v>
                </c:pt>
                <c:pt idx="8">
                  <c:v>98.678389036136792</c:v>
                </c:pt>
                <c:pt idx="9">
                  <c:v>100.13497963669273</c:v>
                </c:pt>
                <c:pt idx="10">
                  <c:v>99.576960372357632</c:v>
                </c:pt>
                <c:pt idx="11">
                  <c:v>100.0175835542052</c:v>
                </c:pt>
                <c:pt idx="12">
                  <c:v>101.30894046156828</c:v>
                </c:pt>
                <c:pt idx="13">
                  <c:v>101.54631844333828</c:v>
                </c:pt>
                <c:pt idx="14">
                  <c:v>102.3140474497382</c:v>
                </c:pt>
                <c:pt idx="15">
                  <c:v>102.80302540565</c:v>
                </c:pt>
                <c:pt idx="16">
                  <c:v>102.74898183463701</c:v>
                </c:pt>
                <c:pt idx="17">
                  <c:v>102.47048936582843</c:v>
                </c:pt>
                <c:pt idx="18">
                  <c:v>102.69390393690607</c:v>
                </c:pt>
                <c:pt idx="19">
                  <c:v>102.51031094446958</c:v>
                </c:pt>
                <c:pt idx="20">
                  <c:v>102.78673475984226</c:v>
                </c:pt>
                <c:pt idx="21">
                  <c:v>102.0805481931605</c:v>
                </c:pt>
                <c:pt idx="22">
                  <c:v>102.44618268795655</c:v>
                </c:pt>
                <c:pt idx="23">
                  <c:v>102.44411403452065</c:v>
                </c:pt>
                <c:pt idx="24">
                  <c:v>101.91815889844204</c:v>
                </c:pt>
                <c:pt idx="25">
                  <c:v>102.61270928954684</c:v>
                </c:pt>
                <c:pt idx="26">
                  <c:v>103.31760294783115</c:v>
                </c:pt>
                <c:pt idx="27">
                  <c:v>103.05384963475336</c:v>
                </c:pt>
                <c:pt idx="28">
                  <c:v>102.94964121791969</c:v>
                </c:pt>
                <c:pt idx="29">
                  <c:v>103.78072273579417</c:v>
                </c:pt>
                <c:pt idx="30">
                  <c:v>103.64289870062706</c:v>
                </c:pt>
                <c:pt idx="31">
                  <c:v>103.84640248238412</c:v>
                </c:pt>
                <c:pt idx="32">
                  <c:v>103.07919063934321</c:v>
                </c:pt>
                <c:pt idx="33">
                  <c:v>102.84439847436808</c:v>
                </c:pt>
                <c:pt idx="34">
                  <c:v>102.46169758872583</c:v>
                </c:pt>
                <c:pt idx="35">
                  <c:v>103.69513219988364</c:v>
                </c:pt>
                <c:pt idx="36">
                  <c:v>103.92630422134592</c:v>
                </c:pt>
                <c:pt idx="37">
                  <c:v>103.9508694808973</c:v>
                </c:pt>
                <c:pt idx="38">
                  <c:v>104.12437778783372</c:v>
                </c:pt>
                <c:pt idx="39">
                  <c:v>103.62350507466547</c:v>
                </c:pt>
                <c:pt idx="40">
                  <c:v>103.54618915249856</c:v>
                </c:pt>
                <c:pt idx="41">
                  <c:v>102.94808972784277</c:v>
                </c:pt>
                <c:pt idx="42">
                  <c:v>100.44579481543734</c:v>
                </c:pt>
                <c:pt idx="43">
                  <c:v>100.26918352834701</c:v>
                </c:pt>
                <c:pt idx="44">
                  <c:v>101.03148231947767</c:v>
                </c:pt>
                <c:pt idx="45">
                  <c:v>102.78983773999613</c:v>
                </c:pt>
                <c:pt idx="46">
                  <c:v>102.71640054302154</c:v>
                </c:pt>
                <c:pt idx="47">
                  <c:v>102.47824681621307</c:v>
                </c:pt>
                <c:pt idx="48">
                  <c:v>103.38871290969034</c:v>
                </c:pt>
                <c:pt idx="49">
                  <c:v>101.80231430603142</c:v>
                </c:pt>
                <c:pt idx="50">
                  <c:v>101.96004913051911</c:v>
                </c:pt>
                <c:pt idx="51">
                  <c:v>100.07679875880793</c:v>
                </c:pt>
                <c:pt idx="52">
                  <c:v>99.262007886741216</c:v>
                </c:pt>
                <c:pt idx="53">
                  <c:v>99.531708578447223</c:v>
                </c:pt>
                <c:pt idx="54">
                  <c:v>98.564354515482592</c:v>
                </c:pt>
                <c:pt idx="55">
                  <c:v>99.032128773676376</c:v>
                </c:pt>
                <c:pt idx="56">
                  <c:v>100.58155019716853</c:v>
                </c:pt>
                <c:pt idx="57">
                  <c:v>100.88279785377206</c:v>
                </c:pt>
                <c:pt idx="58">
                  <c:v>98.520137048290124</c:v>
                </c:pt>
                <c:pt idx="59">
                  <c:v>99.055918288189275</c:v>
                </c:pt>
                <c:pt idx="60">
                  <c:v>100.46311978796302</c:v>
                </c:pt>
                <c:pt idx="61">
                  <c:v>100.57482707350185</c:v>
                </c:pt>
                <c:pt idx="62">
                  <c:v>100.25108281078286</c:v>
                </c:pt>
                <c:pt idx="63">
                  <c:v>98.942142349214564</c:v>
                </c:pt>
                <c:pt idx="64">
                  <c:v>98.93231624539402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3-40BA-89A5-536CB086AD08}"/>
            </c:ext>
          </c:extLst>
        </c:ser>
        <c:ser>
          <c:idx val="3"/>
          <c:order val="3"/>
          <c:tx>
            <c:strRef>
              <c:f>Rebased!$E$1</c:f>
              <c:strCache>
                <c:ptCount val="1"/>
                <c:pt idx="0">
                  <c:v>NIFTY Bank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Rebased!$E$2:$E$66</c:f>
              <c:numCache>
                <c:formatCode>0.0</c:formatCode>
                <c:ptCount val="65"/>
                <c:pt idx="0">
                  <c:v>100</c:v>
                </c:pt>
                <c:pt idx="1">
                  <c:v>101.63097134967806</c:v>
                </c:pt>
                <c:pt idx="2">
                  <c:v>100.62996843645394</c:v>
                </c:pt>
                <c:pt idx="3">
                  <c:v>100.43954517234044</c:v>
                </c:pt>
                <c:pt idx="4">
                  <c:v>99.209044453803045</c:v>
                </c:pt>
                <c:pt idx="5">
                  <c:v>98.280286025641587</c:v>
                </c:pt>
                <c:pt idx="6">
                  <c:v>98.4565556226094</c:v>
                </c:pt>
                <c:pt idx="7">
                  <c:v>99.140273261291455</c:v>
                </c:pt>
                <c:pt idx="8">
                  <c:v>98.564401356320744</c:v>
                </c:pt>
                <c:pt idx="9">
                  <c:v>99.346413174198645</c:v>
                </c:pt>
                <c:pt idx="10">
                  <c:v>99.244993031706812</c:v>
                </c:pt>
                <c:pt idx="11">
                  <c:v>99.448788472142027</c:v>
                </c:pt>
                <c:pt idx="12">
                  <c:v>101.15608542563028</c:v>
                </c:pt>
                <c:pt idx="13">
                  <c:v>100.56432320723833</c:v>
                </c:pt>
                <c:pt idx="14">
                  <c:v>100.27386911765343</c:v>
                </c:pt>
                <c:pt idx="15">
                  <c:v>100.83602151704736</c:v>
                </c:pt>
                <c:pt idx="16">
                  <c:v>100.28515731844448</c:v>
                </c:pt>
                <c:pt idx="17">
                  <c:v>100.18182686504954</c:v>
                </c:pt>
                <c:pt idx="18">
                  <c:v>99.76381610652588</c:v>
                </c:pt>
                <c:pt idx="19">
                  <c:v>100.52724580925545</c:v>
                </c:pt>
                <c:pt idx="20">
                  <c:v>100.09204225260389</c:v>
                </c:pt>
                <c:pt idx="21">
                  <c:v>99.841704691984063</c:v>
                </c:pt>
                <c:pt idx="22">
                  <c:v>99.853340222030226</c:v>
                </c:pt>
                <c:pt idx="23">
                  <c:v>99.444533688766938</c:v>
                </c:pt>
                <c:pt idx="24">
                  <c:v>99.405198650625849</c:v>
                </c:pt>
                <c:pt idx="25">
                  <c:v>99.850040594106687</c:v>
                </c:pt>
                <c:pt idx="26">
                  <c:v>100.31207533571542</c:v>
                </c:pt>
                <c:pt idx="27">
                  <c:v>99.902226814686813</c:v>
                </c:pt>
                <c:pt idx="28">
                  <c:v>99.881821220949163</c:v>
                </c:pt>
                <c:pt idx="29">
                  <c:v>100.34993422452231</c:v>
                </c:pt>
                <c:pt idx="30">
                  <c:v>99.874440474278089</c:v>
                </c:pt>
                <c:pt idx="31">
                  <c:v>99.850735252616914</c:v>
                </c:pt>
                <c:pt idx="32">
                  <c:v>100.76881330618377</c:v>
                </c:pt>
                <c:pt idx="33">
                  <c:v>99.700168020527158</c:v>
                </c:pt>
                <c:pt idx="34">
                  <c:v>99.287540865457672</c:v>
                </c:pt>
                <c:pt idx="35">
                  <c:v>99.649805278536348</c:v>
                </c:pt>
                <c:pt idx="36">
                  <c:v>99.630789001819139</c:v>
                </c:pt>
                <c:pt idx="37">
                  <c:v>99.142183572194568</c:v>
                </c:pt>
                <c:pt idx="38">
                  <c:v>98.602520742068961</c:v>
                </c:pt>
                <c:pt idx="39">
                  <c:v>97.765457237256285</c:v>
                </c:pt>
                <c:pt idx="40">
                  <c:v>98.071801640262407</c:v>
                </c:pt>
                <c:pt idx="41">
                  <c:v>98.305554228950768</c:v>
                </c:pt>
                <c:pt idx="42">
                  <c:v>96.895744782463339</c:v>
                </c:pt>
                <c:pt idx="43">
                  <c:v>97.760073633802079</c:v>
                </c:pt>
                <c:pt idx="44">
                  <c:v>97.349009460380586</c:v>
                </c:pt>
                <c:pt idx="45">
                  <c:v>97.875126449556944</c:v>
                </c:pt>
                <c:pt idx="46">
                  <c:v>98.069544000104202</c:v>
                </c:pt>
                <c:pt idx="47">
                  <c:v>97.626525535212679</c:v>
                </c:pt>
                <c:pt idx="48">
                  <c:v>98.205436571165592</c:v>
                </c:pt>
                <c:pt idx="49">
                  <c:v>96.277064546800446</c:v>
                </c:pt>
                <c:pt idx="50">
                  <c:v>96.523494653300276</c:v>
                </c:pt>
                <c:pt idx="51">
                  <c:v>94.597988095289793</c:v>
                </c:pt>
                <c:pt idx="52">
                  <c:v>94.230340078756896</c:v>
                </c:pt>
                <c:pt idx="53">
                  <c:v>94.878282804162751</c:v>
                </c:pt>
                <c:pt idx="54">
                  <c:v>94.561692188130891</c:v>
                </c:pt>
                <c:pt idx="55">
                  <c:v>95.019037984795659</c:v>
                </c:pt>
                <c:pt idx="56">
                  <c:v>95.738530536753956</c:v>
                </c:pt>
                <c:pt idx="57">
                  <c:v>95.612015855580495</c:v>
                </c:pt>
                <c:pt idx="58">
                  <c:v>94.673358543648433</c:v>
                </c:pt>
                <c:pt idx="59">
                  <c:v>95.961255421592597</c:v>
                </c:pt>
                <c:pt idx="60">
                  <c:v>95.373140160379293</c:v>
                </c:pt>
                <c:pt idx="61">
                  <c:v>96.350958845824891</c:v>
                </c:pt>
                <c:pt idx="62">
                  <c:v>96.064325378046192</c:v>
                </c:pt>
                <c:pt idx="63">
                  <c:v>96.923096961303173</c:v>
                </c:pt>
                <c:pt idx="64">
                  <c:v>96.981274611533934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E3-40BA-89A5-536CB086AD08}"/>
            </c:ext>
          </c:extLst>
        </c:ser>
        <c:ser>
          <c:idx val="4"/>
          <c:order val="4"/>
          <c:tx>
            <c:strRef>
              <c:f>Rebased!$F$1</c:f>
              <c:strCache>
                <c:ptCount val="1"/>
                <c:pt idx="0">
                  <c:v>NIFTY 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Rebased!$A$2:$A$66</c:f>
              <c:numCache>
                <c:formatCode>[$-F800]dddd\,\ mmmm\ dd\,\ 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Rebased!$F$2:$F$66</c:f>
              <c:numCache>
                <c:formatCode>0.0</c:formatCode>
                <c:ptCount val="65"/>
                <c:pt idx="0">
                  <c:v>100</c:v>
                </c:pt>
                <c:pt idx="1">
                  <c:v>101.75471579870903</c:v>
                </c:pt>
                <c:pt idx="2">
                  <c:v>101.52928356068045</c:v>
                </c:pt>
                <c:pt idx="3">
                  <c:v>100.9114773732183</c:v>
                </c:pt>
                <c:pt idx="4">
                  <c:v>99.398557233676627</c:v>
                </c:pt>
                <c:pt idx="5">
                  <c:v>99.341807496535822</c:v>
                </c:pt>
                <c:pt idx="6">
                  <c:v>100.15788960609416</c:v>
                </c:pt>
                <c:pt idx="7">
                  <c:v>102.50429975002264</c:v>
                </c:pt>
                <c:pt idx="8">
                  <c:v>105.9038875310731</c:v>
                </c:pt>
                <c:pt idx="9">
                  <c:v>108.3575303071449</c:v>
                </c:pt>
                <c:pt idx="10">
                  <c:v>108.60628912424363</c:v>
                </c:pt>
                <c:pt idx="11">
                  <c:v>106.91546029955505</c:v>
                </c:pt>
                <c:pt idx="12">
                  <c:v>110.41914729167972</c:v>
                </c:pt>
                <c:pt idx="13">
                  <c:v>109.51010702373742</c:v>
                </c:pt>
                <c:pt idx="14">
                  <c:v>109.33567991755622</c:v>
                </c:pt>
                <c:pt idx="15">
                  <c:v>108.29869162262472</c:v>
                </c:pt>
                <c:pt idx="16">
                  <c:v>109.83580873597796</c:v>
                </c:pt>
                <c:pt idx="17">
                  <c:v>110.12739097435468</c:v>
                </c:pt>
                <c:pt idx="18">
                  <c:v>110.79480966207795</c:v>
                </c:pt>
                <c:pt idx="19">
                  <c:v>109.0867470215092</c:v>
                </c:pt>
                <c:pt idx="20">
                  <c:v>109.50923662899599</c:v>
                </c:pt>
                <c:pt idx="21">
                  <c:v>109.17448281144466</c:v>
                </c:pt>
                <c:pt idx="22">
                  <c:v>107.25978845926205</c:v>
                </c:pt>
                <c:pt idx="23">
                  <c:v>105.19051200100272</c:v>
                </c:pt>
                <c:pt idx="24">
                  <c:v>105.95506674186876</c:v>
                </c:pt>
                <c:pt idx="25">
                  <c:v>106.79064569363499</c:v>
                </c:pt>
                <c:pt idx="26">
                  <c:v>106.30043937526548</c:v>
                </c:pt>
                <c:pt idx="27">
                  <c:v>106.52552345539749</c:v>
                </c:pt>
                <c:pt idx="28">
                  <c:v>107.1344516164971</c:v>
                </c:pt>
                <c:pt idx="29">
                  <c:v>105.55747042398669</c:v>
                </c:pt>
                <c:pt idx="30">
                  <c:v>105.21732015903854</c:v>
                </c:pt>
                <c:pt idx="31">
                  <c:v>108.90970873110375</c:v>
                </c:pt>
                <c:pt idx="32">
                  <c:v>108.59549622944999</c:v>
                </c:pt>
                <c:pt idx="33">
                  <c:v>109.65824820872763</c:v>
                </c:pt>
                <c:pt idx="34">
                  <c:v>108.28720241203791</c:v>
                </c:pt>
                <c:pt idx="35">
                  <c:v>107.3678914861468</c:v>
                </c:pt>
                <c:pt idx="36">
                  <c:v>106.86741450982851</c:v>
                </c:pt>
                <c:pt idx="37">
                  <c:v>104.43065739174031</c:v>
                </c:pt>
                <c:pt idx="38">
                  <c:v>104.04159094232416</c:v>
                </c:pt>
                <c:pt idx="39">
                  <c:v>100.66620013508528</c:v>
                </c:pt>
                <c:pt idx="40">
                  <c:v>100.58594973992605</c:v>
                </c:pt>
                <c:pt idx="41">
                  <c:v>100.69248605627625</c:v>
                </c:pt>
                <c:pt idx="42">
                  <c:v>102.89911080473217</c:v>
                </c:pt>
                <c:pt idx="43">
                  <c:v>101.27095040142606</c:v>
                </c:pt>
                <c:pt idx="44">
                  <c:v>101.50752369214486</c:v>
                </c:pt>
                <c:pt idx="45">
                  <c:v>100.45939434452313</c:v>
                </c:pt>
                <c:pt idx="46">
                  <c:v>100.3770550019845</c:v>
                </c:pt>
                <c:pt idx="47">
                  <c:v>99.510838155320201</c:v>
                </c:pt>
                <c:pt idx="48">
                  <c:v>98.647232492880178</c:v>
                </c:pt>
                <c:pt idx="49">
                  <c:v>98.211338806375466</c:v>
                </c:pt>
                <c:pt idx="50">
                  <c:v>98.04439709497052</c:v>
                </c:pt>
                <c:pt idx="51">
                  <c:v>97.785367619922994</c:v>
                </c:pt>
                <c:pt idx="52">
                  <c:v>96.335289980712062</c:v>
                </c:pt>
                <c:pt idx="53">
                  <c:v>96.456448928718146</c:v>
                </c:pt>
                <c:pt idx="54">
                  <c:v>98.545048150237108</c:v>
                </c:pt>
                <c:pt idx="55">
                  <c:v>98.534429334391746</c:v>
                </c:pt>
                <c:pt idx="56">
                  <c:v>97.957879857673063</c:v>
                </c:pt>
                <c:pt idx="57">
                  <c:v>96.640972613899862</c:v>
                </c:pt>
                <c:pt idx="58">
                  <c:v>96.567163139827173</c:v>
                </c:pt>
                <c:pt idx="59">
                  <c:v>99.485770786767219</c:v>
                </c:pt>
                <c:pt idx="60">
                  <c:v>98.701371045796691</c:v>
                </c:pt>
                <c:pt idx="61">
                  <c:v>103.85584870450447</c:v>
                </c:pt>
                <c:pt idx="62">
                  <c:v>105.04271897390905</c:v>
                </c:pt>
                <c:pt idx="63">
                  <c:v>106.95340951028112</c:v>
                </c:pt>
                <c:pt idx="64">
                  <c:v>111.14627505866461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E3-40BA-89A5-536CB086A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324360"/>
        <c:axId val="527323376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Rebased!$G$1</c15:sqref>
                        </c15:formulaRef>
                      </c:ext>
                    </c:extLst>
                    <c:strCache>
                      <c:ptCount val="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Rebased!$A$2:$A$66</c15:sqref>
                        </c15:formulaRef>
                      </c:ext>
                    </c:extLst>
                    <c:numCache>
                      <c:formatCode>[$-F800]dddd\,\ mmmm\ dd\,\ 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Rebased!$G$2:$G$66</c15:sqref>
                        </c15:formulaRef>
                      </c:ext>
                    </c:extLst>
                    <c:numCache>
                      <c:formatCode>0.0</c:formatCode>
                      <c:ptCount val="65"/>
                      <c:pt idx="0">
                        <c:v>100</c:v>
                      </c:pt>
                      <c:pt idx="1">
                        <c:v>100.70380928772103</c:v>
                      </c:pt>
                      <c:pt idx="2">
                        <c:v>101.36227483060651</c:v>
                      </c:pt>
                      <c:pt idx="3">
                        <c:v>101.051892249215</c:v>
                      </c:pt>
                      <c:pt idx="4">
                        <c:v>101.70591637745827</c:v>
                      </c:pt>
                      <c:pt idx="5">
                        <c:v>101.29152206246901</c:v>
                      </c:pt>
                      <c:pt idx="6">
                        <c:v>101.33304412493804</c:v>
                      </c:pt>
                      <c:pt idx="7">
                        <c:v>102.38968765493308</c:v>
                      </c:pt>
                      <c:pt idx="8">
                        <c:v>100.97752437613616</c:v>
                      </c:pt>
                      <c:pt idx="9">
                        <c:v>102.64966534457113</c:v>
                      </c:pt>
                      <c:pt idx="10">
                        <c:v>102.54926871591472</c:v>
                      </c:pt>
                      <c:pt idx="11">
                        <c:v>101.4733101966617</c:v>
                      </c:pt>
                      <c:pt idx="12">
                        <c:v>103.2176499752107</c:v>
                      </c:pt>
                      <c:pt idx="13">
                        <c:v>102.31180796562552</c:v>
                      </c:pt>
                      <c:pt idx="14">
                        <c:v>102.01516278301108</c:v>
                      </c:pt>
                      <c:pt idx="15">
                        <c:v>101.98696496446868</c:v>
                      </c:pt>
                      <c:pt idx="16">
                        <c:v>102.12196331184929</c:v>
                      </c:pt>
                      <c:pt idx="17">
                        <c:v>101.97405387539249</c:v>
                      </c:pt>
                      <c:pt idx="18">
                        <c:v>100.78468434969426</c:v>
                      </c:pt>
                      <c:pt idx="19">
                        <c:v>100.04410428028424</c:v>
                      </c:pt>
                      <c:pt idx="20">
                        <c:v>100.88683688646505</c:v>
                      </c:pt>
                      <c:pt idx="21">
                        <c:v>100.42771855891588</c:v>
                      </c:pt>
                      <c:pt idx="22">
                        <c:v>99.374173690299131</c:v>
                      </c:pt>
                      <c:pt idx="23">
                        <c:v>98.609320773425893</c:v>
                      </c:pt>
                      <c:pt idx="24">
                        <c:v>98.070360271029585</c:v>
                      </c:pt>
                      <c:pt idx="25">
                        <c:v>98.874669476119649</c:v>
                      </c:pt>
                      <c:pt idx="26">
                        <c:v>98.146897207073209</c:v>
                      </c:pt>
                      <c:pt idx="27">
                        <c:v>98.181705503222616</c:v>
                      </c:pt>
                      <c:pt idx="28">
                        <c:v>98.551788960502392</c:v>
                      </c:pt>
                      <c:pt idx="29">
                        <c:v>97.613824161295653</c:v>
                      </c:pt>
                      <c:pt idx="30">
                        <c:v>97.154292678896041</c:v>
                      </c:pt>
                      <c:pt idx="31">
                        <c:v>96.709221616261772</c:v>
                      </c:pt>
                      <c:pt idx="32">
                        <c:v>95.078396132870608</c:v>
                      </c:pt>
                      <c:pt idx="33">
                        <c:v>95.969984300115684</c:v>
                      </c:pt>
                      <c:pt idx="34">
                        <c:v>95.5225375970914</c:v>
                      </c:pt>
                      <c:pt idx="35">
                        <c:v>94.933998512642532</c:v>
                      </c:pt>
                      <c:pt idx="36">
                        <c:v>94.804061312179812</c:v>
                      </c:pt>
                      <c:pt idx="37">
                        <c:v>94.183089571971578</c:v>
                      </c:pt>
                      <c:pt idx="38">
                        <c:v>94.508862171541892</c:v>
                      </c:pt>
                      <c:pt idx="39">
                        <c:v>93.5986820360271</c:v>
                      </c:pt>
                      <c:pt idx="40">
                        <c:v>93.343249049743832</c:v>
                      </c:pt>
                      <c:pt idx="41">
                        <c:v>93.070876714592629</c:v>
                      </c:pt>
                      <c:pt idx="42">
                        <c:v>92.608556436952554</c:v>
                      </c:pt>
                      <c:pt idx="43">
                        <c:v>94.114609155511488</c:v>
                      </c:pt>
                      <c:pt idx="44">
                        <c:v>94.142910262766478</c:v>
                      </c:pt>
                      <c:pt idx="45">
                        <c:v>93.924144769459588</c:v>
                      </c:pt>
                      <c:pt idx="46">
                        <c:v>94.820897372335153</c:v>
                      </c:pt>
                      <c:pt idx="47">
                        <c:v>94.318604362915224</c:v>
                      </c:pt>
                      <c:pt idx="48">
                        <c:v>95.561374153032546</c:v>
                      </c:pt>
                      <c:pt idx="49">
                        <c:v>94.528487026937697</c:v>
                      </c:pt>
                      <c:pt idx="50">
                        <c:v>94.904354652123629</c:v>
                      </c:pt>
                      <c:pt idx="51">
                        <c:v>93.505928772103786</c:v>
                      </c:pt>
                      <c:pt idx="52">
                        <c:v>92.526648487853265</c:v>
                      </c:pt>
                      <c:pt idx="53">
                        <c:v>91.944410014873569</c:v>
                      </c:pt>
                      <c:pt idx="54">
                        <c:v>90.459944637250032</c:v>
                      </c:pt>
                      <c:pt idx="55">
                        <c:v>92.091493141629485</c:v>
                      </c:pt>
                      <c:pt idx="56">
                        <c:v>93.384048091224585</c:v>
                      </c:pt>
                      <c:pt idx="57">
                        <c:v>92.548442406213852</c:v>
                      </c:pt>
                      <c:pt idx="58">
                        <c:v>90.683461411336978</c:v>
                      </c:pt>
                      <c:pt idx="59">
                        <c:v>92.679412493802687</c:v>
                      </c:pt>
                      <c:pt idx="60">
                        <c:v>91.128325896546031</c:v>
                      </c:pt>
                      <c:pt idx="61">
                        <c:v>92.404457940836224</c:v>
                      </c:pt>
                      <c:pt idx="62">
                        <c:v>93.521112212857375</c:v>
                      </c:pt>
                      <c:pt idx="63">
                        <c:v>92.529437283093714</c:v>
                      </c:pt>
                      <c:pt idx="64">
                        <c:v>92.166893901834413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BE3-40BA-89A5-536CB086AD0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Rebased!$H$1</c15:sqref>
                        </c15:formulaRef>
                      </c:ext>
                    </c:extLst>
                    <c:strCache>
                      <c:ptCount val="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Rebased!$A$2:$A$66</c15:sqref>
                        </c15:formulaRef>
                      </c:ext>
                    </c:extLst>
                    <c:numCache>
                      <c:formatCode>[$-F800]dddd\,\ mmmm\ dd\,\ 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Rebased!$H$2:$H$66</c15:sqref>
                        </c15:formulaRef>
                      </c:ext>
                    </c:extLst>
                    <c:numCache>
                      <c:formatCode>0.0</c:formatCode>
                      <c:ptCount val="65"/>
                      <c:pt idx="0">
                        <c:v>100</c:v>
                      </c:pt>
                      <c:pt idx="1">
                        <c:v>101.24105493405263</c:v>
                      </c:pt>
                      <c:pt idx="2">
                        <c:v>100.97431404816652</c:v>
                      </c:pt>
                      <c:pt idx="3">
                        <c:v>101.91668643562821</c:v>
                      </c:pt>
                      <c:pt idx="4">
                        <c:v>102.0999306996718</c:v>
                      </c:pt>
                      <c:pt idx="5">
                        <c:v>102.81404162876318</c:v>
                      </c:pt>
                      <c:pt idx="6">
                        <c:v>101.68263438379681</c:v>
                      </c:pt>
                      <c:pt idx="7">
                        <c:v>103.3094175596945</c:v>
                      </c:pt>
                      <c:pt idx="8">
                        <c:v>104.02110017539896</c:v>
                      </c:pt>
                      <c:pt idx="9">
                        <c:v>103.95404136725253</c:v>
                      </c:pt>
                      <c:pt idx="10">
                        <c:v>105.64694938460934</c:v>
                      </c:pt>
                      <c:pt idx="11">
                        <c:v>107.38431421628054</c:v>
                      </c:pt>
                      <c:pt idx="12">
                        <c:v>108.97131041130027</c:v>
                      </c:pt>
                      <c:pt idx="13">
                        <c:v>108.49442702077702</c:v>
                      </c:pt>
                      <c:pt idx="14">
                        <c:v>109.87763168463307</c:v>
                      </c:pt>
                      <c:pt idx="15">
                        <c:v>108.7637830133875</c:v>
                      </c:pt>
                      <c:pt idx="16">
                        <c:v>110.760603790784</c:v>
                      </c:pt>
                      <c:pt idx="17">
                        <c:v>110.65655990182141</c:v>
                      </c:pt>
                      <c:pt idx="18">
                        <c:v>110.053217421841</c:v>
                      </c:pt>
                      <c:pt idx="19">
                        <c:v>109.6964421473015</c:v>
                      </c:pt>
                      <c:pt idx="20">
                        <c:v>109.80515586970046</c:v>
                      </c:pt>
                      <c:pt idx="21">
                        <c:v>109.11682242117789</c:v>
                      </c:pt>
                      <c:pt idx="22">
                        <c:v>109.00549359205456</c:v>
                      </c:pt>
                      <c:pt idx="23">
                        <c:v>109.32845927251466</c:v>
                      </c:pt>
                      <c:pt idx="24">
                        <c:v>109.03276541932303</c:v>
                      </c:pt>
                      <c:pt idx="25">
                        <c:v>109.46743351558138</c:v>
                      </c:pt>
                      <c:pt idx="26">
                        <c:v>108.80562472097746</c:v>
                      </c:pt>
                      <c:pt idx="27">
                        <c:v>108.7185790257233</c:v>
                      </c:pt>
                      <c:pt idx="28">
                        <c:v>109.15044522191984</c:v>
                      </c:pt>
                      <c:pt idx="29">
                        <c:v>108.34069610405137</c:v>
                      </c:pt>
                      <c:pt idx="30">
                        <c:v>107.90490724776829</c:v>
                      </c:pt>
                      <c:pt idx="31">
                        <c:v>107.78648027182167</c:v>
                      </c:pt>
                      <c:pt idx="32">
                        <c:v>107.74800084430589</c:v>
                      </c:pt>
                      <c:pt idx="33">
                        <c:v>106.43876634208212</c:v>
                      </c:pt>
                      <c:pt idx="34">
                        <c:v>104.53683658011286</c:v>
                      </c:pt>
                      <c:pt idx="35">
                        <c:v>103.99681704152977</c:v>
                      </c:pt>
                      <c:pt idx="36">
                        <c:v>103.52422989776801</c:v>
                      </c:pt>
                      <c:pt idx="37">
                        <c:v>103.47883911676638</c:v>
                      </c:pt>
                      <c:pt idx="38">
                        <c:v>103.76500650974781</c:v>
                      </c:pt>
                      <c:pt idx="39">
                        <c:v>103.30923076635703</c:v>
                      </c:pt>
                      <c:pt idx="40">
                        <c:v>102.88931934375765</c:v>
                      </c:pt>
                      <c:pt idx="41">
                        <c:v>102.00597365093182</c:v>
                      </c:pt>
                      <c:pt idx="42">
                        <c:v>99.959092259097304</c:v>
                      </c:pt>
                      <c:pt idx="43">
                        <c:v>100.47109279706213</c:v>
                      </c:pt>
                      <c:pt idx="44">
                        <c:v>101.46296541894944</c:v>
                      </c:pt>
                      <c:pt idx="45">
                        <c:v>101.35032903646393</c:v>
                      </c:pt>
                      <c:pt idx="46">
                        <c:v>101.43289169161913</c:v>
                      </c:pt>
                      <c:pt idx="47">
                        <c:v>101.19080752627715</c:v>
                      </c:pt>
                      <c:pt idx="48">
                        <c:v>101.45698803215086</c:v>
                      </c:pt>
                      <c:pt idx="49">
                        <c:v>99.860091790246017</c:v>
                      </c:pt>
                      <c:pt idx="50">
                        <c:v>100.74848090318315</c:v>
                      </c:pt>
                      <c:pt idx="51">
                        <c:v>99.09405231334209</c:v>
                      </c:pt>
                      <c:pt idx="52">
                        <c:v>97.780147977681935</c:v>
                      </c:pt>
                      <c:pt idx="53">
                        <c:v>98.230693507623982</c:v>
                      </c:pt>
                      <c:pt idx="54">
                        <c:v>94.834790632687714</c:v>
                      </c:pt>
                      <c:pt idx="55">
                        <c:v>94.972830909067142</c:v>
                      </c:pt>
                      <c:pt idx="56">
                        <c:v>95.421321712297171</c:v>
                      </c:pt>
                      <c:pt idx="57">
                        <c:v>93.915580619070482</c:v>
                      </c:pt>
                      <c:pt idx="58">
                        <c:v>91.576180860781065</c:v>
                      </c:pt>
                      <c:pt idx="59">
                        <c:v>92.873273796070251</c:v>
                      </c:pt>
                      <c:pt idx="60">
                        <c:v>93.711975881244285</c:v>
                      </c:pt>
                      <c:pt idx="61">
                        <c:v>94.860568113256534</c:v>
                      </c:pt>
                      <c:pt idx="62">
                        <c:v>93.982265840541999</c:v>
                      </c:pt>
                      <c:pt idx="63">
                        <c:v>95.550022321803823</c:v>
                      </c:pt>
                      <c:pt idx="64">
                        <c:v>96.267682324306861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BE3-40BA-89A5-536CB086AD08}"/>
                  </c:ext>
                </c:extLst>
              </c15:ser>
            </c15:filteredLineSeries>
          </c:ext>
        </c:extLst>
      </c:lineChart>
      <c:catAx>
        <c:axId val="52732436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3376"/>
        <c:crosses val="autoZero"/>
        <c:auto val="0"/>
        <c:lblAlgn val="ctr"/>
        <c:lblOffset val="100"/>
        <c:noMultiLvlLbl val="0"/>
      </c:catAx>
      <c:valAx>
        <c:axId val="52732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Index level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32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Drawdown from the running peak since 16 Jul 2026</a:t>
            </a:r>
            <a:endParaRPr lang="en-IN"/>
          </a:p>
        </c:rich>
      </c:tx>
      <c:layout>
        <c:manualLayout>
          <c:xMode val="edge"/>
          <c:yMode val="edge"/>
          <c:x val="0.13915138457855633"/>
          <c:y val="9.30509710491342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5607059718241"/>
          <c:y val="9.8974174518924957E-2"/>
          <c:w val="0.80771003787393025"/>
          <c:h val="0.51591224358164767"/>
        </c:manualLayout>
      </c:layout>
      <c:lineChart>
        <c:grouping val="standard"/>
        <c:varyColors val="0"/>
        <c:ser>
          <c:idx val="0"/>
          <c:order val="0"/>
          <c:tx>
            <c:strRef>
              <c:f>Drawdown!$B$1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Drawdown!$B$2:$B$66</c:f>
              <c:numCache>
                <c:formatCode>0.0%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-3.9368299067571444E-3</c:v>
                </c:pt>
                <c:pt idx="3">
                  <c:v>-6.0244182080437803E-3</c:v>
                </c:pt>
                <c:pt idx="4">
                  <c:v>-1.3891913882873141E-2</c:v>
                </c:pt>
                <c:pt idx="5">
                  <c:v>-1.9096501645825104E-2</c:v>
                </c:pt>
                <c:pt idx="6">
                  <c:v>-2.3294280090242925E-2</c:v>
                </c:pt>
                <c:pt idx="7">
                  <c:v>-1.3904242160242886E-2</c:v>
                </c:pt>
                <c:pt idx="8">
                  <c:v>-1.433984129397603E-2</c:v>
                </c:pt>
                <c:pt idx="9">
                  <c:v>-3.45602708933479E-3</c:v>
                </c:pt>
                <c:pt idx="10">
                  <c:v>-7.0476652297368769E-4</c:v>
                </c:pt>
                <c:pt idx="11">
                  <c:v>0</c:v>
                </c:pt>
                <c:pt idx="12">
                  <c:v>0</c:v>
                </c:pt>
                <c:pt idx="13">
                  <c:v>-6.4340869368659792E-3</c:v>
                </c:pt>
                <c:pt idx="14">
                  <c:v>-6.040533940413928E-3</c:v>
                </c:pt>
                <c:pt idx="15">
                  <c:v>-5.582397888134083E-3</c:v>
                </c:pt>
                <c:pt idx="16">
                  <c:v>-8.2202120746094343E-3</c:v>
                </c:pt>
                <c:pt idx="17">
                  <c:v>-7.6894200845231131E-3</c:v>
                </c:pt>
                <c:pt idx="18">
                  <c:v>-1.221427043347334E-2</c:v>
                </c:pt>
                <c:pt idx="19">
                  <c:v>-1.3657298087130565E-2</c:v>
                </c:pt>
                <c:pt idx="20">
                  <c:v>-1.5275910923820302E-2</c:v>
                </c:pt>
                <c:pt idx="21">
                  <c:v>-1.6480788559111614E-2</c:v>
                </c:pt>
                <c:pt idx="22">
                  <c:v>-1.9643340074189664E-2</c:v>
                </c:pt>
                <c:pt idx="23">
                  <c:v>-2.5001715487420362E-2</c:v>
                </c:pt>
                <c:pt idx="24">
                  <c:v>-2.8093629285186661E-2</c:v>
                </c:pt>
                <c:pt idx="25">
                  <c:v>-2.1895674146191868E-2</c:v>
                </c:pt>
                <c:pt idx="26">
                  <c:v>-2.1082331286857769E-2</c:v>
                </c:pt>
                <c:pt idx="27">
                  <c:v>-2.2412338592815995E-2</c:v>
                </c:pt>
                <c:pt idx="28">
                  <c:v>-1.7750249250231054E-2</c:v>
                </c:pt>
                <c:pt idx="29">
                  <c:v>-2.2868456424601225E-2</c:v>
                </c:pt>
                <c:pt idx="30">
                  <c:v>-2.7587055941035721E-2</c:v>
                </c:pt>
                <c:pt idx="31">
                  <c:v>-2.4164153982150771E-2</c:v>
                </c:pt>
                <c:pt idx="32">
                  <c:v>-2.8008864024412272E-2</c:v>
                </c:pt>
                <c:pt idx="33">
                  <c:v>-2.9001828507768113E-2</c:v>
                </c:pt>
                <c:pt idx="34">
                  <c:v>-3.4707337846074271E-2</c:v>
                </c:pt>
                <c:pt idx="35">
                  <c:v>-3.636227865166719E-2</c:v>
                </c:pt>
                <c:pt idx="36">
                  <c:v>-3.5383441711773878E-2</c:v>
                </c:pt>
                <c:pt idx="37">
                  <c:v>-4.0168642504530783E-2</c:v>
                </c:pt>
                <c:pt idx="38">
                  <c:v>-4.5983135749546933E-2</c:v>
                </c:pt>
                <c:pt idx="39">
                  <c:v>-5.4201329603661863E-2</c:v>
                </c:pt>
                <c:pt idx="40">
                  <c:v>-5.2332457425638634E-2</c:v>
                </c:pt>
                <c:pt idx="41">
                  <c:v>-5.5549500894071735E-2</c:v>
                </c:pt>
                <c:pt idx="42">
                  <c:v>-6.6831353459028131E-2</c:v>
                </c:pt>
                <c:pt idx="43">
                  <c:v>-6.2835276879669721E-2</c:v>
                </c:pt>
                <c:pt idx="44">
                  <c:v>-6.0695963155366628E-2</c:v>
                </c:pt>
                <c:pt idx="45">
                  <c:v>-5.7636340885514392E-2</c:v>
                </c:pt>
                <c:pt idx="46">
                  <c:v>-5.4895597453813005E-2</c:v>
                </c:pt>
                <c:pt idx="47">
                  <c:v>-5.8338681617644106E-2</c:v>
                </c:pt>
                <c:pt idx="48">
                  <c:v>-5.3583754132306427E-2</c:v>
                </c:pt>
                <c:pt idx="49">
                  <c:v>-6.9071578208062423E-2</c:v>
                </c:pt>
                <c:pt idx="50">
                  <c:v>-6.5947372882382171E-2</c:v>
                </c:pt>
                <c:pt idx="51">
                  <c:v>-8.0488651546158696E-2</c:v>
                </c:pt>
                <c:pt idx="52">
                  <c:v>-8.3073991999773944E-2</c:v>
                </c:pt>
                <c:pt idx="53">
                  <c:v>-8.6938884246981707E-2</c:v>
                </c:pt>
                <c:pt idx="54">
                  <c:v>-9.4951219610644899E-2</c:v>
                </c:pt>
                <c:pt idx="55">
                  <c:v>-8.9550461567027062E-2</c:v>
                </c:pt>
                <c:pt idx="56">
                  <c:v>-8.0656163847212636E-2</c:v>
                </c:pt>
                <c:pt idx="57">
                  <c:v>-8.7641224979111421E-2</c:v>
                </c:pt>
                <c:pt idx="58">
                  <c:v>-0.1026265121517056</c:v>
                </c:pt>
                <c:pt idx="59">
                  <c:v>-9.097532523623264E-2</c:v>
                </c:pt>
                <c:pt idx="60">
                  <c:v>-9.7316574030345993E-2</c:v>
                </c:pt>
                <c:pt idx="61">
                  <c:v>-8.2841896642891988E-2</c:v>
                </c:pt>
                <c:pt idx="62">
                  <c:v>-8.6848064324723584E-2</c:v>
                </c:pt>
                <c:pt idx="63">
                  <c:v>-7.1725538158494917E-2</c:v>
                </c:pt>
                <c:pt idx="64">
                  <c:v>-6.5719313966489334E-2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3-4D09-A100-322DBFFFE927}"/>
            </c:ext>
          </c:extLst>
        </c:ser>
        <c:ser>
          <c:idx val="1"/>
          <c:order val="1"/>
          <c:tx>
            <c:strRef>
              <c:f>Drawdown!$C$1</c:f>
              <c:strCache>
                <c:ptCount val="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Drawdown!$C$2:$C$66</c:f>
              <c:numCache>
                <c:formatCode>0.0%</c:formatCode>
                <c:ptCount val="65"/>
                <c:pt idx="0">
                  <c:v>0</c:v>
                </c:pt>
                <c:pt idx="1">
                  <c:v>-4.1268689156799265E-3</c:v>
                </c:pt>
                <c:pt idx="2">
                  <c:v>0</c:v>
                </c:pt>
                <c:pt idx="3">
                  <c:v>0</c:v>
                </c:pt>
                <c:pt idx="4">
                  <c:v>-1.0906908661387327E-2</c:v>
                </c:pt>
                <c:pt idx="5">
                  <c:v>-2.0680260876744017E-2</c:v>
                </c:pt>
                <c:pt idx="6">
                  <c:v>-2.1674901091643384E-2</c:v>
                </c:pt>
                <c:pt idx="7">
                  <c:v>-1.085848643225007E-2</c:v>
                </c:pt>
                <c:pt idx="8">
                  <c:v>-1.009881309972116E-2</c:v>
                </c:pt>
                <c:pt idx="9">
                  <c:v>-1.9900742368338387E-3</c:v>
                </c:pt>
                <c:pt idx="10">
                  <c:v>-5.4907632613403479E-3</c:v>
                </c:pt>
                <c:pt idx="11">
                  <c:v>-1.1478449726611828E-3</c:v>
                </c:pt>
                <c:pt idx="12">
                  <c:v>0</c:v>
                </c:pt>
                <c:pt idx="13">
                  <c:v>-2.9475826524475446E-3</c:v>
                </c:pt>
                <c:pt idx="14">
                  <c:v>-1.1628582600625714E-3</c:v>
                </c:pt>
                <c:pt idx="15">
                  <c:v>-5.5355507990823005E-3</c:v>
                </c:pt>
                <c:pt idx="16">
                  <c:v>-3.3880711628425653E-3</c:v>
                </c:pt>
                <c:pt idx="17">
                  <c:v>0</c:v>
                </c:pt>
                <c:pt idx="18">
                  <c:v>-1.8557466287272284E-4</c:v>
                </c:pt>
                <c:pt idx="19">
                  <c:v>0</c:v>
                </c:pt>
                <c:pt idx="20">
                  <c:v>0</c:v>
                </c:pt>
                <c:pt idx="21">
                  <c:v>-5.2930722978468125E-3</c:v>
                </c:pt>
                <c:pt idx="22">
                  <c:v>-4.7495732713884742E-3</c:v>
                </c:pt>
                <c:pt idx="23">
                  <c:v>-9.0788510259032229E-3</c:v>
                </c:pt>
                <c:pt idx="24">
                  <c:v>-1.1116387548335993E-2</c:v>
                </c:pt>
                <c:pt idx="25">
                  <c:v>-7.017921432030283E-3</c:v>
                </c:pt>
                <c:pt idx="26">
                  <c:v>-6.0166979743939697E-3</c:v>
                </c:pt>
                <c:pt idx="27">
                  <c:v>-4.7456744261484829E-3</c:v>
                </c:pt>
                <c:pt idx="28">
                  <c:v>0</c:v>
                </c:pt>
                <c:pt idx="29">
                  <c:v>-9.6161488960133656E-4</c:v>
                </c:pt>
                <c:pt idx="30">
                  <c:v>-1.9863503675801031E-3</c:v>
                </c:pt>
                <c:pt idx="31">
                  <c:v>-1.4556698652959943E-3</c:v>
                </c:pt>
                <c:pt idx="32">
                  <c:v>0</c:v>
                </c:pt>
                <c:pt idx="33">
                  <c:v>-1.3861478635572744E-2</c:v>
                </c:pt>
                <c:pt idx="34">
                  <c:v>-1.9044838633081485E-2</c:v>
                </c:pt>
                <c:pt idx="35">
                  <c:v>-1.5407611551621514E-2</c:v>
                </c:pt>
                <c:pt idx="36">
                  <c:v>-1.7838917239849095E-2</c:v>
                </c:pt>
                <c:pt idx="37">
                  <c:v>-2.2399464380943424E-2</c:v>
                </c:pt>
                <c:pt idx="38">
                  <c:v>-2.038077221009027E-2</c:v>
                </c:pt>
                <c:pt idx="39">
                  <c:v>-2.5409986025636488E-2</c:v>
                </c:pt>
                <c:pt idx="40">
                  <c:v>-2.90760182017058E-2</c:v>
                </c:pt>
                <c:pt idx="41">
                  <c:v>-3.1569605175574833E-2</c:v>
                </c:pt>
                <c:pt idx="42">
                  <c:v>-5.2106080599768734E-2</c:v>
                </c:pt>
                <c:pt idx="43">
                  <c:v>-5.2169140401480796E-2</c:v>
                </c:pt>
                <c:pt idx="44">
                  <c:v>-4.3482458086641085E-2</c:v>
                </c:pt>
                <c:pt idx="45">
                  <c:v>-3.1662248587966513E-2</c:v>
                </c:pt>
                <c:pt idx="46">
                  <c:v>-3.4436101347222081E-2</c:v>
                </c:pt>
                <c:pt idx="47">
                  <c:v>-3.5213838901669514E-2</c:v>
                </c:pt>
                <c:pt idx="48">
                  <c:v>-2.8467218634560698E-2</c:v>
                </c:pt>
                <c:pt idx="49">
                  <c:v>-5.0363761633949511E-2</c:v>
                </c:pt>
                <c:pt idx="50">
                  <c:v>-5.1674004180631283E-2</c:v>
                </c:pt>
                <c:pt idx="51">
                  <c:v>-6.7116648955426128E-2</c:v>
                </c:pt>
                <c:pt idx="52">
                  <c:v>-7.6377876130307998E-2</c:v>
                </c:pt>
                <c:pt idx="53">
                  <c:v>-7.6180911564466935E-2</c:v>
                </c:pt>
                <c:pt idx="54">
                  <c:v>-8.5523882926753281E-2</c:v>
                </c:pt>
                <c:pt idx="55">
                  <c:v>-7.942576654638589E-2</c:v>
                </c:pt>
                <c:pt idx="56">
                  <c:v>-6.9498908131211179E-2</c:v>
                </c:pt>
                <c:pt idx="57">
                  <c:v>-7.5393831817173296E-2</c:v>
                </c:pt>
                <c:pt idx="58">
                  <c:v>-9.875087096485391E-2</c:v>
                </c:pt>
                <c:pt idx="59">
                  <c:v>-8.4662844152760375E-2</c:v>
                </c:pt>
                <c:pt idx="60">
                  <c:v>-8.3927146466120872E-2</c:v>
                </c:pt>
                <c:pt idx="61">
                  <c:v>-7.4201145197139828E-2</c:v>
                </c:pt>
                <c:pt idx="62">
                  <c:v>-7.4981218299798758E-2</c:v>
                </c:pt>
                <c:pt idx="63">
                  <c:v>-7.8279790890583456E-2</c:v>
                </c:pt>
                <c:pt idx="64">
                  <c:v>-7.9330787585782714E-2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3-4D09-A100-322DBFFFE927}"/>
            </c:ext>
          </c:extLst>
        </c:ser>
        <c:ser>
          <c:idx val="2"/>
          <c:order val="2"/>
          <c:tx>
            <c:strRef>
              <c:f>Drawdown!$D$1</c:f>
              <c:strCache>
                <c:ptCount val="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m/d/yyyy</c:formatCode>
                <c:ptCount val="65"/>
                <c:pt idx="0">
                  <c:v>46219</c:v>
                </c:pt>
                <c:pt idx="1">
                  <c:v>46220</c:v>
                </c:pt>
                <c:pt idx="2">
                  <c:v>46223</c:v>
                </c:pt>
                <c:pt idx="3">
                  <c:v>46224</c:v>
                </c:pt>
                <c:pt idx="4">
                  <c:v>46225</c:v>
                </c:pt>
                <c:pt idx="5">
                  <c:v>46226</c:v>
                </c:pt>
                <c:pt idx="6">
                  <c:v>46227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46237</c:v>
                </c:pt>
                <c:pt idx="13">
                  <c:v>46238</c:v>
                </c:pt>
                <c:pt idx="14">
                  <c:v>46239</c:v>
                </c:pt>
                <c:pt idx="15">
                  <c:v>46240</c:v>
                </c:pt>
                <c:pt idx="16">
                  <c:v>46241</c:v>
                </c:pt>
                <c:pt idx="17">
                  <c:v>46244</c:v>
                </c:pt>
                <c:pt idx="18">
                  <c:v>46245</c:v>
                </c:pt>
                <c:pt idx="19">
                  <c:v>46246</c:v>
                </c:pt>
                <c:pt idx="20">
                  <c:v>46247</c:v>
                </c:pt>
                <c:pt idx="21">
                  <c:v>46248</c:v>
                </c:pt>
                <c:pt idx="22">
                  <c:v>46251</c:v>
                </c:pt>
                <c:pt idx="23">
                  <c:v>46252</c:v>
                </c:pt>
                <c:pt idx="24">
                  <c:v>46253</c:v>
                </c:pt>
                <c:pt idx="25">
                  <c:v>46254</c:v>
                </c:pt>
                <c:pt idx="26">
                  <c:v>46255</c:v>
                </c:pt>
                <c:pt idx="27">
                  <c:v>46258</c:v>
                </c:pt>
                <c:pt idx="28">
                  <c:v>46259</c:v>
                </c:pt>
                <c:pt idx="29">
                  <c:v>46260</c:v>
                </c:pt>
                <c:pt idx="30">
                  <c:v>46261</c:v>
                </c:pt>
                <c:pt idx="31">
                  <c:v>46262</c:v>
                </c:pt>
                <c:pt idx="32">
                  <c:v>46265</c:v>
                </c:pt>
                <c:pt idx="33">
                  <c:v>46266</c:v>
                </c:pt>
                <c:pt idx="34">
                  <c:v>46267</c:v>
                </c:pt>
                <c:pt idx="35">
                  <c:v>46268</c:v>
                </c:pt>
                <c:pt idx="36">
                  <c:v>46269</c:v>
                </c:pt>
                <c:pt idx="37">
                  <c:v>46272</c:v>
                </c:pt>
                <c:pt idx="38">
                  <c:v>46273</c:v>
                </c:pt>
                <c:pt idx="39">
                  <c:v>46274</c:v>
                </c:pt>
                <c:pt idx="40">
                  <c:v>46275</c:v>
                </c:pt>
                <c:pt idx="41">
                  <c:v>46276</c:v>
                </c:pt>
                <c:pt idx="42">
                  <c:v>46280</c:v>
                </c:pt>
                <c:pt idx="43">
                  <c:v>46281</c:v>
                </c:pt>
                <c:pt idx="44">
                  <c:v>46282</c:v>
                </c:pt>
                <c:pt idx="45">
                  <c:v>46283</c:v>
                </c:pt>
                <c:pt idx="46">
                  <c:v>46286</c:v>
                </c:pt>
                <c:pt idx="47">
                  <c:v>46287</c:v>
                </c:pt>
                <c:pt idx="48">
                  <c:v>46288</c:v>
                </c:pt>
                <c:pt idx="49">
                  <c:v>46289</c:v>
                </c:pt>
                <c:pt idx="50">
                  <c:v>46290</c:v>
                </c:pt>
                <c:pt idx="51">
                  <c:v>46293</c:v>
                </c:pt>
                <c:pt idx="52">
                  <c:v>46294</c:v>
                </c:pt>
                <c:pt idx="53">
                  <c:v>46295</c:v>
                </c:pt>
                <c:pt idx="54">
                  <c:v>46296</c:v>
                </c:pt>
                <c:pt idx="55">
                  <c:v>46300</c:v>
                </c:pt>
                <c:pt idx="56">
                  <c:v>46301</c:v>
                </c:pt>
                <c:pt idx="57">
                  <c:v>46302</c:v>
                </c:pt>
                <c:pt idx="58">
                  <c:v>46303</c:v>
                </c:pt>
                <c:pt idx="59">
                  <c:v>46304</c:v>
                </c:pt>
                <c:pt idx="60">
                  <c:v>46307</c:v>
                </c:pt>
                <c:pt idx="61">
                  <c:v>46308</c:v>
                </c:pt>
                <c:pt idx="62">
                  <c:v>46309</c:v>
                </c:pt>
                <c:pt idx="63">
                  <c:v>46310</c:v>
                </c:pt>
                <c:pt idx="64">
                  <c:v>46311</c:v>
                </c:pt>
              </c:numCache>
            </c:numRef>
          </c:cat>
          <c:val>
            <c:numRef>
              <c:f>Drawdown!$D$2:$D$66</c:f>
              <c:numCache>
                <c:formatCode>0.0%</c:formatCode>
                <c:ptCount val="65"/>
                <c:pt idx="0">
                  <c:v>0</c:v>
                </c:pt>
                <c:pt idx="1">
                  <c:v>-2.0660676191092131E-3</c:v>
                </c:pt>
                <c:pt idx="2">
                  <c:v>-5.0682009179647824E-4</c:v>
                </c:pt>
                <c:pt idx="3">
                  <c:v>0</c:v>
                </c:pt>
                <c:pt idx="4">
                  <c:v>-1.5379824532055442E-2</c:v>
                </c:pt>
                <c:pt idx="5">
                  <c:v>-2.5308767477950744E-2</c:v>
                </c:pt>
                <c:pt idx="6">
                  <c:v>-2.8469146414591195E-2</c:v>
                </c:pt>
                <c:pt idx="7">
                  <c:v>-1.5722113130242188E-2</c:v>
                </c:pt>
                <c:pt idx="8">
                  <c:v>-1.78787886586661E-2</c:v>
                </c:pt>
                <c:pt idx="9">
                  <c:v>-3.3817084061447122E-3</c:v>
                </c:pt>
                <c:pt idx="10">
                  <c:v>-8.9355339316091742E-3</c:v>
                </c:pt>
                <c:pt idx="11">
                  <c:v>-4.5501221172479234E-3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-5.257001999673383E-4</c:v>
                </c:pt>
                <c:pt idx="17">
                  <c:v>-3.2346911825739122E-3</c:v>
                </c:pt>
                <c:pt idx="18">
                  <c:v>-1.0614616477807592E-3</c:v>
                </c:pt>
                <c:pt idx="19">
                  <c:v>-2.8473331404926805E-3</c:v>
                </c:pt>
                <c:pt idx="20">
                  <c:v>-1.5846465357871597E-4</c:v>
                </c:pt>
                <c:pt idx="21">
                  <c:v>-7.0277816206155697E-3</c:v>
                </c:pt>
                <c:pt idx="22">
                  <c:v>-3.4711305069611287E-3</c:v>
                </c:pt>
                <c:pt idx="23">
                  <c:v>-3.4912530026537381E-3</c:v>
                </c:pt>
                <c:pt idx="24">
                  <c:v>-8.6073975324788554E-3</c:v>
                </c:pt>
                <c:pt idx="25">
                  <c:v>-1.8512696037125131E-3</c:v>
                </c:pt>
                <c:pt idx="26">
                  <c:v>0</c:v>
                </c:pt>
                <c:pt idx="27">
                  <c:v>-2.5528400345383728E-3</c:v>
                </c:pt>
                <c:pt idx="28">
                  <c:v>-3.5614621266158997E-3</c:v>
                </c:pt>
                <c:pt idx="29">
                  <c:v>0</c:v>
                </c:pt>
                <c:pt idx="30">
                  <c:v>-1.328031175095723E-3</c:v>
                </c:pt>
                <c:pt idx="31">
                  <c:v>0</c:v>
                </c:pt>
                <c:pt idx="32">
                  <c:v>-7.3879482071712577E-3</c:v>
                </c:pt>
                <c:pt idx="33">
                  <c:v>-9.6489043824701248E-3</c:v>
                </c:pt>
                <c:pt idx="34">
                  <c:v>-1.3334163346613526E-2</c:v>
                </c:pt>
                <c:pt idx="35">
                  <c:v>-1.4566733067729043E-3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-4.810330912025762E-3</c:v>
                </c:pt>
                <c:pt idx="40">
                  <c:v>-5.5528652138820966E-3</c:v>
                </c:pt>
                <c:pt idx="41">
                  <c:v>-1.1296951635934693E-2</c:v>
                </c:pt>
                <c:pt idx="42">
                  <c:v>-3.5328739057552627E-2</c:v>
                </c:pt>
                <c:pt idx="43">
                  <c:v>-3.7024896007946895E-2</c:v>
                </c:pt>
                <c:pt idx="44">
                  <c:v>-2.9703855466567286E-2</c:v>
                </c:pt>
                <c:pt idx="45">
                  <c:v>-1.2816787732041979E-2</c:v>
                </c:pt>
                <c:pt idx="46">
                  <c:v>-1.3522071149189796E-2</c:v>
                </c:pt>
                <c:pt idx="47">
                  <c:v>-1.5809275470292428E-2</c:v>
                </c:pt>
                <c:pt idx="48">
                  <c:v>-7.0652511330477896E-3</c:v>
                </c:pt>
                <c:pt idx="49">
                  <c:v>-2.230086297882905E-2</c:v>
                </c:pt>
                <c:pt idx="50">
                  <c:v>-2.0785993667349567E-2</c:v>
                </c:pt>
                <c:pt idx="51">
                  <c:v>-3.8872539889489133E-2</c:v>
                </c:pt>
                <c:pt idx="52">
                  <c:v>-4.6697709070590454E-2</c:v>
                </c:pt>
                <c:pt idx="53">
                  <c:v>-4.4107530887191881E-2</c:v>
                </c:pt>
                <c:pt idx="54">
                  <c:v>-5.3397901533494663E-2</c:v>
                </c:pt>
                <c:pt idx="55">
                  <c:v>-4.8905444837648249E-2</c:v>
                </c:pt>
                <c:pt idx="56">
                  <c:v>-3.4024958092754631E-2</c:v>
                </c:pt>
                <c:pt idx="57">
                  <c:v>-3.1131806047060229E-2</c:v>
                </c:pt>
                <c:pt idx="58">
                  <c:v>-5.3822561619171871E-2</c:v>
                </c:pt>
                <c:pt idx="59">
                  <c:v>-4.8676972744769342E-2</c:v>
                </c:pt>
                <c:pt idx="60">
                  <c:v>-3.516235177252125E-2</c:v>
                </c:pt>
                <c:pt idx="61">
                  <c:v>-3.4089526292916061E-2</c:v>
                </c:pt>
                <c:pt idx="62">
                  <c:v>-3.7198733469919976E-2</c:v>
                </c:pt>
                <c:pt idx="63">
                  <c:v>-4.9769665362885629E-2</c:v>
                </c:pt>
                <c:pt idx="64">
                  <c:v>-4.9864034270813984E-2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3-4D09-A100-322DBFFF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854520"/>
        <c:axId val="56084992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Drawdown!$E$1</c15:sqref>
                        </c15:formulaRef>
                      </c:ext>
                    </c:extLst>
                    <c:strCache>
                      <c:ptCount val="1"/>
                      <c:pt idx="0">
                        <c:v>NIFTY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Drawdown!$E$2:$E$66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-9.8493884288483047E-3</c:v>
                      </c:pt>
                      <c:pt idx="3">
                        <c:v>-1.1723061990998263E-2</c:v>
                      </c:pt>
                      <c:pt idx="4">
                        <c:v>-2.3830598721151564E-2</c:v>
                      </c:pt>
                      <c:pt idx="5">
                        <c:v>-3.2969136076717254E-2</c:v>
                      </c:pt>
                      <c:pt idx="6">
                        <c:v>-3.1234727808972518E-2</c:v>
                      </c:pt>
                      <c:pt idx="7">
                        <c:v>-2.4507274262064893E-2</c:v>
                      </c:pt>
                      <c:pt idx="8">
                        <c:v>-3.0173577528904039E-2</c:v>
                      </c:pt>
                      <c:pt idx="9">
                        <c:v>-2.2478956415943552E-2</c:v>
                      </c:pt>
                      <c:pt idx="10">
                        <c:v>-2.3476881961128737E-2</c:v>
                      </c:pt>
                      <c:pt idx="11">
                        <c:v>-2.1471632599356916E-2</c:v>
                      </c:pt>
                      <c:pt idx="12">
                        <c:v>-4.6726496632002457E-3</c:v>
                      </c:pt>
                      <c:pt idx="13">
                        <c:v>-1.0495305990629089E-2</c:v>
                      </c:pt>
                      <c:pt idx="14">
                        <c:v>-1.3353234885016496E-2</c:v>
                      </c:pt>
                      <c:pt idx="15">
                        <c:v>-7.821924971036287E-3</c:v>
                      </c:pt>
                      <c:pt idx="16">
                        <c:v>-1.324216440481607E-2</c:v>
                      </c:pt>
                      <c:pt idx="17">
                        <c:v>-1.4258886492804379E-2</c:v>
                      </c:pt>
                      <c:pt idx="18">
                        <c:v>-1.8371911813456321E-2</c:v>
                      </c:pt>
                      <c:pt idx="19">
                        <c:v>-1.0860129798672014E-2</c:v>
                      </c:pt>
                      <c:pt idx="20">
                        <c:v>-1.5142324004552177E-2</c:v>
                      </c:pt>
                      <c:pt idx="21">
                        <c:v>-1.7605525500073549E-2</c:v>
                      </c:pt>
                      <c:pt idx="22">
                        <c:v>-1.7491037466636161E-2</c:v>
                      </c:pt>
                      <c:pt idx="23">
                        <c:v>-2.1513497626509226E-2</c:v>
                      </c:pt>
                      <c:pt idx="24">
                        <c:v>-2.1900535530592236E-2</c:v>
                      </c:pt>
                      <c:pt idx="25">
                        <c:v>-1.7523504222387021E-2</c:v>
                      </c:pt>
                      <c:pt idx="26">
                        <c:v>-1.2977304028953585E-2</c:v>
                      </c:pt>
                      <c:pt idx="27">
                        <c:v>-1.7010016848537535E-2</c:v>
                      </c:pt>
                      <c:pt idx="28">
                        <c:v>-1.7210798101207514E-2</c:v>
                      </c:pt>
                      <c:pt idx="29">
                        <c:v>-1.2604790726127524E-2</c:v>
                      </c:pt>
                      <c:pt idx="30">
                        <c:v>-1.7283421107492369E-2</c:v>
                      </c:pt>
                      <c:pt idx="31">
                        <c:v>-1.7516669115913097E-2</c:v>
                      </c:pt>
                      <c:pt idx="32">
                        <c:v>-8.483221522383344E-3</c:v>
                      </c:pt>
                      <c:pt idx="33">
                        <c:v>-1.8998178444124769E-2</c:v>
                      </c:pt>
                      <c:pt idx="34">
                        <c:v>-2.3058231689604192E-2</c:v>
                      </c:pt>
                      <c:pt idx="35">
                        <c:v>-1.9493723663480456E-2</c:v>
                      </c:pt>
                      <c:pt idx="36">
                        <c:v>-1.9680834703202588E-2</c:v>
                      </c:pt>
                      <c:pt idx="37">
                        <c:v>-2.4488477719261659E-2</c:v>
                      </c:pt>
                      <c:pt idx="38">
                        <c:v>-2.9798501061150229E-2</c:v>
                      </c:pt>
                      <c:pt idx="39">
                        <c:v>-3.8034804362164887E-2</c:v>
                      </c:pt>
                      <c:pt idx="40">
                        <c:v>-3.5020522407187893E-2</c:v>
                      </c:pt>
                      <c:pt idx="41">
                        <c:v>-3.2720509078730142E-2</c:v>
                      </c:pt>
                      <c:pt idx="42">
                        <c:v>-4.6592357667451623E-2</c:v>
                      </c:pt>
                      <c:pt idx="43">
                        <c:v>-3.8087776437337517E-2</c:v>
                      </c:pt>
                      <c:pt idx="44">
                        <c:v>-4.2132450693250667E-2</c:v>
                      </c:pt>
                      <c:pt idx="45">
                        <c:v>-3.6955711927602608E-2</c:v>
                      </c:pt>
                      <c:pt idx="46">
                        <c:v>-3.5042736503227867E-2</c:v>
                      </c:pt>
                      <c:pt idx="47">
                        <c:v>-3.9401825656939171E-2</c:v>
                      </c:pt>
                      <c:pt idx="48">
                        <c:v>-3.3705618799276804E-2</c:v>
                      </c:pt>
                      <c:pt idx="49">
                        <c:v>-5.2679874370743063E-2</c:v>
                      </c:pt>
                      <c:pt idx="50">
                        <c:v>-5.0255120349137261E-2</c:v>
                      </c:pt>
                      <c:pt idx="51">
                        <c:v>-6.9201181106398724E-2</c:v>
                      </c:pt>
                      <c:pt idx="52">
                        <c:v>-7.281866120769509E-2</c:v>
                      </c:pt>
                      <c:pt idx="53">
                        <c:v>-6.6443215644191644E-2</c:v>
                      </c:pt>
                      <c:pt idx="54">
                        <c:v>-6.9558315419658512E-2</c:v>
                      </c:pt>
                      <c:pt idx="55">
                        <c:v>-6.505825219492356E-2</c:v>
                      </c:pt>
                      <c:pt idx="56">
                        <c:v>-5.7978790664611535E-2</c:v>
                      </c:pt>
                      <c:pt idx="57">
                        <c:v>-5.9223634431165295E-2</c:v>
                      </c:pt>
                      <c:pt idx="58">
                        <c:v>-6.8459572053983675E-2</c:v>
                      </c:pt>
                      <c:pt idx="59">
                        <c:v>-5.5787284651426683E-2</c:v>
                      </c:pt>
                      <c:pt idx="60">
                        <c:v>-6.1574056669867816E-2</c:v>
                      </c:pt>
                      <c:pt idx="61">
                        <c:v>-5.1952789919584963E-2</c:v>
                      </c:pt>
                      <c:pt idx="62">
                        <c:v>-5.4773125728366012E-2</c:v>
                      </c:pt>
                      <c:pt idx="63">
                        <c:v>-4.6323225350042962E-2</c:v>
                      </c:pt>
                      <c:pt idx="64">
                        <c:v>-4.5750785182856246E-2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F83-4D09-A100-322DBFFFE92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Drawdown!$F$1</c15:sqref>
                        </c15:formulaRef>
                      </c:ext>
                    </c:extLst>
                    <c:strCache>
                      <c:ptCount val="1"/>
                      <c:pt idx="0">
                        <c:v>NIFTY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Drawdown!$F$2:$F$66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-2.2154475717326427E-3</c:v>
                      </c:pt>
                      <c:pt idx="3">
                        <c:v>-8.2869714575077857E-3</c:v>
                      </c:pt>
                      <c:pt idx="4">
                        <c:v>-2.3155276357838428E-2</c:v>
                      </c:pt>
                      <c:pt idx="5">
                        <c:v>-2.37129874840043E-2</c:v>
                      </c:pt>
                      <c:pt idx="6">
                        <c:v>-1.5692896197299633E-2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-1.5568424612632636E-2</c:v>
                      </c:pt>
                      <c:pt idx="12">
                        <c:v>0</c:v>
                      </c:pt>
                      <c:pt idx="13">
                        <c:v>-8.2326325663520938E-3</c:v>
                      </c:pt>
                      <c:pt idx="14">
                        <c:v>-9.8123142652194462E-3</c:v>
                      </c:pt>
                      <c:pt idx="15">
                        <c:v>-1.9203695383135821E-2</c:v>
                      </c:pt>
                      <c:pt idx="16">
                        <c:v>-5.2829474779483299E-3</c:v>
                      </c:pt>
                      <c:pt idx="17">
                        <c:v>-2.6422620032948707E-3</c:v>
                      </c:pt>
                      <c:pt idx="18">
                        <c:v>0</c:v>
                      </c:pt>
                      <c:pt idx="19">
                        <c:v>-1.5416449974311242E-2</c:v>
                      </c:pt>
                      <c:pt idx="20">
                        <c:v>-1.1603188245035478E-2</c:v>
                      </c:pt>
                      <c:pt idx="21">
                        <c:v>-1.4624573620147685E-2</c:v>
                      </c:pt>
                      <c:pt idx="22">
                        <c:v>-3.1906018103173395E-2</c:v>
                      </c:pt>
                      <c:pt idx="23">
                        <c:v>-5.058267330543964E-2</c:v>
                      </c:pt>
                      <c:pt idx="24">
                        <c:v>-4.3682036504871569E-2</c:v>
                      </c:pt>
                      <c:pt idx="25">
                        <c:v>-3.6140356941409046E-2</c:v>
                      </c:pt>
                      <c:pt idx="26">
                        <c:v>-4.0564808951973674E-2</c:v>
                      </c:pt>
                      <c:pt idx="27">
                        <c:v>-3.8533269019565997E-2</c:v>
                      </c:pt>
                      <c:pt idx="28">
                        <c:v>-3.3037270037692745E-2</c:v>
                      </c:pt>
                      <c:pt idx="29">
                        <c:v>-4.7270619030485794E-2</c:v>
                      </c:pt>
                      <c:pt idx="30">
                        <c:v>-5.0340711086111822E-2</c:v>
                      </c:pt>
                      <c:pt idx="31">
                        <c:v>-1.7014343331819837E-2</c:v>
                      </c:pt>
                      <c:pt idx="32">
                        <c:v>-1.9850329084330154E-2</c:v>
                      </c:pt>
                      <c:pt idx="33">
                        <c:v>-1.0258255389551385E-2</c:v>
                      </c:pt>
                      <c:pt idx="34">
                        <c:v>-2.263289460659923E-2</c:v>
                      </c:pt>
                      <c:pt idx="35">
                        <c:v>-3.0930313309650459E-2</c:v>
                      </c:pt>
                      <c:pt idx="36">
                        <c:v>-3.5447465131515976E-2</c:v>
                      </c:pt>
                      <c:pt idx="37">
                        <c:v>-5.7440888158463266E-2</c:v>
                      </c:pt>
                      <c:pt idx="38">
                        <c:v>-6.0952482705200484E-2</c:v>
                      </c:pt>
                      <c:pt idx="39">
                        <c:v>-9.1417725775103986E-2</c:v>
                      </c:pt>
                      <c:pt idx="40">
                        <c:v>-9.2142041249844819E-2</c:v>
                      </c:pt>
                      <c:pt idx="41">
                        <c:v>-9.1180477105503477E-2</c:v>
                      </c:pt>
                      <c:pt idx="42">
                        <c:v>-7.1264158324992999E-2</c:v>
                      </c:pt>
                      <c:pt idx="43">
                        <c:v>-8.5959435191047984E-2</c:v>
                      </c:pt>
                      <c:pt idx="44">
                        <c:v>-8.3824197164642844E-2</c:v>
                      </c:pt>
                      <c:pt idx="45">
                        <c:v>-9.3284291467060965E-2</c:v>
                      </c:pt>
                      <c:pt idx="46">
                        <c:v>-9.4027461140710478E-2</c:v>
                      </c:pt>
                      <c:pt idx="47">
                        <c:v>-0.10184566895483327</c:v>
                      </c:pt>
                      <c:pt idx="48">
                        <c:v>-0.10964030902032018</c:v>
                      </c:pt>
                      <c:pt idx="49">
                        <c:v>-0.1135745518592598</c:v>
                      </c:pt>
                      <c:pt idx="50">
                        <c:v>-0.11508131658870979</c:v>
                      </c:pt>
                      <c:pt idx="51">
                        <c:v>-0.11741923725338321</c:v>
                      </c:pt>
                      <c:pt idx="52">
                        <c:v>-0.13050719366247532</c:v>
                      </c:pt>
                      <c:pt idx="53">
                        <c:v>-0.12941365012577333</c:v>
                      </c:pt>
                      <c:pt idx="54">
                        <c:v>-0.11056259358360188</c:v>
                      </c:pt>
                      <c:pt idx="55">
                        <c:v>-0.11065843576138756</c:v>
                      </c:pt>
                      <c:pt idx="56">
                        <c:v>-0.11586219466017667</c:v>
                      </c:pt>
                      <c:pt idx="57">
                        <c:v>-0.12774819588884201</c:v>
                      </c:pt>
                      <c:pt idx="58">
                        <c:v>-0.12841437758361451</c:v>
                      </c:pt>
                      <c:pt idx="59">
                        <c:v>-0.10207191934173709</c:v>
                      </c:pt>
                      <c:pt idx="60">
                        <c:v>-0.10915167103193757</c:v>
                      </c:pt>
                      <c:pt idx="61">
                        <c:v>-6.2628935224828597E-2</c:v>
                      </c:pt>
                      <c:pt idx="62">
                        <c:v>-5.191660787822705E-2</c:v>
                      </c:pt>
                      <c:pt idx="63">
                        <c:v>-3.4671300609776301E-2</c:v>
                      </c:pt>
                      <c:pt idx="6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83-4D09-A100-322DBFFFE92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Drawdown!$G$1</c15:sqref>
                        </c15:formulaRef>
                      </c:ext>
                    </c:extLst>
                    <c:strCache>
                      <c:ptCount val="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Drawdown!$G$2:$G$66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-3.0621114404763006E-3</c:v>
                      </c:pt>
                      <c:pt idx="4">
                        <c:v>0</c:v>
                      </c:pt>
                      <c:pt idx="5">
                        <c:v>-4.0744366674927424E-3</c:v>
                      </c:pt>
                      <c:pt idx="6">
                        <c:v>-3.6661805507598455E-3</c:v>
                      </c:pt>
                      <c:pt idx="7">
                        <c:v>0</c:v>
                      </c:pt>
                      <c:pt idx="8">
                        <c:v>-1.379204596810657E-2</c:v>
                      </c:pt>
                      <c:pt idx="9">
                        <c:v>0</c:v>
                      </c:pt>
                      <c:pt idx="10">
                        <c:v>-9.7805120279159663E-4</c:v>
                      </c:pt>
                      <c:pt idx="11">
                        <c:v>-1.145990241624939E-2</c:v>
                      </c:pt>
                      <c:pt idx="12">
                        <c:v>0</c:v>
                      </c:pt>
                      <c:pt idx="13">
                        <c:v>-8.7760379140848777E-3</c:v>
                      </c:pt>
                      <c:pt idx="14">
                        <c:v>-1.1650015210464826E-2</c:v>
                      </c:pt>
                      <c:pt idx="15">
                        <c:v>-1.1923203163776708E-2</c:v>
                      </c:pt>
                      <c:pt idx="16">
                        <c:v>-1.0615303328690207E-2</c:v>
                      </c:pt>
                      <c:pt idx="17">
                        <c:v>-1.2048289222985398E-2</c:v>
                      </c:pt>
                      <c:pt idx="18">
                        <c:v>-2.3571216997294142E-2</c:v>
                      </c:pt>
                      <c:pt idx="19">
                        <c:v>-3.0746153353507166E-2</c:v>
                      </c:pt>
                      <c:pt idx="20">
                        <c:v>-2.2581536096834554E-2</c:v>
                      </c:pt>
                      <c:pt idx="21">
                        <c:v>-2.7029596362297181E-2</c:v>
                      </c:pt>
                      <c:pt idx="22">
                        <c:v>-3.723661879372997E-2</c:v>
                      </c:pt>
                      <c:pt idx="23">
                        <c:v>-4.4646716941255549E-2</c:v>
                      </c:pt>
                      <c:pt idx="24">
                        <c:v>-4.986830939686504E-2</c:v>
                      </c:pt>
                      <c:pt idx="25">
                        <c:v>-4.2075948252397577E-2</c:v>
                      </c:pt>
                      <c:pt idx="26">
                        <c:v>-4.9126799237875662E-2</c:v>
                      </c:pt>
                      <c:pt idx="27">
                        <c:v>-4.8789567222248809E-2</c:v>
                      </c:pt>
                      <c:pt idx="28">
                        <c:v>-4.5204100421089688E-2</c:v>
                      </c:pt>
                      <c:pt idx="29">
                        <c:v>-5.4291352450485886E-2</c:v>
                      </c:pt>
                      <c:pt idx="30">
                        <c:v>-5.8743415469843296E-2</c:v>
                      </c:pt>
                      <c:pt idx="31">
                        <c:v>-6.3055382102886748E-2</c:v>
                      </c:pt>
                      <c:pt idx="32">
                        <c:v>-7.8855252413660537E-2</c:v>
                      </c:pt>
                      <c:pt idx="33">
                        <c:v>-7.0217309508942116E-2</c:v>
                      </c:pt>
                      <c:pt idx="34">
                        <c:v>-7.4552291976879959E-2</c:v>
                      </c:pt>
                      <c:pt idx="35">
                        <c:v>-8.0254214899851073E-2</c:v>
                      </c:pt>
                      <c:pt idx="36">
                        <c:v>-8.1513080999727761E-2</c:v>
                      </c:pt>
                      <c:pt idx="37">
                        <c:v>-8.7529220103431116E-2</c:v>
                      </c:pt>
                      <c:pt idx="38">
                        <c:v>-8.4373048657476302E-2</c:v>
                      </c:pt>
                      <c:pt idx="39">
                        <c:v>-9.3191115487455289E-2</c:v>
                      </c:pt>
                      <c:pt idx="40">
                        <c:v>-9.5665818082841025E-2</c:v>
                      </c:pt>
                      <c:pt idx="41">
                        <c:v>-9.8304633587908419E-2</c:v>
                      </c:pt>
                      <c:pt idx="42">
                        <c:v>-0.10278371519605489</c:v>
                      </c:pt>
                      <c:pt idx="43">
                        <c:v>-8.8192676561474226E-2</c:v>
                      </c:pt>
                      <c:pt idx="44">
                        <c:v>-8.7918487919688815E-2</c:v>
                      </c:pt>
                      <c:pt idx="45">
                        <c:v>-9.0037946106921507E-2</c:v>
                      </c:pt>
                      <c:pt idx="46">
                        <c:v>-8.1349968778519521E-2</c:v>
                      </c:pt>
                      <c:pt idx="47">
                        <c:v>-8.6216316825976191E-2</c:v>
                      </c:pt>
                      <c:pt idx="48">
                        <c:v>-7.4176033110780248E-2</c:v>
                      </c:pt>
                      <c:pt idx="49">
                        <c:v>-8.4182917847479111E-2</c:v>
                      </c:pt>
                      <c:pt idx="50">
                        <c:v>-8.0541412491794251E-2</c:v>
                      </c:pt>
                      <c:pt idx="51">
                        <c:v>-9.4089733736810954E-2</c:v>
                      </c:pt>
                      <c:pt idx="52">
                        <c:v>-0.103577261155675</c:v>
                      </c:pt>
                      <c:pt idx="53">
                        <c:v>-0.10921814208175229</c:v>
                      </c:pt>
                      <c:pt idx="54">
                        <c:v>-0.12360003682533582</c:v>
                      </c:pt>
                      <c:pt idx="55">
                        <c:v>-0.10779316169524622</c:v>
                      </c:pt>
                      <c:pt idx="56">
                        <c:v>-9.5270546135741374E-2</c:v>
                      </c:pt>
                      <c:pt idx="57">
                        <c:v>-0.10336611588773081</c:v>
                      </c:pt>
                      <c:pt idx="58">
                        <c:v>-0.12143454696831413</c:v>
                      </c:pt>
                      <c:pt idx="59">
                        <c:v>-0.10209724290311728</c:v>
                      </c:pt>
                      <c:pt idx="60">
                        <c:v>-0.11712458171221796</c:v>
                      </c:pt>
                      <c:pt idx="61">
                        <c:v>-0.10476107562002657</c:v>
                      </c:pt>
                      <c:pt idx="62">
                        <c:v>-9.3942632531181514E-2</c:v>
                      </c:pt>
                      <c:pt idx="63">
                        <c:v>-0.10355024256688594</c:v>
                      </c:pt>
                      <c:pt idx="64">
                        <c:v>-0.10706265910946722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83-4D09-A100-322DBFFFE92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Drawdown!$H$1</c15:sqref>
                        </c15:formulaRef>
                      </c:ext>
                    </c:extLst>
                    <c:strCache>
                      <c:ptCount val="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Drawdown!$A$2:$A$66</c15:sqref>
                        </c15:formulaRef>
                      </c:ext>
                    </c:extLst>
                    <c:numCache>
                      <c:formatCode>m/d/yyyy</c:formatCode>
                      <c:ptCount val="65"/>
                      <c:pt idx="0">
                        <c:v>46219</c:v>
                      </c:pt>
                      <c:pt idx="1">
                        <c:v>46220</c:v>
                      </c:pt>
                      <c:pt idx="2">
                        <c:v>46223</c:v>
                      </c:pt>
                      <c:pt idx="3">
                        <c:v>46224</c:v>
                      </c:pt>
                      <c:pt idx="4">
                        <c:v>46225</c:v>
                      </c:pt>
                      <c:pt idx="5">
                        <c:v>46226</c:v>
                      </c:pt>
                      <c:pt idx="6">
                        <c:v>46227</c:v>
                      </c:pt>
                      <c:pt idx="7">
                        <c:v>46230</c:v>
                      </c:pt>
                      <c:pt idx="8">
                        <c:v>46231</c:v>
                      </c:pt>
                      <c:pt idx="9">
                        <c:v>46232</c:v>
                      </c:pt>
                      <c:pt idx="10">
                        <c:v>46233</c:v>
                      </c:pt>
                      <c:pt idx="11">
                        <c:v>46234</c:v>
                      </c:pt>
                      <c:pt idx="12">
                        <c:v>46237</c:v>
                      </c:pt>
                      <c:pt idx="13">
                        <c:v>46238</c:v>
                      </c:pt>
                      <c:pt idx="14">
                        <c:v>46239</c:v>
                      </c:pt>
                      <c:pt idx="15">
                        <c:v>46240</c:v>
                      </c:pt>
                      <c:pt idx="16">
                        <c:v>46241</c:v>
                      </c:pt>
                      <c:pt idx="17">
                        <c:v>46244</c:v>
                      </c:pt>
                      <c:pt idx="18">
                        <c:v>46245</c:v>
                      </c:pt>
                      <c:pt idx="19">
                        <c:v>46246</c:v>
                      </c:pt>
                      <c:pt idx="20">
                        <c:v>46247</c:v>
                      </c:pt>
                      <c:pt idx="21">
                        <c:v>46248</c:v>
                      </c:pt>
                      <c:pt idx="22">
                        <c:v>46251</c:v>
                      </c:pt>
                      <c:pt idx="23">
                        <c:v>46252</c:v>
                      </c:pt>
                      <c:pt idx="24">
                        <c:v>46253</c:v>
                      </c:pt>
                      <c:pt idx="25">
                        <c:v>46254</c:v>
                      </c:pt>
                      <c:pt idx="26">
                        <c:v>46255</c:v>
                      </c:pt>
                      <c:pt idx="27">
                        <c:v>46258</c:v>
                      </c:pt>
                      <c:pt idx="28">
                        <c:v>46259</c:v>
                      </c:pt>
                      <c:pt idx="29">
                        <c:v>46260</c:v>
                      </c:pt>
                      <c:pt idx="30">
                        <c:v>46261</c:v>
                      </c:pt>
                      <c:pt idx="31">
                        <c:v>46262</c:v>
                      </c:pt>
                      <c:pt idx="32">
                        <c:v>46265</c:v>
                      </c:pt>
                      <c:pt idx="33">
                        <c:v>46266</c:v>
                      </c:pt>
                      <c:pt idx="34">
                        <c:v>46267</c:v>
                      </c:pt>
                      <c:pt idx="35">
                        <c:v>46268</c:v>
                      </c:pt>
                      <c:pt idx="36">
                        <c:v>46269</c:v>
                      </c:pt>
                      <c:pt idx="37">
                        <c:v>46272</c:v>
                      </c:pt>
                      <c:pt idx="38">
                        <c:v>46273</c:v>
                      </c:pt>
                      <c:pt idx="39">
                        <c:v>46274</c:v>
                      </c:pt>
                      <c:pt idx="40">
                        <c:v>46275</c:v>
                      </c:pt>
                      <c:pt idx="41">
                        <c:v>46276</c:v>
                      </c:pt>
                      <c:pt idx="42">
                        <c:v>46280</c:v>
                      </c:pt>
                      <c:pt idx="43">
                        <c:v>46281</c:v>
                      </c:pt>
                      <c:pt idx="44">
                        <c:v>46282</c:v>
                      </c:pt>
                      <c:pt idx="45">
                        <c:v>46283</c:v>
                      </c:pt>
                      <c:pt idx="46">
                        <c:v>46286</c:v>
                      </c:pt>
                      <c:pt idx="47">
                        <c:v>46287</c:v>
                      </c:pt>
                      <c:pt idx="48">
                        <c:v>46288</c:v>
                      </c:pt>
                      <c:pt idx="49">
                        <c:v>46289</c:v>
                      </c:pt>
                      <c:pt idx="50">
                        <c:v>46290</c:v>
                      </c:pt>
                      <c:pt idx="51">
                        <c:v>46293</c:v>
                      </c:pt>
                      <c:pt idx="52">
                        <c:v>46294</c:v>
                      </c:pt>
                      <c:pt idx="53">
                        <c:v>46295</c:v>
                      </c:pt>
                      <c:pt idx="54">
                        <c:v>46296</c:v>
                      </c:pt>
                      <c:pt idx="55">
                        <c:v>46300</c:v>
                      </c:pt>
                      <c:pt idx="56">
                        <c:v>46301</c:v>
                      </c:pt>
                      <c:pt idx="57">
                        <c:v>46302</c:v>
                      </c:pt>
                      <c:pt idx="58">
                        <c:v>46303</c:v>
                      </c:pt>
                      <c:pt idx="59">
                        <c:v>46304</c:v>
                      </c:pt>
                      <c:pt idx="60">
                        <c:v>46307</c:v>
                      </c:pt>
                      <c:pt idx="61">
                        <c:v>46308</c:v>
                      </c:pt>
                      <c:pt idx="62">
                        <c:v>46309</c:v>
                      </c:pt>
                      <c:pt idx="63">
                        <c:v>46310</c:v>
                      </c:pt>
                      <c:pt idx="64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Drawdown!$H$2:$H$66</c15:sqref>
                        </c15:formulaRef>
                      </c:ext>
                    </c:extLst>
                    <c:numCache>
                      <c:formatCode>0.0%</c:formatCode>
                      <c:ptCount val="65"/>
                      <c:pt idx="0">
                        <c:v>0</c:v>
                      </c:pt>
                      <c:pt idx="1">
                        <c:v>0</c:v>
                      </c:pt>
                      <c:pt idx="2">
                        <c:v>-2.6347106523123554E-3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-1.1004403941745844E-2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-6.446654383904793E-4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-4.3762288323714316E-3</c:v>
                      </c:pt>
                      <c:pt idx="14">
                        <c:v>0</c:v>
                      </c:pt>
                      <c:pt idx="15">
                        <c:v>-1.0137174001370153E-2</c:v>
                      </c:pt>
                      <c:pt idx="16">
                        <c:v>0</c:v>
                      </c:pt>
                      <c:pt idx="17">
                        <c:v>-9.3935826820790158E-4</c:v>
                      </c:pt>
                      <c:pt idx="18">
                        <c:v>-6.3866243477616047E-3</c:v>
                      </c:pt>
                      <c:pt idx="19">
                        <c:v>-9.6077631130704333E-3</c:v>
                      </c:pt>
                      <c:pt idx="20">
                        <c:v>-8.6262433426987917E-3</c:v>
                      </c:pt>
                      <c:pt idx="21">
                        <c:v>-1.4840848761632386E-2</c:v>
                      </c:pt>
                      <c:pt idx="22">
                        <c:v>-1.5845978973215713E-2</c:v>
                      </c:pt>
                      <c:pt idx="23">
                        <c:v>-1.2930089483572216E-2</c:v>
                      </c:pt>
                      <c:pt idx="24">
                        <c:v>-1.5599755800579485E-2</c:v>
                      </c:pt>
                      <c:pt idx="25">
                        <c:v>-1.1675363179179721E-2</c:v>
                      </c:pt>
                      <c:pt idx="26">
                        <c:v>-1.7650491265823298E-2</c:v>
                      </c:pt>
                      <c:pt idx="27">
                        <c:v>-1.8436381666155133E-2</c:v>
                      </c:pt>
                      <c:pt idx="28">
                        <c:v>-1.4537285946053524E-2</c:v>
                      </c:pt>
                      <c:pt idx="29">
                        <c:v>-2.1848090421244026E-2</c:v>
                      </c:pt>
                      <c:pt idx="30">
                        <c:v>-2.5782601803163163E-2</c:v>
                      </c:pt>
                      <c:pt idx="31">
                        <c:v>-2.6851817498035335E-2</c:v>
                      </c:pt>
                      <c:pt idx="32">
                        <c:v>-2.7199228275864407E-2</c:v>
                      </c:pt>
                      <c:pt idx="33">
                        <c:v>-3.9019627022487291E-2</c:v>
                      </c:pt>
                      <c:pt idx="34">
                        <c:v>-5.6191163623730556E-2</c:v>
                      </c:pt>
                      <c:pt idx="35">
                        <c:v>-6.1066719733944064E-2</c:v>
                      </c:pt>
                      <c:pt idx="36">
                        <c:v>-6.5333463752913379E-2</c:v>
                      </c:pt>
                      <c:pt idx="37">
                        <c:v>-6.5743273553944825E-2</c:v>
                      </c:pt>
                      <c:pt idx="38">
                        <c:v>-6.3159616701351617E-2</c:v>
                      </c:pt>
                      <c:pt idx="39">
                        <c:v>-6.7274579312531557E-2</c:v>
                      </c:pt>
                      <c:pt idx="40">
                        <c:v>-7.1065741587093889E-2</c:v>
                      </c:pt>
                      <c:pt idx="41">
                        <c:v>-7.9041011336384748E-2</c:v>
                      </c:pt>
                      <c:pt idx="42">
                        <c:v>-9.7521240964790201E-2</c:v>
                      </c:pt>
                      <c:pt idx="43">
                        <c:v>-9.2898653867558911E-2</c:v>
                      </c:pt>
                      <c:pt idx="44">
                        <c:v>-8.3943550807982992E-2</c:v>
                      </c:pt>
                      <c:pt idx="45">
                        <c:v>-8.4960486240172162E-2</c:v>
                      </c:pt>
                      <c:pt idx="46">
                        <c:v>-8.4215070881917486E-2</c:v>
                      </c:pt>
                      <c:pt idx="47">
                        <c:v>-8.6400723154085202E-2</c:v>
                      </c:pt>
                      <c:pt idx="48">
                        <c:v>-8.3997517530752686E-2</c:v>
                      </c:pt>
                      <c:pt idx="49">
                        <c:v>-9.8415064810661201E-2</c:v>
                      </c:pt>
                      <c:pt idx="50">
                        <c:v>-9.0394260639033441E-2</c:v>
                      </c:pt>
                      <c:pt idx="51">
                        <c:v>-0.10533123762559915</c:v>
                      </c:pt>
                      <c:pt idx="52">
                        <c:v>-0.11719379787438577</c:v>
                      </c:pt>
                      <c:pt idx="53">
                        <c:v>-0.11312605614562921</c:v>
                      </c:pt>
                      <c:pt idx="54">
                        <c:v>-0.14378590051909246</c:v>
                      </c:pt>
                      <c:pt idx="55">
                        <c:v>-0.14253960651513264</c:v>
                      </c:pt>
                      <c:pt idx="56">
                        <c:v>-0.13849041584732813</c:v>
                      </c:pt>
                      <c:pt idx="57">
                        <c:v>-0.1520849706050007</c:v>
                      </c:pt>
                      <c:pt idx="58">
                        <c:v>-0.173206196728942</c:v>
                      </c:pt>
                      <c:pt idx="59">
                        <c:v>-0.16149541788794486</c:v>
                      </c:pt>
                      <c:pt idx="60">
                        <c:v>-0.15392321209933923</c:v>
                      </c:pt>
                      <c:pt idx="61">
                        <c:v>-0.14355316902714876</c:v>
                      </c:pt>
                      <c:pt idx="62">
                        <c:v>-0.15148290435410272</c:v>
                      </c:pt>
                      <c:pt idx="63">
                        <c:v>-0.1373284448476958</c:v>
                      </c:pt>
                      <c:pt idx="64">
                        <c:v>-0.13084906519517403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83-4D09-A100-322DBFFFE927}"/>
                  </c:ext>
                </c:extLst>
              </c15:ser>
            </c15:filteredLineSeries>
          </c:ext>
        </c:extLst>
      </c:lineChart>
      <c:catAx>
        <c:axId val="560854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49928"/>
        <c:crosses val="autoZero"/>
        <c:auto val="0"/>
        <c:lblAlgn val="ctr"/>
        <c:lblOffset val="10"/>
        <c:noMultiLvlLbl val="1"/>
      </c:catAx>
      <c:valAx>
        <c:axId val="56084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Drawdown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5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20-day rolling volatility (annualised), Nov 2025 to Oct 2026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88350160412114"/>
          <c:y val="0.13698960399077398"/>
          <c:w val="0.71705964641492514"/>
          <c:h val="0.60166914301485142"/>
        </c:manualLayout>
      </c:layout>
      <c:lineChart>
        <c:grouping val="standard"/>
        <c:varyColors val="0"/>
        <c:ser>
          <c:idx val="0"/>
          <c:order val="0"/>
          <c:tx>
            <c:strRef>
              <c:f>Volatility!$B$1:$B$21</c:f>
              <c:strCache>
                <c:ptCount val="2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Volatility!$B$22:$B$247</c:f>
              <c:numCache>
                <c:formatCode>0.0%</c:formatCode>
                <c:ptCount val="226"/>
                <c:pt idx="0">
                  <c:v>6.9257844373297198E-2</c:v>
                </c:pt>
                <c:pt idx="1">
                  <c:v>7.1439076502664109E-2</c:v>
                </c:pt>
                <c:pt idx="2">
                  <c:v>7.3916400189621728E-2</c:v>
                </c:pt>
                <c:pt idx="3">
                  <c:v>7.4261703876879318E-2</c:v>
                </c:pt>
                <c:pt idx="4">
                  <c:v>7.1170520708944765E-2</c:v>
                </c:pt>
                <c:pt idx="5">
                  <c:v>8.3740444551136814E-2</c:v>
                </c:pt>
                <c:pt idx="6">
                  <c:v>8.2390437941398748E-2</c:v>
                </c:pt>
                <c:pt idx="7">
                  <c:v>7.8140360342400489E-2</c:v>
                </c:pt>
                <c:pt idx="8">
                  <c:v>7.4426434554042881E-2</c:v>
                </c:pt>
                <c:pt idx="9">
                  <c:v>7.7699039414655433E-2</c:v>
                </c:pt>
                <c:pt idx="10">
                  <c:v>7.3826515938907836E-2</c:v>
                </c:pt>
                <c:pt idx="11">
                  <c:v>7.2203434382112838E-2</c:v>
                </c:pt>
                <c:pt idx="12">
                  <c:v>7.3869161952938286E-2</c:v>
                </c:pt>
                <c:pt idx="13">
                  <c:v>8.1478869973961171E-2</c:v>
                </c:pt>
                <c:pt idx="14">
                  <c:v>8.2236012572633091E-2</c:v>
                </c:pt>
                <c:pt idx="15">
                  <c:v>7.9048063754252856E-2</c:v>
                </c:pt>
                <c:pt idx="16">
                  <c:v>8.1578346657808609E-2</c:v>
                </c:pt>
                <c:pt idx="17">
                  <c:v>8.3975791604157343E-2</c:v>
                </c:pt>
                <c:pt idx="18">
                  <c:v>8.2874375932778188E-2</c:v>
                </c:pt>
                <c:pt idx="19">
                  <c:v>8.4879595660894161E-2</c:v>
                </c:pt>
                <c:pt idx="20">
                  <c:v>8.2388551345453684E-2</c:v>
                </c:pt>
                <c:pt idx="21">
                  <c:v>7.9525525803842645E-2</c:v>
                </c:pt>
                <c:pt idx="22">
                  <c:v>8.1274136855385315E-2</c:v>
                </c:pt>
                <c:pt idx="23">
                  <c:v>8.4684697199085862E-2</c:v>
                </c:pt>
                <c:pt idx="24">
                  <c:v>8.3795376478110625E-2</c:v>
                </c:pt>
                <c:pt idx="25">
                  <c:v>7.1389701489159657E-2</c:v>
                </c:pt>
                <c:pt idx="26">
                  <c:v>7.2550711152955583E-2</c:v>
                </c:pt>
                <c:pt idx="27">
                  <c:v>7.3625074399889648E-2</c:v>
                </c:pt>
                <c:pt idx="28">
                  <c:v>7.3606231514890846E-2</c:v>
                </c:pt>
                <c:pt idx="29">
                  <c:v>7.6014717283230504E-2</c:v>
                </c:pt>
                <c:pt idx="30">
                  <c:v>7.5666669501795542E-2</c:v>
                </c:pt>
                <c:pt idx="31">
                  <c:v>7.9136338750287985E-2</c:v>
                </c:pt>
                <c:pt idx="32">
                  <c:v>7.7501013567881263E-2</c:v>
                </c:pt>
                <c:pt idx="33">
                  <c:v>7.1233131398096838E-2</c:v>
                </c:pt>
                <c:pt idx="34">
                  <c:v>6.9073413843543208E-2</c:v>
                </c:pt>
                <c:pt idx="35">
                  <c:v>7.7889589107265414E-2</c:v>
                </c:pt>
                <c:pt idx="36">
                  <c:v>7.9911463259801752E-2</c:v>
                </c:pt>
                <c:pt idx="37">
                  <c:v>7.8497767667966692E-2</c:v>
                </c:pt>
                <c:pt idx="38">
                  <c:v>7.8744499722267339E-2</c:v>
                </c:pt>
                <c:pt idx="39">
                  <c:v>7.6088473555846289E-2</c:v>
                </c:pt>
                <c:pt idx="40">
                  <c:v>7.6114638678208821E-2</c:v>
                </c:pt>
                <c:pt idx="41">
                  <c:v>7.7426582389965484E-2</c:v>
                </c:pt>
                <c:pt idx="42">
                  <c:v>8.7084194904487836E-2</c:v>
                </c:pt>
                <c:pt idx="43">
                  <c:v>7.985580829451118E-2</c:v>
                </c:pt>
                <c:pt idx="44">
                  <c:v>8.3614599002257137E-2</c:v>
                </c:pt>
                <c:pt idx="45">
                  <c:v>8.8080264901983785E-2</c:v>
                </c:pt>
                <c:pt idx="46">
                  <c:v>9.1385355031045459E-2</c:v>
                </c:pt>
                <c:pt idx="47">
                  <c:v>9.5574117651086185E-2</c:v>
                </c:pt>
                <c:pt idx="48">
                  <c:v>9.6659227599059164E-2</c:v>
                </c:pt>
                <c:pt idx="49">
                  <c:v>9.1894150655753681E-2</c:v>
                </c:pt>
                <c:pt idx="50">
                  <c:v>0.11138916587992929</c:v>
                </c:pt>
                <c:pt idx="51">
                  <c:v>0.11615194823293763</c:v>
                </c:pt>
                <c:pt idx="52">
                  <c:v>0.15246148801001858</c:v>
                </c:pt>
                <c:pt idx="53">
                  <c:v>0.15263150179350321</c:v>
                </c:pt>
                <c:pt idx="54">
                  <c:v>0.1534321357279981</c:v>
                </c:pt>
                <c:pt idx="55">
                  <c:v>0.1497965138788738</c:v>
                </c:pt>
                <c:pt idx="56">
                  <c:v>0.14928568899835065</c:v>
                </c:pt>
                <c:pt idx="57">
                  <c:v>0.14886978624187169</c:v>
                </c:pt>
                <c:pt idx="58">
                  <c:v>0.14856299559161479</c:v>
                </c:pt>
                <c:pt idx="59">
                  <c:v>0.14979069510264878</c:v>
                </c:pt>
                <c:pt idx="60">
                  <c:v>0.15702416432860547</c:v>
                </c:pt>
                <c:pt idx="61">
                  <c:v>0.15924727998563665</c:v>
                </c:pt>
                <c:pt idx="62">
                  <c:v>0.15038541707047764</c:v>
                </c:pt>
                <c:pt idx="63">
                  <c:v>0.14989615434964879</c:v>
                </c:pt>
                <c:pt idx="64">
                  <c:v>0.15872259122444068</c:v>
                </c:pt>
                <c:pt idx="65">
                  <c:v>0.15489974828534919</c:v>
                </c:pt>
                <c:pt idx="66">
                  <c:v>0.15507388941668937</c:v>
                </c:pt>
                <c:pt idx="67">
                  <c:v>0.15950076268077368</c:v>
                </c:pt>
                <c:pt idx="68">
                  <c:v>0.15935213909298479</c:v>
                </c:pt>
                <c:pt idx="69">
                  <c:v>0.15863735022871339</c:v>
                </c:pt>
                <c:pt idx="70">
                  <c:v>0.14848379381141777</c:v>
                </c:pt>
                <c:pt idx="71">
                  <c:v>0.15071079011656913</c:v>
                </c:pt>
                <c:pt idx="72">
                  <c:v>0.12544944467097616</c:v>
                </c:pt>
                <c:pt idx="73">
                  <c:v>0.13440780553941173</c:v>
                </c:pt>
                <c:pt idx="74">
                  <c:v>0.13939505148569359</c:v>
                </c:pt>
                <c:pt idx="75">
                  <c:v>0.14796961128732394</c:v>
                </c:pt>
                <c:pt idx="76">
                  <c:v>0.15098508438201144</c:v>
                </c:pt>
                <c:pt idx="77">
                  <c:v>0.15619854492701385</c:v>
                </c:pt>
                <c:pt idx="78">
                  <c:v>0.15624428324252335</c:v>
                </c:pt>
                <c:pt idx="79">
                  <c:v>0.16630666980214873</c:v>
                </c:pt>
                <c:pt idx="80">
                  <c:v>0.17349741891164316</c:v>
                </c:pt>
                <c:pt idx="81">
                  <c:v>0.17262556084110442</c:v>
                </c:pt>
                <c:pt idx="82">
                  <c:v>0.17720163518956855</c:v>
                </c:pt>
                <c:pt idx="83">
                  <c:v>0.20184561201671386</c:v>
                </c:pt>
                <c:pt idx="84">
                  <c:v>0.20257062161868072</c:v>
                </c:pt>
                <c:pt idx="85">
                  <c:v>0.21279165955086082</c:v>
                </c:pt>
                <c:pt idx="86">
                  <c:v>0.22579820960551711</c:v>
                </c:pt>
                <c:pt idx="87">
                  <c:v>0.23867275647802383</c:v>
                </c:pt>
                <c:pt idx="88">
                  <c:v>0.24439142882713036</c:v>
                </c:pt>
                <c:pt idx="89">
                  <c:v>0.2496727881601663</c:v>
                </c:pt>
                <c:pt idx="90">
                  <c:v>0.26038635052250836</c:v>
                </c:pt>
                <c:pt idx="91">
                  <c:v>0.25986514906799096</c:v>
                </c:pt>
                <c:pt idx="92">
                  <c:v>0.26202792436726263</c:v>
                </c:pt>
                <c:pt idx="93">
                  <c:v>0.25894216959285071</c:v>
                </c:pt>
                <c:pt idx="94">
                  <c:v>0.29421161796346706</c:v>
                </c:pt>
                <c:pt idx="95">
                  <c:v>0.28958783262298748</c:v>
                </c:pt>
                <c:pt idx="96">
                  <c:v>0.29052545403831803</c:v>
                </c:pt>
                <c:pt idx="97">
                  <c:v>0.2861869252617692</c:v>
                </c:pt>
                <c:pt idx="98">
                  <c:v>0.2893196903085728</c:v>
                </c:pt>
                <c:pt idx="99">
                  <c:v>0.2777098484349721</c:v>
                </c:pt>
                <c:pt idx="100">
                  <c:v>0.27624771160195472</c:v>
                </c:pt>
                <c:pt idx="101">
                  <c:v>0.27559729533396121</c:v>
                </c:pt>
                <c:pt idx="102">
                  <c:v>0.2757110661874429</c:v>
                </c:pt>
                <c:pt idx="103">
                  <c:v>0.24738399986250448</c:v>
                </c:pt>
                <c:pt idx="104">
                  <c:v>0.2505396925476539</c:v>
                </c:pt>
                <c:pt idx="105">
                  <c:v>0.23331549543259036</c:v>
                </c:pt>
                <c:pt idx="106">
                  <c:v>0.22773211214306707</c:v>
                </c:pt>
                <c:pt idx="107">
                  <c:v>0.22209406503765014</c:v>
                </c:pt>
                <c:pt idx="108">
                  <c:v>0.20637873772777821</c:v>
                </c:pt>
                <c:pt idx="109">
                  <c:v>0.18981158671788292</c:v>
                </c:pt>
                <c:pt idx="110">
                  <c:v>0.18465994758661464</c:v>
                </c:pt>
                <c:pt idx="111">
                  <c:v>0.18613659612421279</c:v>
                </c:pt>
                <c:pt idx="112">
                  <c:v>0.18687842799882207</c:v>
                </c:pt>
                <c:pt idx="113">
                  <c:v>0.18662346579988895</c:v>
                </c:pt>
                <c:pt idx="114">
                  <c:v>0.1347450141774113</c:v>
                </c:pt>
                <c:pt idx="115">
                  <c:v>0.14143523867348556</c:v>
                </c:pt>
                <c:pt idx="116">
                  <c:v>0.14892594364990799</c:v>
                </c:pt>
                <c:pt idx="117">
                  <c:v>0.14667285058006882</c:v>
                </c:pt>
                <c:pt idx="118">
                  <c:v>0.1404600984459502</c:v>
                </c:pt>
                <c:pt idx="119">
                  <c:v>0.14048860166521501</c:v>
                </c:pt>
                <c:pt idx="120">
                  <c:v>0.13773648677728179</c:v>
                </c:pt>
                <c:pt idx="121">
                  <c:v>0.1375562141556359</c:v>
                </c:pt>
                <c:pt idx="122">
                  <c:v>0.1328438202758</c:v>
                </c:pt>
                <c:pt idx="123">
                  <c:v>0.1308909952133181</c:v>
                </c:pt>
                <c:pt idx="124">
                  <c:v>0.12901917840277341</c:v>
                </c:pt>
                <c:pt idx="125">
                  <c:v>0.1320054348523251</c:v>
                </c:pt>
                <c:pt idx="126">
                  <c:v>0.12984369733497278</c:v>
                </c:pt>
                <c:pt idx="127">
                  <c:v>0.12911231719453556</c:v>
                </c:pt>
                <c:pt idx="128">
                  <c:v>0.13591779063989345</c:v>
                </c:pt>
                <c:pt idx="129">
                  <c:v>0.13566428875660363</c:v>
                </c:pt>
                <c:pt idx="130">
                  <c:v>0.13522176264676719</c:v>
                </c:pt>
                <c:pt idx="131">
                  <c:v>0.1351652016518122</c:v>
                </c:pt>
                <c:pt idx="132">
                  <c:v>0.12541616909463779</c:v>
                </c:pt>
                <c:pt idx="133">
                  <c:v>0.12525509439618793</c:v>
                </c:pt>
                <c:pt idx="134">
                  <c:v>0.1280192647305291</c:v>
                </c:pt>
                <c:pt idx="135">
                  <c:v>0.12122353930438626</c:v>
                </c:pt>
                <c:pt idx="136">
                  <c:v>0.10299825549467492</c:v>
                </c:pt>
                <c:pt idx="137">
                  <c:v>0.10300601854468622</c:v>
                </c:pt>
                <c:pt idx="138">
                  <c:v>0.11867056199184779</c:v>
                </c:pt>
                <c:pt idx="139">
                  <c:v>0.12347136000178217</c:v>
                </c:pt>
                <c:pt idx="140">
                  <c:v>0.12483478710696223</c:v>
                </c:pt>
                <c:pt idx="141">
                  <c:v>0.12509776309168272</c:v>
                </c:pt>
                <c:pt idx="142">
                  <c:v>0.12536909575420174</c:v>
                </c:pt>
                <c:pt idx="143">
                  <c:v>0.12812838308637658</c:v>
                </c:pt>
                <c:pt idx="144">
                  <c:v>0.12838154471950264</c:v>
                </c:pt>
                <c:pt idx="145">
                  <c:v>0.12687302400969205</c:v>
                </c:pt>
                <c:pt idx="146">
                  <c:v>0.12928506634789252</c:v>
                </c:pt>
                <c:pt idx="147">
                  <c:v>0.12933378081168376</c:v>
                </c:pt>
                <c:pt idx="148">
                  <c:v>0.11763589685741684</c:v>
                </c:pt>
                <c:pt idx="149">
                  <c:v>0.11507836562717783</c:v>
                </c:pt>
                <c:pt idx="150">
                  <c:v>0.11579335984655913</c:v>
                </c:pt>
                <c:pt idx="151">
                  <c:v>0.11637823882206876</c:v>
                </c:pt>
                <c:pt idx="152">
                  <c:v>0.11656373187844093</c:v>
                </c:pt>
                <c:pt idx="153">
                  <c:v>0.11674684372298465</c:v>
                </c:pt>
                <c:pt idx="154">
                  <c:v>0.10774057253191054</c:v>
                </c:pt>
                <c:pt idx="155">
                  <c:v>0.13651559582440956</c:v>
                </c:pt>
                <c:pt idx="156">
                  <c:v>0.13633805944385147</c:v>
                </c:pt>
                <c:pt idx="157">
                  <c:v>0.13875835535179915</c:v>
                </c:pt>
                <c:pt idx="158">
                  <c:v>0.12211066935794174</c:v>
                </c:pt>
                <c:pt idx="159">
                  <c:v>0.1207597813541703</c:v>
                </c:pt>
                <c:pt idx="160">
                  <c:v>0.1192150745928805</c:v>
                </c:pt>
                <c:pt idx="161">
                  <c:v>0.11836454149396723</c:v>
                </c:pt>
                <c:pt idx="162">
                  <c:v>0.12403335562971846</c:v>
                </c:pt>
                <c:pt idx="163">
                  <c:v>0.12254198596321435</c:v>
                </c:pt>
                <c:pt idx="164">
                  <c:v>0.12224345757217357</c:v>
                </c:pt>
                <c:pt idx="165">
                  <c:v>0.1181999549412775</c:v>
                </c:pt>
                <c:pt idx="166">
                  <c:v>0.11595586855036148</c:v>
                </c:pt>
                <c:pt idx="167">
                  <c:v>0.11660063604443224</c:v>
                </c:pt>
                <c:pt idx="168">
                  <c:v>0.12095212767469263</c:v>
                </c:pt>
                <c:pt idx="169">
                  <c:v>0.12027588945717206</c:v>
                </c:pt>
                <c:pt idx="170">
                  <c:v>0.12478224155782586</c:v>
                </c:pt>
                <c:pt idx="171">
                  <c:v>0.12270587226748136</c:v>
                </c:pt>
                <c:pt idx="172">
                  <c:v>0.12230936595146788</c:v>
                </c:pt>
                <c:pt idx="173">
                  <c:v>0.13291919154911785</c:v>
                </c:pt>
                <c:pt idx="174">
                  <c:v>0.1351912167641966</c:v>
                </c:pt>
                <c:pt idx="175">
                  <c:v>0.10840129685121951</c:v>
                </c:pt>
                <c:pt idx="176">
                  <c:v>0.10824404429720261</c:v>
                </c:pt>
                <c:pt idx="177">
                  <c:v>0.10394287101687449</c:v>
                </c:pt>
                <c:pt idx="178">
                  <c:v>0.10392311644721892</c:v>
                </c:pt>
                <c:pt idx="179">
                  <c:v>0.102272796546893</c:v>
                </c:pt>
                <c:pt idx="180">
                  <c:v>0.10260479712436069</c:v>
                </c:pt>
                <c:pt idx="181">
                  <c:v>0.10290554946984812</c:v>
                </c:pt>
                <c:pt idx="182">
                  <c:v>9.574454540942566E-2</c:v>
                </c:pt>
                <c:pt idx="183">
                  <c:v>9.5376492573564189E-2</c:v>
                </c:pt>
                <c:pt idx="184">
                  <c:v>9.714778917694035E-2</c:v>
                </c:pt>
                <c:pt idx="185">
                  <c:v>9.344261019134309E-2</c:v>
                </c:pt>
                <c:pt idx="186">
                  <c:v>9.356027146060418E-2</c:v>
                </c:pt>
                <c:pt idx="187">
                  <c:v>9.164114865781943E-2</c:v>
                </c:pt>
                <c:pt idx="188">
                  <c:v>8.6112062500322148E-2</c:v>
                </c:pt>
                <c:pt idx="189">
                  <c:v>8.7352417833937476E-2</c:v>
                </c:pt>
                <c:pt idx="190">
                  <c:v>8.0722178857128138E-2</c:v>
                </c:pt>
                <c:pt idx="191">
                  <c:v>8.1675524609109096E-2</c:v>
                </c:pt>
                <c:pt idx="192">
                  <c:v>8.2129635587032818E-2</c:v>
                </c:pt>
                <c:pt idx="193">
                  <c:v>5.5332512011994586E-2</c:v>
                </c:pt>
                <c:pt idx="194">
                  <c:v>5.2057692512132707E-2</c:v>
                </c:pt>
                <c:pt idx="195">
                  <c:v>5.4310178360884004E-2</c:v>
                </c:pt>
                <c:pt idx="196">
                  <c:v>5.383837332579304E-2</c:v>
                </c:pt>
                <c:pt idx="197">
                  <c:v>5.4427319798138536E-2</c:v>
                </c:pt>
                <c:pt idx="198">
                  <c:v>5.5348178591162839E-2</c:v>
                </c:pt>
                <c:pt idx="199">
                  <c:v>5.6630786787776562E-2</c:v>
                </c:pt>
                <c:pt idx="200">
                  <c:v>6.1647579702811525E-2</c:v>
                </c:pt>
                <c:pt idx="201">
                  <c:v>6.3310974073040316E-2</c:v>
                </c:pt>
                <c:pt idx="202">
                  <c:v>6.3468317644420597E-2</c:v>
                </c:pt>
                <c:pt idx="203">
                  <c:v>7.2567343371887721E-2</c:v>
                </c:pt>
                <c:pt idx="204">
                  <c:v>7.5395130773608654E-2</c:v>
                </c:pt>
                <c:pt idx="205">
                  <c:v>7.6712970761830701E-2</c:v>
                </c:pt>
                <c:pt idx="206">
                  <c:v>7.3072751100829905E-2</c:v>
                </c:pt>
                <c:pt idx="207">
                  <c:v>7.4442389632935688E-2</c:v>
                </c:pt>
                <c:pt idx="208">
                  <c:v>7.4726007221798355E-2</c:v>
                </c:pt>
                <c:pt idx="209">
                  <c:v>7.5061950701941743E-2</c:v>
                </c:pt>
                <c:pt idx="210">
                  <c:v>9.0539935288854359E-2</c:v>
                </c:pt>
                <c:pt idx="211">
                  <c:v>9.2276665820833298E-2</c:v>
                </c:pt>
                <c:pt idx="212">
                  <c:v>0.10155663581312259</c:v>
                </c:pt>
                <c:pt idx="213">
                  <c:v>0.10148951640588304</c:v>
                </c:pt>
                <c:pt idx="214">
                  <c:v>0.1013417807041652</c:v>
                </c:pt>
                <c:pt idx="215">
                  <c:v>0.10292358747191156</c:v>
                </c:pt>
                <c:pt idx="216">
                  <c:v>0.10788357034021963</c:v>
                </c:pt>
                <c:pt idx="217">
                  <c:v>0.11616047745578632</c:v>
                </c:pt>
                <c:pt idx="218">
                  <c:v>0.11731052250820484</c:v>
                </c:pt>
                <c:pt idx="219">
                  <c:v>0.12685584360286073</c:v>
                </c:pt>
                <c:pt idx="220">
                  <c:v>0.1369960949304691</c:v>
                </c:pt>
                <c:pt idx="221">
                  <c:v>0.13728244955065128</c:v>
                </c:pt>
                <c:pt idx="222">
                  <c:v>0.15194386405271709</c:v>
                </c:pt>
                <c:pt idx="223">
                  <c:v>0.14729250224872509</c:v>
                </c:pt>
                <c:pt idx="224">
                  <c:v>0.15915096532666734</c:v>
                </c:pt>
                <c:pt idx="225">
                  <c:v>0.16078298800571325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B-496A-AF02-593548BDD2B6}"/>
            </c:ext>
          </c:extLst>
        </c:ser>
        <c:ser>
          <c:idx val="1"/>
          <c:order val="1"/>
          <c:tx>
            <c:strRef>
              <c:f>Volatility!$C$1:$C$21</c:f>
              <c:strCache>
                <c:ptCount val="2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Volatility!$C$22:$C$247</c:f>
              <c:numCache>
                <c:formatCode>0.0%</c:formatCode>
                <c:ptCount val="226"/>
                <c:pt idx="0">
                  <c:v>8.4503546114767111E-2</c:v>
                </c:pt>
                <c:pt idx="1">
                  <c:v>8.4592377650942435E-2</c:v>
                </c:pt>
                <c:pt idx="2">
                  <c:v>9.5545806802173838E-2</c:v>
                </c:pt>
                <c:pt idx="3">
                  <c:v>9.5973785818518217E-2</c:v>
                </c:pt>
                <c:pt idx="4">
                  <c:v>9.1281349325820285E-2</c:v>
                </c:pt>
                <c:pt idx="5">
                  <c:v>0.10097196139980895</c:v>
                </c:pt>
                <c:pt idx="6">
                  <c:v>9.8990482960172127E-2</c:v>
                </c:pt>
                <c:pt idx="7">
                  <c:v>9.9055245488739979E-2</c:v>
                </c:pt>
                <c:pt idx="8">
                  <c:v>9.7131398854306703E-2</c:v>
                </c:pt>
                <c:pt idx="9">
                  <c:v>9.4405532789489377E-2</c:v>
                </c:pt>
                <c:pt idx="10">
                  <c:v>0.1000345014988924</c:v>
                </c:pt>
                <c:pt idx="11">
                  <c:v>9.3278142368259376E-2</c:v>
                </c:pt>
                <c:pt idx="12">
                  <c:v>9.2287286481123831E-2</c:v>
                </c:pt>
                <c:pt idx="13">
                  <c:v>0.11263783458300135</c:v>
                </c:pt>
                <c:pt idx="14">
                  <c:v>0.11160662333778325</c:v>
                </c:pt>
                <c:pt idx="15">
                  <c:v>0.11293500552306887</c:v>
                </c:pt>
                <c:pt idx="16">
                  <c:v>0.1194236423022685</c:v>
                </c:pt>
                <c:pt idx="17">
                  <c:v>0.12765222816912847</c:v>
                </c:pt>
                <c:pt idx="18">
                  <c:v>0.12445295619770559</c:v>
                </c:pt>
                <c:pt idx="19">
                  <c:v>0.1260971976888384</c:v>
                </c:pt>
                <c:pt idx="20">
                  <c:v>0.12654723983446048</c:v>
                </c:pt>
                <c:pt idx="21">
                  <c:v>0.12755028083297318</c:v>
                </c:pt>
                <c:pt idx="22">
                  <c:v>0.12974051174044401</c:v>
                </c:pt>
                <c:pt idx="23">
                  <c:v>0.13235095070487091</c:v>
                </c:pt>
                <c:pt idx="24">
                  <c:v>0.13189806836593268</c:v>
                </c:pt>
                <c:pt idx="25">
                  <c:v>0.12547392558949738</c:v>
                </c:pt>
                <c:pt idx="26">
                  <c:v>0.12552676336369767</c:v>
                </c:pt>
                <c:pt idx="27">
                  <c:v>0.12656564233264414</c:v>
                </c:pt>
                <c:pt idx="28">
                  <c:v>0.12654395979065816</c:v>
                </c:pt>
                <c:pt idx="29">
                  <c:v>0.13168651495204006</c:v>
                </c:pt>
                <c:pt idx="30">
                  <c:v>0.12774778573416284</c:v>
                </c:pt>
                <c:pt idx="31">
                  <c:v>0.13229001086239506</c:v>
                </c:pt>
                <c:pt idx="32">
                  <c:v>0.13171245576284102</c:v>
                </c:pt>
                <c:pt idx="33">
                  <c:v>0.11199857729844641</c:v>
                </c:pt>
                <c:pt idx="34">
                  <c:v>0.11238342337628586</c:v>
                </c:pt>
                <c:pt idx="35">
                  <c:v>0.12777216965531427</c:v>
                </c:pt>
                <c:pt idx="36">
                  <c:v>0.12725764261374373</c:v>
                </c:pt>
                <c:pt idx="37">
                  <c:v>0.11956207512356531</c:v>
                </c:pt>
                <c:pt idx="38">
                  <c:v>0.11966477261448934</c:v>
                </c:pt>
                <c:pt idx="39">
                  <c:v>0.11649168694287407</c:v>
                </c:pt>
                <c:pt idx="40">
                  <c:v>0.11477420980404295</c:v>
                </c:pt>
                <c:pt idx="41">
                  <c:v>0.11508241494768856</c:v>
                </c:pt>
                <c:pt idx="42">
                  <c:v>0.13971514235826915</c:v>
                </c:pt>
                <c:pt idx="43">
                  <c:v>0.13815606473366449</c:v>
                </c:pt>
                <c:pt idx="44">
                  <c:v>0.14946952005332031</c:v>
                </c:pt>
                <c:pt idx="45">
                  <c:v>0.15926482384567414</c:v>
                </c:pt>
                <c:pt idx="46">
                  <c:v>0.16222099788424071</c:v>
                </c:pt>
                <c:pt idx="47">
                  <c:v>0.17510793810062919</c:v>
                </c:pt>
                <c:pt idx="48">
                  <c:v>0.17543058595531175</c:v>
                </c:pt>
                <c:pt idx="49">
                  <c:v>0.17088699869520521</c:v>
                </c:pt>
                <c:pt idx="50">
                  <c:v>0.18427845130784037</c:v>
                </c:pt>
                <c:pt idx="51">
                  <c:v>0.18376048686804905</c:v>
                </c:pt>
                <c:pt idx="52">
                  <c:v>0.21512090923380364</c:v>
                </c:pt>
                <c:pt idx="53">
                  <c:v>0.21692009108958857</c:v>
                </c:pt>
                <c:pt idx="54">
                  <c:v>0.21594917067445668</c:v>
                </c:pt>
                <c:pt idx="55">
                  <c:v>0.20510951811971306</c:v>
                </c:pt>
                <c:pt idx="56">
                  <c:v>0.21095585581860377</c:v>
                </c:pt>
                <c:pt idx="57">
                  <c:v>0.21142449698163687</c:v>
                </c:pt>
                <c:pt idx="58">
                  <c:v>0.21115922747147409</c:v>
                </c:pt>
                <c:pt idx="59">
                  <c:v>0.21198586574089065</c:v>
                </c:pt>
                <c:pt idx="60">
                  <c:v>0.22106842663386961</c:v>
                </c:pt>
                <c:pt idx="61">
                  <c:v>0.22138080038950267</c:v>
                </c:pt>
                <c:pt idx="62">
                  <c:v>0.19832589620496555</c:v>
                </c:pt>
                <c:pt idx="63">
                  <c:v>0.19254313909491344</c:v>
                </c:pt>
                <c:pt idx="64">
                  <c:v>0.19838318801905727</c:v>
                </c:pt>
                <c:pt idx="65">
                  <c:v>0.18563253397188406</c:v>
                </c:pt>
                <c:pt idx="66">
                  <c:v>0.18640295958107211</c:v>
                </c:pt>
                <c:pt idx="67">
                  <c:v>0.17830727317770723</c:v>
                </c:pt>
                <c:pt idx="68">
                  <c:v>0.17921474236288651</c:v>
                </c:pt>
                <c:pt idx="69">
                  <c:v>0.18006625540854099</c:v>
                </c:pt>
                <c:pt idx="70">
                  <c:v>0.16442824040849721</c:v>
                </c:pt>
                <c:pt idx="71">
                  <c:v>0.17292634828208125</c:v>
                </c:pt>
                <c:pt idx="72">
                  <c:v>0.15608207367420535</c:v>
                </c:pt>
                <c:pt idx="73">
                  <c:v>0.16530603367408384</c:v>
                </c:pt>
                <c:pt idx="74">
                  <c:v>0.16635621606027312</c:v>
                </c:pt>
                <c:pt idx="75">
                  <c:v>0.17787092487081052</c:v>
                </c:pt>
                <c:pt idx="76">
                  <c:v>0.17848382279809102</c:v>
                </c:pt>
                <c:pt idx="77">
                  <c:v>0.17936292852534369</c:v>
                </c:pt>
                <c:pt idx="78">
                  <c:v>0.17877387831392727</c:v>
                </c:pt>
                <c:pt idx="79">
                  <c:v>0.19621231539663733</c:v>
                </c:pt>
                <c:pt idx="80">
                  <c:v>0.19091860479494466</c:v>
                </c:pt>
                <c:pt idx="81">
                  <c:v>0.19523646426980376</c:v>
                </c:pt>
                <c:pt idx="82">
                  <c:v>0.21224449168453546</c:v>
                </c:pt>
                <c:pt idx="83">
                  <c:v>0.23320753092537355</c:v>
                </c:pt>
                <c:pt idx="84">
                  <c:v>0.23279905713140314</c:v>
                </c:pt>
                <c:pt idx="85">
                  <c:v>0.26159435561487554</c:v>
                </c:pt>
                <c:pt idx="86">
                  <c:v>0.28509457749658729</c:v>
                </c:pt>
                <c:pt idx="87">
                  <c:v>0.30126702422085327</c:v>
                </c:pt>
                <c:pt idx="88">
                  <c:v>0.30674555904406686</c:v>
                </c:pt>
                <c:pt idx="89">
                  <c:v>0.31353188157001488</c:v>
                </c:pt>
                <c:pt idx="90">
                  <c:v>0.32841695239557339</c:v>
                </c:pt>
                <c:pt idx="91">
                  <c:v>0.32570189308457642</c:v>
                </c:pt>
                <c:pt idx="92">
                  <c:v>0.32526554557753501</c:v>
                </c:pt>
                <c:pt idx="93">
                  <c:v>0.31930723237461606</c:v>
                </c:pt>
                <c:pt idx="94">
                  <c:v>0.35308446936447446</c:v>
                </c:pt>
                <c:pt idx="95">
                  <c:v>0.34569644480173112</c:v>
                </c:pt>
                <c:pt idx="96">
                  <c:v>0.34511016212016632</c:v>
                </c:pt>
                <c:pt idx="97">
                  <c:v>0.34245458928511102</c:v>
                </c:pt>
                <c:pt idx="98">
                  <c:v>0.3497012915977058</c:v>
                </c:pt>
                <c:pt idx="99">
                  <c:v>0.33263811780983821</c:v>
                </c:pt>
                <c:pt idx="100">
                  <c:v>0.33298416166895956</c:v>
                </c:pt>
                <c:pt idx="101">
                  <c:v>0.33313360389347202</c:v>
                </c:pt>
                <c:pt idx="102">
                  <c:v>0.32778471000845416</c:v>
                </c:pt>
                <c:pt idx="103">
                  <c:v>0.30014797665309595</c:v>
                </c:pt>
                <c:pt idx="104">
                  <c:v>0.30187432195806463</c:v>
                </c:pt>
                <c:pt idx="105">
                  <c:v>0.26085470225911289</c:v>
                </c:pt>
                <c:pt idx="106">
                  <c:v>0.25239248268432668</c:v>
                </c:pt>
                <c:pt idx="107">
                  <c:v>0.243883344798343</c:v>
                </c:pt>
                <c:pt idx="108">
                  <c:v>0.22360619910273322</c:v>
                </c:pt>
                <c:pt idx="109">
                  <c:v>0.19765178402567635</c:v>
                </c:pt>
                <c:pt idx="110">
                  <c:v>0.18869132058258348</c:v>
                </c:pt>
                <c:pt idx="111">
                  <c:v>0.18676914687155549</c:v>
                </c:pt>
                <c:pt idx="112">
                  <c:v>0.18856969584744626</c:v>
                </c:pt>
                <c:pt idx="113">
                  <c:v>0.18875288101126808</c:v>
                </c:pt>
                <c:pt idx="114">
                  <c:v>0.14186706126076881</c:v>
                </c:pt>
                <c:pt idx="115">
                  <c:v>0.15141100083565071</c:v>
                </c:pt>
                <c:pt idx="116">
                  <c:v>0.1767980737079525</c:v>
                </c:pt>
                <c:pt idx="117">
                  <c:v>0.17580395616795366</c:v>
                </c:pt>
                <c:pt idx="118">
                  <c:v>0.16355405575215742</c:v>
                </c:pt>
                <c:pt idx="119">
                  <c:v>0.16408365869368452</c:v>
                </c:pt>
                <c:pt idx="120">
                  <c:v>0.15857936792139848</c:v>
                </c:pt>
                <c:pt idx="121">
                  <c:v>0.16113651195608525</c:v>
                </c:pt>
                <c:pt idx="122">
                  <c:v>0.1611326209198492</c:v>
                </c:pt>
                <c:pt idx="123">
                  <c:v>0.16117772199289235</c:v>
                </c:pt>
                <c:pt idx="124">
                  <c:v>0.16005510070927206</c:v>
                </c:pt>
                <c:pt idx="125">
                  <c:v>0.15714423441801356</c:v>
                </c:pt>
                <c:pt idx="126">
                  <c:v>0.15062815709643695</c:v>
                </c:pt>
                <c:pt idx="127">
                  <c:v>0.15083405705714154</c:v>
                </c:pt>
                <c:pt idx="128">
                  <c:v>0.16000011328998082</c:v>
                </c:pt>
                <c:pt idx="129">
                  <c:v>0.16506912223613984</c:v>
                </c:pt>
                <c:pt idx="130">
                  <c:v>0.16391152209783319</c:v>
                </c:pt>
                <c:pt idx="131">
                  <c:v>0.16475701418608055</c:v>
                </c:pt>
                <c:pt idx="132">
                  <c:v>0.15274744264494614</c:v>
                </c:pt>
                <c:pt idx="133">
                  <c:v>0.1471134762744124</c:v>
                </c:pt>
                <c:pt idx="134">
                  <c:v>0.15420099101000773</c:v>
                </c:pt>
                <c:pt idx="135">
                  <c:v>0.15926533465066178</c:v>
                </c:pt>
                <c:pt idx="136">
                  <c:v>0.14077964141349444</c:v>
                </c:pt>
                <c:pt idx="137">
                  <c:v>0.14067688729380581</c:v>
                </c:pt>
                <c:pt idx="138">
                  <c:v>0.16149651545559932</c:v>
                </c:pt>
                <c:pt idx="139">
                  <c:v>0.16677503203926489</c:v>
                </c:pt>
                <c:pt idx="140">
                  <c:v>0.1669012762632221</c:v>
                </c:pt>
                <c:pt idx="141">
                  <c:v>0.16501981018915118</c:v>
                </c:pt>
                <c:pt idx="142">
                  <c:v>0.16478267242984043</c:v>
                </c:pt>
                <c:pt idx="143">
                  <c:v>0.16477264415665147</c:v>
                </c:pt>
                <c:pt idx="144">
                  <c:v>0.1649810211397098</c:v>
                </c:pt>
                <c:pt idx="145">
                  <c:v>0.16686251912071157</c:v>
                </c:pt>
                <c:pt idx="146">
                  <c:v>0.16576914487274011</c:v>
                </c:pt>
                <c:pt idx="147">
                  <c:v>0.16602103995357659</c:v>
                </c:pt>
                <c:pt idx="148">
                  <c:v>0.15957055893528282</c:v>
                </c:pt>
                <c:pt idx="149">
                  <c:v>0.15057179902208298</c:v>
                </c:pt>
                <c:pt idx="150">
                  <c:v>0.15081230525970135</c:v>
                </c:pt>
                <c:pt idx="151">
                  <c:v>0.15016578950284484</c:v>
                </c:pt>
                <c:pt idx="152">
                  <c:v>0.15007403361736163</c:v>
                </c:pt>
                <c:pt idx="153">
                  <c:v>0.14957005974956095</c:v>
                </c:pt>
                <c:pt idx="154">
                  <c:v>0.1392778820346488</c:v>
                </c:pt>
                <c:pt idx="155">
                  <c:v>0.14529935667757665</c:v>
                </c:pt>
                <c:pt idx="156">
                  <c:v>0.14043659400622829</c:v>
                </c:pt>
                <c:pt idx="157">
                  <c:v>0.14131133124135192</c:v>
                </c:pt>
                <c:pt idx="158">
                  <c:v>0.11710777032568902</c:v>
                </c:pt>
                <c:pt idx="159">
                  <c:v>0.11147380386559154</c:v>
                </c:pt>
                <c:pt idx="160">
                  <c:v>0.1110930461889187</c:v>
                </c:pt>
                <c:pt idx="161">
                  <c:v>0.11125279624771946</c:v>
                </c:pt>
                <c:pt idx="162">
                  <c:v>0.11152037514274937</c:v>
                </c:pt>
                <c:pt idx="163">
                  <c:v>0.11327576035384265</c:v>
                </c:pt>
                <c:pt idx="164">
                  <c:v>0.11312848770578431</c:v>
                </c:pt>
                <c:pt idx="165">
                  <c:v>0.11364650451056978</c:v>
                </c:pt>
                <c:pt idx="166">
                  <c:v>0.11906948429047608</c:v>
                </c:pt>
                <c:pt idx="167">
                  <c:v>0.11756409850732555</c:v>
                </c:pt>
                <c:pt idx="168">
                  <c:v>0.12313456748165617</c:v>
                </c:pt>
                <c:pt idx="169">
                  <c:v>0.12258672314467153</c:v>
                </c:pt>
                <c:pt idx="170">
                  <c:v>0.12524960998718734</c:v>
                </c:pt>
                <c:pt idx="171">
                  <c:v>0.12511462604257328</c:v>
                </c:pt>
                <c:pt idx="172">
                  <c:v>0.12563511162038393</c:v>
                </c:pt>
                <c:pt idx="173">
                  <c:v>0.13155632454904803</c:v>
                </c:pt>
                <c:pt idx="174">
                  <c:v>0.13154317372074409</c:v>
                </c:pt>
                <c:pt idx="175">
                  <c:v>0.11630793593443779</c:v>
                </c:pt>
                <c:pt idx="176">
                  <c:v>0.10928345455827421</c:v>
                </c:pt>
                <c:pt idx="177">
                  <c:v>9.804043284570986E-2</c:v>
                </c:pt>
                <c:pt idx="178">
                  <c:v>0.10017906382307953</c:v>
                </c:pt>
                <c:pt idx="179">
                  <c:v>9.8489001819633451E-2</c:v>
                </c:pt>
                <c:pt idx="180">
                  <c:v>9.8491946579750259E-2</c:v>
                </c:pt>
                <c:pt idx="181">
                  <c:v>9.6753409547260583E-2</c:v>
                </c:pt>
                <c:pt idx="182">
                  <c:v>9.7681076547145779E-2</c:v>
                </c:pt>
                <c:pt idx="183">
                  <c:v>9.5959173707938342E-2</c:v>
                </c:pt>
                <c:pt idx="184">
                  <c:v>9.7295618087556102E-2</c:v>
                </c:pt>
                <c:pt idx="185">
                  <c:v>8.8239296465281378E-2</c:v>
                </c:pt>
                <c:pt idx="186">
                  <c:v>7.9088568608312496E-2</c:v>
                </c:pt>
                <c:pt idx="187">
                  <c:v>7.8525808515058929E-2</c:v>
                </c:pt>
                <c:pt idx="188">
                  <c:v>7.0313694405131758E-2</c:v>
                </c:pt>
                <c:pt idx="189">
                  <c:v>7.1845193556668463E-2</c:v>
                </c:pt>
                <c:pt idx="190">
                  <c:v>6.7666376141494192E-2</c:v>
                </c:pt>
                <c:pt idx="191">
                  <c:v>6.6034652107643685E-2</c:v>
                </c:pt>
                <c:pt idx="192">
                  <c:v>6.4918962751456144E-2</c:v>
                </c:pt>
                <c:pt idx="193">
                  <c:v>5.0104092513162071E-2</c:v>
                </c:pt>
                <c:pt idx="194">
                  <c:v>7.0635995084469896E-2</c:v>
                </c:pt>
                <c:pt idx="195">
                  <c:v>7.2519435809475827E-2</c:v>
                </c:pt>
                <c:pt idx="196">
                  <c:v>7.2415280176868463E-2</c:v>
                </c:pt>
                <c:pt idx="197">
                  <c:v>7.2395602726967809E-2</c:v>
                </c:pt>
                <c:pt idx="198">
                  <c:v>6.9703920018529444E-2</c:v>
                </c:pt>
                <c:pt idx="199">
                  <c:v>7.0435954131750494E-2</c:v>
                </c:pt>
                <c:pt idx="200">
                  <c:v>7.0782014251194764E-2</c:v>
                </c:pt>
                <c:pt idx="201">
                  <c:v>7.0652866269066444E-2</c:v>
                </c:pt>
                <c:pt idx="202">
                  <c:v>6.930274909882965E-2</c:v>
                </c:pt>
                <c:pt idx="203">
                  <c:v>9.8636651849442328E-2</c:v>
                </c:pt>
                <c:pt idx="204">
                  <c:v>9.8648508698958304E-2</c:v>
                </c:pt>
                <c:pt idx="205">
                  <c:v>0.10647775236954715</c:v>
                </c:pt>
                <c:pt idx="206">
                  <c:v>0.11588947409032942</c:v>
                </c:pt>
                <c:pt idx="207">
                  <c:v>0.11574811616080131</c:v>
                </c:pt>
                <c:pt idx="208">
                  <c:v>0.11535760715245311</c:v>
                </c:pt>
                <c:pt idx="209">
                  <c:v>0.11672946784022607</c:v>
                </c:pt>
                <c:pt idx="210">
                  <c:v>0.1387748466107894</c:v>
                </c:pt>
                <c:pt idx="211">
                  <c:v>0.1387324123887784</c:v>
                </c:pt>
                <c:pt idx="212">
                  <c:v>0.14653541279669494</c:v>
                </c:pt>
                <c:pt idx="213">
                  <c:v>0.1466885374558545</c:v>
                </c:pt>
                <c:pt idx="214">
                  <c:v>0.14248986911013356</c:v>
                </c:pt>
                <c:pt idx="215">
                  <c:v>0.14444015742525193</c:v>
                </c:pt>
                <c:pt idx="216">
                  <c:v>0.14675337035341901</c:v>
                </c:pt>
                <c:pt idx="217">
                  <c:v>0.15507037026601045</c:v>
                </c:pt>
                <c:pt idx="218">
                  <c:v>0.15547423468579111</c:v>
                </c:pt>
                <c:pt idx="219">
                  <c:v>0.17349466378918516</c:v>
                </c:pt>
                <c:pt idx="220">
                  <c:v>0.18699180623860506</c:v>
                </c:pt>
                <c:pt idx="221">
                  <c:v>0.18746784005489192</c:v>
                </c:pt>
                <c:pt idx="222">
                  <c:v>0.1934648266265302</c:v>
                </c:pt>
                <c:pt idx="223">
                  <c:v>0.17993034448919351</c:v>
                </c:pt>
                <c:pt idx="224">
                  <c:v>0.18007717376141152</c:v>
                </c:pt>
                <c:pt idx="225">
                  <c:v>0.17577217170869844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B-496A-AF02-593548BDD2B6}"/>
            </c:ext>
          </c:extLst>
        </c:ser>
        <c:ser>
          <c:idx val="2"/>
          <c:order val="2"/>
          <c:tx>
            <c:strRef>
              <c:f>Volatility!$D$1:$D$21</c:f>
              <c:strCache>
                <c:ptCount val="2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Volatility!$D$22:$D$247</c:f>
              <c:numCache>
                <c:formatCode>0.0%</c:formatCode>
                <c:ptCount val="226"/>
                <c:pt idx="0">
                  <c:v>9.8021819306782373E-2</c:v>
                </c:pt>
                <c:pt idx="1">
                  <c:v>9.5819784980610084E-2</c:v>
                </c:pt>
                <c:pt idx="2">
                  <c:v>0.10419663015660735</c:v>
                </c:pt>
                <c:pt idx="3">
                  <c:v>0.1073199801741782</c:v>
                </c:pt>
                <c:pt idx="4">
                  <c:v>0.10194580132011333</c:v>
                </c:pt>
                <c:pt idx="5">
                  <c:v>0.11570766974649421</c:v>
                </c:pt>
                <c:pt idx="6">
                  <c:v>0.11466521280786207</c:v>
                </c:pt>
                <c:pt idx="7">
                  <c:v>0.11468811269398642</c:v>
                </c:pt>
                <c:pt idx="8">
                  <c:v>0.11504692521450517</c:v>
                </c:pt>
                <c:pt idx="9">
                  <c:v>0.11125276904814151</c:v>
                </c:pt>
                <c:pt idx="10">
                  <c:v>0.11050590750429362</c:v>
                </c:pt>
                <c:pt idx="11">
                  <c:v>0.1010904789757492</c:v>
                </c:pt>
                <c:pt idx="12">
                  <c:v>0.10224602275460082</c:v>
                </c:pt>
                <c:pt idx="13">
                  <c:v>0.13222898242536635</c:v>
                </c:pt>
                <c:pt idx="14">
                  <c:v>0.14183158094624437</c:v>
                </c:pt>
                <c:pt idx="15">
                  <c:v>0.13787724992465933</c:v>
                </c:pt>
                <c:pt idx="16">
                  <c:v>0.14357488375226862</c:v>
                </c:pt>
                <c:pt idx="17">
                  <c:v>0.14822084533548105</c:v>
                </c:pt>
                <c:pt idx="18">
                  <c:v>0.14649595174740998</c:v>
                </c:pt>
                <c:pt idx="19">
                  <c:v>0.14563387930462562</c:v>
                </c:pt>
                <c:pt idx="20">
                  <c:v>0.14652849459504988</c:v>
                </c:pt>
                <c:pt idx="21">
                  <c:v>0.14699606598773668</c:v>
                </c:pt>
                <c:pt idx="22">
                  <c:v>0.15269217810763561</c:v>
                </c:pt>
                <c:pt idx="23">
                  <c:v>0.15673990388955553</c:v>
                </c:pt>
                <c:pt idx="24">
                  <c:v>0.15720687553721216</c:v>
                </c:pt>
                <c:pt idx="25">
                  <c:v>0.149117164823863</c:v>
                </c:pt>
                <c:pt idx="26">
                  <c:v>0.1481302022505695</c:v>
                </c:pt>
                <c:pt idx="27">
                  <c:v>0.14988686578699775</c:v>
                </c:pt>
                <c:pt idx="28">
                  <c:v>0.14954902007840251</c:v>
                </c:pt>
                <c:pt idx="29">
                  <c:v>0.15442967419594114</c:v>
                </c:pt>
                <c:pt idx="30">
                  <c:v>0.15221327985739341</c:v>
                </c:pt>
                <c:pt idx="31">
                  <c:v>0.15384448948601637</c:v>
                </c:pt>
                <c:pt idx="32">
                  <c:v>0.15275333784781439</c:v>
                </c:pt>
                <c:pt idx="33">
                  <c:v>0.11505294064050442</c:v>
                </c:pt>
                <c:pt idx="34">
                  <c:v>0.11029788784238002</c:v>
                </c:pt>
                <c:pt idx="35">
                  <c:v>0.12981840907449502</c:v>
                </c:pt>
                <c:pt idx="36">
                  <c:v>0.1446395069087828</c:v>
                </c:pt>
                <c:pt idx="37">
                  <c:v>0.1415609261633477</c:v>
                </c:pt>
                <c:pt idx="38">
                  <c:v>0.14317518164510765</c:v>
                </c:pt>
                <c:pt idx="39">
                  <c:v>0.14118179080030835</c:v>
                </c:pt>
                <c:pt idx="40">
                  <c:v>0.1387565816551998</c:v>
                </c:pt>
                <c:pt idx="41">
                  <c:v>0.143694181007963</c:v>
                </c:pt>
                <c:pt idx="42">
                  <c:v>0.1673345869140804</c:v>
                </c:pt>
                <c:pt idx="43">
                  <c:v>0.16096031844838493</c:v>
                </c:pt>
                <c:pt idx="44">
                  <c:v>0.16367874926743048</c:v>
                </c:pt>
                <c:pt idx="45">
                  <c:v>0.17239579460174151</c:v>
                </c:pt>
                <c:pt idx="46">
                  <c:v>0.174412262428249</c:v>
                </c:pt>
                <c:pt idx="47">
                  <c:v>0.19709050947724152</c:v>
                </c:pt>
                <c:pt idx="48">
                  <c:v>0.19763640173220962</c:v>
                </c:pt>
                <c:pt idx="49">
                  <c:v>0.19262437797582138</c:v>
                </c:pt>
                <c:pt idx="50">
                  <c:v>0.21178293326589659</c:v>
                </c:pt>
                <c:pt idx="51">
                  <c:v>0.21127357291303175</c:v>
                </c:pt>
                <c:pt idx="52">
                  <c:v>0.23813227217377864</c:v>
                </c:pt>
                <c:pt idx="53">
                  <c:v>0.24425757504338552</c:v>
                </c:pt>
                <c:pt idx="54">
                  <c:v>0.24625907602006847</c:v>
                </c:pt>
                <c:pt idx="55">
                  <c:v>0.23771347190030659</c:v>
                </c:pt>
                <c:pt idx="56">
                  <c:v>0.24947339267306806</c:v>
                </c:pt>
                <c:pt idx="57">
                  <c:v>0.24883413414963085</c:v>
                </c:pt>
                <c:pt idx="58">
                  <c:v>0.24810694659004265</c:v>
                </c:pt>
                <c:pt idx="59">
                  <c:v>0.24817645407381231</c:v>
                </c:pt>
                <c:pt idx="60">
                  <c:v>0.25607723924283582</c:v>
                </c:pt>
                <c:pt idx="61">
                  <c:v>0.2538844823051305</c:v>
                </c:pt>
                <c:pt idx="62">
                  <c:v>0.23152453612772866</c:v>
                </c:pt>
                <c:pt idx="63">
                  <c:v>0.22857081433883833</c:v>
                </c:pt>
                <c:pt idx="64">
                  <c:v>0.23343449628129492</c:v>
                </c:pt>
                <c:pt idx="65">
                  <c:v>0.22071299765823954</c:v>
                </c:pt>
                <c:pt idx="66">
                  <c:v>0.2206106579054159</c:v>
                </c:pt>
                <c:pt idx="67">
                  <c:v>0.2079126087772897</c:v>
                </c:pt>
                <c:pt idx="68">
                  <c:v>0.21024833923947747</c:v>
                </c:pt>
                <c:pt idx="69">
                  <c:v>0.21010149600682149</c:v>
                </c:pt>
                <c:pt idx="70">
                  <c:v>0.18801339714382403</c:v>
                </c:pt>
                <c:pt idx="71">
                  <c:v>0.19876690224510724</c:v>
                </c:pt>
                <c:pt idx="72">
                  <c:v>0.18383991544658915</c:v>
                </c:pt>
                <c:pt idx="73">
                  <c:v>0.18741558405159434</c:v>
                </c:pt>
                <c:pt idx="74">
                  <c:v>0.18293550447762594</c:v>
                </c:pt>
                <c:pt idx="75">
                  <c:v>0.1973596632306083</c:v>
                </c:pt>
                <c:pt idx="76">
                  <c:v>0.18789674468782133</c:v>
                </c:pt>
                <c:pt idx="77">
                  <c:v>0.18639132785196447</c:v>
                </c:pt>
                <c:pt idx="78">
                  <c:v>0.18642390866398512</c:v>
                </c:pt>
                <c:pt idx="79">
                  <c:v>0.20176153599552785</c:v>
                </c:pt>
                <c:pt idx="80">
                  <c:v>0.1952943540960598</c:v>
                </c:pt>
                <c:pt idx="81">
                  <c:v>0.19796084724855828</c:v>
                </c:pt>
                <c:pt idx="82">
                  <c:v>0.20831571490266759</c:v>
                </c:pt>
                <c:pt idx="83">
                  <c:v>0.22591571336725275</c:v>
                </c:pt>
                <c:pt idx="84">
                  <c:v>0.22457169501982915</c:v>
                </c:pt>
                <c:pt idx="85">
                  <c:v>0.25714906631881401</c:v>
                </c:pt>
                <c:pt idx="86">
                  <c:v>0.27996921970589822</c:v>
                </c:pt>
                <c:pt idx="87">
                  <c:v>0.30013574769817564</c:v>
                </c:pt>
                <c:pt idx="88">
                  <c:v>0.30043293064182647</c:v>
                </c:pt>
                <c:pt idx="89">
                  <c:v>0.31000830439109861</c:v>
                </c:pt>
                <c:pt idx="90">
                  <c:v>0.33854793057335664</c:v>
                </c:pt>
                <c:pt idx="91">
                  <c:v>0.33450038080470068</c:v>
                </c:pt>
                <c:pt idx="92">
                  <c:v>0.33165108885218342</c:v>
                </c:pt>
                <c:pt idx="93">
                  <c:v>0.32560185836294464</c:v>
                </c:pt>
                <c:pt idx="94">
                  <c:v>0.36388428652124516</c:v>
                </c:pt>
                <c:pt idx="95">
                  <c:v>0.35395665264118659</c:v>
                </c:pt>
                <c:pt idx="96">
                  <c:v>0.35092328231896031</c:v>
                </c:pt>
                <c:pt idx="97">
                  <c:v>0.35113996317786955</c:v>
                </c:pt>
                <c:pt idx="98">
                  <c:v>0.35835871448817247</c:v>
                </c:pt>
                <c:pt idx="99">
                  <c:v>0.34321431605997554</c:v>
                </c:pt>
                <c:pt idx="100">
                  <c:v>0.34302206807406471</c:v>
                </c:pt>
                <c:pt idx="101">
                  <c:v>0.34481009111879474</c:v>
                </c:pt>
                <c:pt idx="102">
                  <c:v>0.3423634652640703</c:v>
                </c:pt>
                <c:pt idx="103">
                  <c:v>0.31853686238893486</c:v>
                </c:pt>
                <c:pt idx="104">
                  <c:v>0.32147081931652294</c:v>
                </c:pt>
                <c:pt idx="105">
                  <c:v>0.27931404044659375</c:v>
                </c:pt>
                <c:pt idx="106">
                  <c:v>0.27406013838299959</c:v>
                </c:pt>
                <c:pt idx="107">
                  <c:v>0.26529430314288477</c:v>
                </c:pt>
                <c:pt idx="108">
                  <c:v>0.2501127548120114</c:v>
                </c:pt>
                <c:pt idx="109">
                  <c:v>0.22084036629399478</c:v>
                </c:pt>
                <c:pt idx="110">
                  <c:v>0.20064542261316498</c:v>
                </c:pt>
                <c:pt idx="111">
                  <c:v>0.1971874705643146</c:v>
                </c:pt>
                <c:pt idx="112">
                  <c:v>0.20076484444192419</c:v>
                </c:pt>
                <c:pt idx="113">
                  <c:v>0.19822094064617782</c:v>
                </c:pt>
                <c:pt idx="114">
                  <c:v>0.14820030246628432</c:v>
                </c:pt>
                <c:pt idx="115">
                  <c:v>0.16020655609556339</c:v>
                </c:pt>
                <c:pt idx="116">
                  <c:v>0.20256479344951275</c:v>
                </c:pt>
                <c:pt idx="117">
                  <c:v>0.20042385981804989</c:v>
                </c:pt>
                <c:pt idx="118">
                  <c:v>0.18636993443673808</c:v>
                </c:pt>
                <c:pt idx="119">
                  <c:v>0.18706676864748178</c:v>
                </c:pt>
                <c:pt idx="120">
                  <c:v>0.18688482302203643</c:v>
                </c:pt>
                <c:pt idx="121">
                  <c:v>0.19017068816500213</c:v>
                </c:pt>
                <c:pt idx="122">
                  <c:v>0.18798151994479059</c:v>
                </c:pt>
                <c:pt idx="123">
                  <c:v>0.1850736252014559</c:v>
                </c:pt>
                <c:pt idx="124">
                  <c:v>0.18331307531982216</c:v>
                </c:pt>
                <c:pt idx="125">
                  <c:v>0.18532357538187508</c:v>
                </c:pt>
                <c:pt idx="126">
                  <c:v>0.17415403867235268</c:v>
                </c:pt>
                <c:pt idx="127">
                  <c:v>0.17376964045901244</c:v>
                </c:pt>
                <c:pt idx="128">
                  <c:v>0.17554115026023501</c:v>
                </c:pt>
                <c:pt idx="129">
                  <c:v>0.17760383531683649</c:v>
                </c:pt>
                <c:pt idx="130">
                  <c:v>0.17637782329204665</c:v>
                </c:pt>
                <c:pt idx="131">
                  <c:v>0.17606454419033443</c:v>
                </c:pt>
                <c:pt idx="132">
                  <c:v>0.16151053162908033</c:v>
                </c:pt>
                <c:pt idx="133">
                  <c:v>0.15735090096458365</c:v>
                </c:pt>
                <c:pt idx="134">
                  <c:v>0.16847194835454987</c:v>
                </c:pt>
                <c:pt idx="135">
                  <c:v>0.17862999833042881</c:v>
                </c:pt>
                <c:pt idx="136">
                  <c:v>0.14603512237706795</c:v>
                </c:pt>
                <c:pt idx="137">
                  <c:v>0.14718629920075152</c:v>
                </c:pt>
                <c:pt idx="138">
                  <c:v>0.17911378655032451</c:v>
                </c:pt>
                <c:pt idx="139">
                  <c:v>0.18098561849846295</c:v>
                </c:pt>
                <c:pt idx="140">
                  <c:v>0.17327164222068225</c:v>
                </c:pt>
                <c:pt idx="141">
                  <c:v>0.17103574001054911</c:v>
                </c:pt>
                <c:pt idx="142">
                  <c:v>0.17109122078079006</c:v>
                </c:pt>
                <c:pt idx="143">
                  <c:v>0.17061831227389257</c:v>
                </c:pt>
                <c:pt idx="144">
                  <c:v>0.17051654583704448</c:v>
                </c:pt>
                <c:pt idx="145">
                  <c:v>0.16715651948745294</c:v>
                </c:pt>
                <c:pt idx="146">
                  <c:v>0.16721444261748081</c:v>
                </c:pt>
                <c:pt idx="147">
                  <c:v>0.16876050881851756</c:v>
                </c:pt>
                <c:pt idx="148">
                  <c:v>0.16718685483511589</c:v>
                </c:pt>
                <c:pt idx="149">
                  <c:v>0.16526158427555032</c:v>
                </c:pt>
                <c:pt idx="150">
                  <c:v>0.16521409042802035</c:v>
                </c:pt>
                <c:pt idx="151">
                  <c:v>0.1683791505478178</c:v>
                </c:pt>
                <c:pt idx="152">
                  <c:v>0.16850104063143181</c:v>
                </c:pt>
                <c:pt idx="153">
                  <c:v>0.16873778111143997</c:v>
                </c:pt>
                <c:pt idx="154">
                  <c:v>0.15062093920027875</c:v>
                </c:pt>
                <c:pt idx="155">
                  <c:v>0.16930215275769797</c:v>
                </c:pt>
                <c:pt idx="156">
                  <c:v>0.16811907754798991</c:v>
                </c:pt>
                <c:pt idx="157">
                  <c:v>0.1685341802710412</c:v>
                </c:pt>
                <c:pt idx="158">
                  <c:v>0.14480295654412673</c:v>
                </c:pt>
                <c:pt idx="159">
                  <c:v>0.14909606684509805</c:v>
                </c:pt>
                <c:pt idx="160">
                  <c:v>0.14977310243540895</c:v>
                </c:pt>
                <c:pt idx="161">
                  <c:v>0.14875081263229778</c:v>
                </c:pt>
                <c:pt idx="162">
                  <c:v>0.14908649814457542</c:v>
                </c:pt>
                <c:pt idx="163">
                  <c:v>0.14876577049468034</c:v>
                </c:pt>
                <c:pt idx="164">
                  <c:v>0.14849190500067452</c:v>
                </c:pt>
                <c:pt idx="165">
                  <c:v>0.15876074382457514</c:v>
                </c:pt>
                <c:pt idx="166">
                  <c:v>0.16295995750620987</c:v>
                </c:pt>
                <c:pt idx="167">
                  <c:v>0.162455238911382</c:v>
                </c:pt>
                <c:pt idx="168">
                  <c:v>0.16664033586404381</c:v>
                </c:pt>
                <c:pt idx="169">
                  <c:v>0.16360219818013425</c:v>
                </c:pt>
                <c:pt idx="170">
                  <c:v>0.1709271981908547</c:v>
                </c:pt>
                <c:pt idx="171">
                  <c:v>0.16704434072507424</c:v>
                </c:pt>
                <c:pt idx="172">
                  <c:v>0.16769285855640459</c:v>
                </c:pt>
                <c:pt idx="173">
                  <c:v>0.17174315795067752</c:v>
                </c:pt>
                <c:pt idx="174">
                  <c:v>0.17022174192731254</c:v>
                </c:pt>
                <c:pt idx="175">
                  <c:v>0.14692209238012355</c:v>
                </c:pt>
                <c:pt idx="176">
                  <c:v>0.13569670816402049</c:v>
                </c:pt>
                <c:pt idx="177">
                  <c:v>0.12615886687702738</c:v>
                </c:pt>
                <c:pt idx="178">
                  <c:v>0.12689006989923104</c:v>
                </c:pt>
                <c:pt idx="179">
                  <c:v>0.1199401672323067</c:v>
                </c:pt>
                <c:pt idx="180">
                  <c:v>0.11899708347996603</c:v>
                </c:pt>
                <c:pt idx="181">
                  <c:v>0.11881018853484548</c:v>
                </c:pt>
                <c:pt idx="182">
                  <c:v>0.12185501519046026</c:v>
                </c:pt>
                <c:pt idx="183">
                  <c:v>0.12215357802038762</c:v>
                </c:pt>
                <c:pt idx="184">
                  <c:v>0.12129810631231924</c:v>
                </c:pt>
                <c:pt idx="185">
                  <c:v>0.10763142585552965</c:v>
                </c:pt>
                <c:pt idx="186">
                  <c:v>9.9925325135393553E-2</c:v>
                </c:pt>
                <c:pt idx="187">
                  <c:v>9.885221645675453E-2</c:v>
                </c:pt>
                <c:pt idx="188">
                  <c:v>9.2745662641962254E-2</c:v>
                </c:pt>
                <c:pt idx="189">
                  <c:v>9.2117774552236312E-2</c:v>
                </c:pt>
                <c:pt idx="190">
                  <c:v>8.2520346693301008E-2</c:v>
                </c:pt>
                <c:pt idx="191">
                  <c:v>7.8779571010855351E-2</c:v>
                </c:pt>
                <c:pt idx="192">
                  <c:v>7.826357743866981E-2</c:v>
                </c:pt>
                <c:pt idx="193">
                  <c:v>7.3371894484504332E-2</c:v>
                </c:pt>
                <c:pt idx="194">
                  <c:v>7.3977888394671107E-2</c:v>
                </c:pt>
                <c:pt idx="195">
                  <c:v>7.0760674833713871E-2</c:v>
                </c:pt>
                <c:pt idx="196">
                  <c:v>8.1089481589665308E-2</c:v>
                </c:pt>
                <c:pt idx="197">
                  <c:v>8.1241858103342363E-2</c:v>
                </c:pt>
                <c:pt idx="198">
                  <c:v>8.0326051707937121E-2</c:v>
                </c:pt>
                <c:pt idx="199">
                  <c:v>8.0224040632378923E-2</c:v>
                </c:pt>
                <c:pt idx="200">
                  <c:v>8.2163212667255014E-2</c:v>
                </c:pt>
                <c:pt idx="201">
                  <c:v>8.1880195467658567E-2</c:v>
                </c:pt>
                <c:pt idx="202">
                  <c:v>8.0678244270000907E-2</c:v>
                </c:pt>
                <c:pt idx="203">
                  <c:v>0.11824154907484273</c:v>
                </c:pt>
                <c:pt idx="204">
                  <c:v>0.11821948446904211</c:v>
                </c:pt>
                <c:pt idx="205">
                  <c:v>0.1209900969975477</c:v>
                </c:pt>
                <c:pt idx="206">
                  <c:v>0.13446408901421075</c:v>
                </c:pt>
                <c:pt idx="207">
                  <c:v>0.13208924199906763</c:v>
                </c:pt>
                <c:pt idx="208">
                  <c:v>0.13203788246381862</c:v>
                </c:pt>
                <c:pt idx="209">
                  <c:v>0.13589430376390557</c:v>
                </c:pt>
                <c:pt idx="210">
                  <c:v>0.14323350961178918</c:v>
                </c:pt>
                <c:pt idx="211">
                  <c:v>0.14348956258892667</c:v>
                </c:pt>
                <c:pt idx="212">
                  <c:v>0.15608873143302077</c:v>
                </c:pt>
                <c:pt idx="213">
                  <c:v>0.15646901248469106</c:v>
                </c:pt>
                <c:pt idx="214">
                  <c:v>0.15728545080975717</c:v>
                </c:pt>
                <c:pt idx="215">
                  <c:v>0.1597850048784184</c:v>
                </c:pt>
                <c:pt idx="216">
                  <c:v>0.15332108400114408</c:v>
                </c:pt>
                <c:pt idx="217">
                  <c:v>0.16544076231914928</c:v>
                </c:pt>
                <c:pt idx="218">
                  <c:v>0.16613139583122846</c:v>
                </c:pt>
                <c:pt idx="219">
                  <c:v>0.18291678376415371</c:v>
                </c:pt>
                <c:pt idx="220">
                  <c:v>0.1849540903451134</c:v>
                </c:pt>
                <c:pt idx="221">
                  <c:v>0.19389776337422146</c:v>
                </c:pt>
                <c:pt idx="222">
                  <c:v>0.19339517881698948</c:v>
                </c:pt>
                <c:pt idx="223">
                  <c:v>0.17326469073746414</c:v>
                </c:pt>
                <c:pt idx="224">
                  <c:v>0.1792874146391345</c:v>
                </c:pt>
                <c:pt idx="225">
                  <c:v>0.17667639071884403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B-496A-AF02-593548BD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115000"/>
        <c:axId val="536113688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Volatility!$E$1:$E$21</c15:sqref>
                        </c15:formulaRef>
                      </c:ext>
                    </c:extLst>
                    <c:strCache>
                      <c:ptCount val="21"/>
                      <c:pt idx="0">
                        <c:v>NIFTY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Volatility!$E$22:$E$247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6.964270597306077E-2</c:v>
                      </c:pt>
                      <c:pt idx="1">
                        <c:v>6.9542057493289039E-2</c:v>
                      </c:pt>
                      <c:pt idx="2">
                        <c:v>7.6882645960117638E-2</c:v>
                      </c:pt>
                      <c:pt idx="3">
                        <c:v>7.2246061228724692E-2</c:v>
                      </c:pt>
                      <c:pt idx="4">
                        <c:v>6.8506307707408412E-2</c:v>
                      </c:pt>
                      <c:pt idx="5">
                        <c:v>7.9598768320582491E-2</c:v>
                      </c:pt>
                      <c:pt idx="6">
                        <c:v>7.9798295998497332E-2</c:v>
                      </c:pt>
                      <c:pt idx="7">
                        <c:v>7.5233035226394795E-2</c:v>
                      </c:pt>
                      <c:pt idx="8">
                        <c:v>7.2743663251631605E-2</c:v>
                      </c:pt>
                      <c:pt idx="9">
                        <c:v>7.6986680723224066E-2</c:v>
                      </c:pt>
                      <c:pt idx="10">
                        <c:v>7.3946456493202153E-2</c:v>
                      </c:pt>
                      <c:pt idx="11">
                        <c:v>7.1050017625655756E-2</c:v>
                      </c:pt>
                      <c:pt idx="12">
                        <c:v>7.3639778390241981E-2</c:v>
                      </c:pt>
                      <c:pt idx="13">
                        <c:v>8.2777937117286357E-2</c:v>
                      </c:pt>
                      <c:pt idx="14">
                        <c:v>8.2439667669554684E-2</c:v>
                      </c:pt>
                      <c:pt idx="15">
                        <c:v>8.4383505491210736E-2</c:v>
                      </c:pt>
                      <c:pt idx="16">
                        <c:v>8.5271873785903798E-2</c:v>
                      </c:pt>
                      <c:pt idx="17">
                        <c:v>8.5489273125998577E-2</c:v>
                      </c:pt>
                      <c:pt idx="18">
                        <c:v>8.1615657954542425E-2</c:v>
                      </c:pt>
                      <c:pt idx="19">
                        <c:v>8.5883313377122739E-2</c:v>
                      </c:pt>
                      <c:pt idx="20">
                        <c:v>8.3825216586947915E-2</c:v>
                      </c:pt>
                      <c:pt idx="21">
                        <c:v>8.3323052410573306E-2</c:v>
                      </c:pt>
                      <c:pt idx="22">
                        <c:v>7.8695953671223784E-2</c:v>
                      </c:pt>
                      <c:pt idx="23">
                        <c:v>7.9769236256709911E-2</c:v>
                      </c:pt>
                      <c:pt idx="24">
                        <c:v>7.9751841726550532E-2</c:v>
                      </c:pt>
                      <c:pt idx="25">
                        <c:v>6.7201994161991407E-2</c:v>
                      </c:pt>
                      <c:pt idx="26">
                        <c:v>6.6250998480442441E-2</c:v>
                      </c:pt>
                      <c:pt idx="27">
                        <c:v>6.6218287161751585E-2</c:v>
                      </c:pt>
                      <c:pt idx="28">
                        <c:v>6.8269178121171212E-2</c:v>
                      </c:pt>
                      <c:pt idx="29">
                        <c:v>6.8619513742134403E-2</c:v>
                      </c:pt>
                      <c:pt idx="30">
                        <c:v>6.8872722217757351E-2</c:v>
                      </c:pt>
                      <c:pt idx="31">
                        <c:v>7.3022294573608593E-2</c:v>
                      </c:pt>
                      <c:pt idx="32">
                        <c:v>6.7835404610843614E-2</c:v>
                      </c:pt>
                      <c:pt idx="33">
                        <c:v>5.8415753362190292E-2</c:v>
                      </c:pt>
                      <c:pt idx="34">
                        <c:v>5.9205694867488598E-2</c:v>
                      </c:pt>
                      <c:pt idx="35">
                        <c:v>5.9984598082388908E-2</c:v>
                      </c:pt>
                      <c:pt idx="36">
                        <c:v>6.4546136177644403E-2</c:v>
                      </c:pt>
                      <c:pt idx="37">
                        <c:v>6.4750267763145908E-2</c:v>
                      </c:pt>
                      <c:pt idx="38">
                        <c:v>6.5060585473124807E-2</c:v>
                      </c:pt>
                      <c:pt idx="39">
                        <c:v>5.9106088592038759E-2</c:v>
                      </c:pt>
                      <c:pt idx="40">
                        <c:v>6.5099287658128682E-2</c:v>
                      </c:pt>
                      <c:pt idx="41">
                        <c:v>6.6828075003258894E-2</c:v>
                      </c:pt>
                      <c:pt idx="42">
                        <c:v>7.3560117252468568E-2</c:v>
                      </c:pt>
                      <c:pt idx="43">
                        <c:v>8.0929122744651263E-2</c:v>
                      </c:pt>
                      <c:pt idx="44">
                        <c:v>8.4892702700625433E-2</c:v>
                      </c:pt>
                      <c:pt idx="45">
                        <c:v>9.521706981023223E-2</c:v>
                      </c:pt>
                      <c:pt idx="46">
                        <c:v>0.10543548231207056</c:v>
                      </c:pt>
                      <c:pt idx="47">
                        <c:v>0.1076886472111271</c:v>
                      </c:pt>
                      <c:pt idx="48">
                        <c:v>0.10875266257768107</c:v>
                      </c:pt>
                      <c:pt idx="49">
                        <c:v>0.10842908103412749</c:v>
                      </c:pt>
                      <c:pt idx="50">
                        <c:v>0.12926354156756675</c:v>
                      </c:pt>
                      <c:pt idx="51">
                        <c:v>0.12660518390301082</c:v>
                      </c:pt>
                      <c:pt idx="52">
                        <c:v>0.15561214968661913</c:v>
                      </c:pt>
                      <c:pt idx="53">
                        <c:v>0.15598829525546204</c:v>
                      </c:pt>
                      <c:pt idx="54">
                        <c:v>0.15616188555489985</c:v>
                      </c:pt>
                      <c:pt idx="55">
                        <c:v>0.15497102386452907</c:v>
                      </c:pt>
                      <c:pt idx="56">
                        <c:v>0.15511509814961769</c:v>
                      </c:pt>
                      <c:pt idx="57">
                        <c:v>0.15504618207826815</c:v>
                      </c:pt>
                      <c:pt idx="58">
                        <c:v>0.15502873825864191</c:v>
                      </c:pt>
                      <c:pt idx="59">
                        <c:v>0.15503902660624655</c:v>
                      </c:pt>
                      <c:pt idx="60">
                        <c:v>0.15624436610963205</c:v>
                      </c:pt>
                      <c:pt idx="61">
                        <c:v>0.16175671977566233</c:v>
                      </c:pt>
                      <c:pt idx="62">
                        <c:v>0.15838404490681388</c:v>
                      </c:pt>
                      <c:pt idx="63">
                        <c:v>0.1529204691230629</c:v>
                      </c:pt>
                      <c:pt idx="64">
                        <c:v>0.16139076221884402</c:v>
                      </c:pt>
                      <c:pt idx="65">
                        <c:v>0.15421834163829765</c:v>
                      </c:pt>
                      <c:pt idx="66">
                        <c:v>0.14941752127541344</c:v>
                      </c:pt>
                      <c:pt idx="67">
                        <c:v>0.14936935068722432</c:v>
                      </c:pt>
                      <c:pt idx="68">
                        <c:v>0.14834464760104518</c:v>
                      </c:pt>
                      <c:pt idx="69">
                        <c:v>0.14624529959984436</c:v>
                      </c:pt>
                      <c:pt idx="70">
                        <c:v>0.13123603301553449</c:v>
                      </c:pt>
                      <c:pt idx="71">
                        <c:v>0.13910880303400688</c:v>
                      </c:pt>
                      <c:pt idx="72">
                        <c:v>0.12612409609488495</c:v>
                      </c:pt>
                      <c:pt idx="73">
                        <c:v>0.12712560047780366</c:v>
                      </c:pt>
                      <c:pt idx="74">
                        <c:v>0.14663838710354538</c:v>
                      </c:pt>
                      <c:pt idx="75">
                        <c:v>0.17778495851590415</c:v>
                      </c:pt>
                      <c:pt idx="76">
                        <c:v>0.18659321206866983</c:v>
                      </c:pt>
                      <c:pt idx="77">
                        <c:v>0.19716469790789526</c:v>
                      </c:pt>
                      <c:pt idx="78">
                        <c:v>0.19739553731183335</c:v>
                      </c:pt>
                      <c:pt idx="79">
                        <c:v>0.20825114753819415</c:v>
                      </c:pt>
                      <c:pt idx="80">
                        <c:v>0.2175611865707559</c:v>
                      </c:pt>
                      <c:pt idx="81">
                        <c:v>0.21355462643165019</c:v>
                      </c:pt>
                      <c:pt idx="82">
                        <c:v>0.21660930980832604</c:v>
                      </c:pt>
                      <c:pt idx="83">
                        <c:v>0.23528138068190585</c:v>
                      </c:pt>
                      <c:pt idx="84">
                        <c:v>0.23513227806285986</c:v>
                      </c:pt>
                      <c:pt idx="85">
                        <c:v>0.25357370338851509</c:v>
                      </c:pt>
                      <c:pt idx="86">
                        <c:v>0.27493927258527401</c:v>
                      </c:pt>
                      <c:pt idx="87">
                        <c:v>0.29273035083554894</c:v>
                      </c:pt>
                      <c:pt idx="88">
                        <c:v>0.30045882897429238</c:v>
                      </c:pt>
                      <c:pt idx="89">
                        <c:v>0.31681534954754209</c:v>
                      </c:pt>
                      <c:pt idx="90">
                        <c:v>0.33757384666375861</c:v>
                      </c:pt>
                      <c:pt idx="91">
                        <c:v>0.33904949406116952</c:v>
                      </c:pt>
                      <c:pt idx="92">
                        <c:v>0.35017004047020528</c:v>
                      </c:pt>
                      <c:pt idx="93">
                        <c:v>0.3491269368772944</c:v>
                      </c:pt>
                      <c:pt idx="94">
                        <c:v>0.406868033606128</c:v>
                      </c:pt>
                      <c:pt idx="95">
                        <c:v>0.39618690441913651</c:v>
                      </c:pt>
                      <c:pt idx="96">
                        <c:v>0.39826543245986434</c:v>
                      </c:pt>
                      <c:pt idx="97">
                        <c:v>0.3912472730024954</c:v>
                      </c:pt>
                      <c:pt idx="98">
                        <c:v>0.39108762159564586</c:v>
                      </c:pt>
                      <c:pt idx="99">
                        <c:v>0.3797877459098134</c:v>
                      </c:pt>
                      <c:pt idx="100">
                        <c:v>0.37875838170959236</c:v>
                      </c:pt>
                      <c:pt idx="101">
                        <c:v>0.37807042865008522</c:v>
                      </c:pt>
                      <c:pt idx="102">
                        <c:v>0.37990574862954712</c:v>
                      </c:pt>
                      <c:pt idx="103">
                        <c:v>0.35653997358464024</c:v>
                      </c:pt>
                      <c:pt idx="104">
                        <c:v>0.36198685969542266</c:v>
                      </c:pt>
                      <c:pt idx="105">
                        <c:v>0.33098984661565334</c:v>
                      </c:pt>
                      <c:pt idx="106">
                        <c:v>0.32396307294726495</c:v>
                      </c:pt>
                      <c:pt idx="107">
                        <c:v>0.32374766589576048</c:v>
                      </c:pt>
                      <c:pt idx="108">
                        <c:v>0.30602149706206061</c:v>
                      </c:pt>
                      <c:pt idx="109">
                        <c:v>0.26951753417286756</c:v>
                      </c:pt>
                      <c:pt idx="110">
                        <c:v>0.26042951490098948</c:v>
                      </c:pt>
                      <c:pt idx="111">
                        <c:v>0.2625376085777264</c:v>
                      </c:pt>
                      <c:pt idx="112">
                        <c:v>0.26834702078041972</c:v>
                      </c:pt>
                      <c:pt idx="113">
                        <c:v>0.26841484244367853</c:v>
                      </c:pt>
                      <c:pt idx="114">
                        <c:v>0.18556565268086431</c:v>
                      </c:pt>
                      <c:pt idx="115">
                        <c:v>0.18545904295625684</c:v>
                      </c:pt>
                      <c:pt idx="116">
                        <c:v>0.17749523188778843</c:v>
                      </c:pt>
                      <c:pt idx="117">
                        <c:v>0.17703727056955951</c:v>
                      </c:pt>
                      <c:pt idx="118">
                        <c:v>0.1770946890966964</c:v>
                      </c:pt>
                      <c:pt idx="119">
                        <c:v>0.17819561013116716</c:v>
                      </c:pt>
                      <c:pt idx="120">
                        <c:v>0.17370875760445245</c:v>
                      </c:pt>
                      <c:pt idx="121">
                        <c:v>0.17335792202871217</c:v>
                      </c:pt>
                      <c:pt idx="122">
                        <c:v>0.16331105265325885</c:v>
                      </c:pt>
                      <c:pt idx="123">
                        <c:v>0.1633159409941296</c:v>
                      </c:pt>
                      <c:pt idx="124">
                        <c:v>0.16586427302373796</c:v>
                      </c:pt>
                      <c:pt idx="125">
                        <c:v>0.18764586625127314</c:v>
                      </c:pt>
                      <c:pt idx="126">
                        <c:v>0.18737988809388895</c:v>
                      </c:pt>
                      <c:pt idx="127">
                        <c:v>0.18011452024083349</c:v>
                      </c:pt>
                      <c:pt idx="128">
                        <c:v>0.18409897778885692</c:v>
                      </c:pt>
                      <c:pt idx="129">
                        <c:v>0.18493098407136702</c:v>
                      </c:pt>
                      <c:pt idx="130">
                        <c:v>0.18507038971872683</c:v>
                      </c:pt>
                      <c:pt idx="131">
                        <c:v>0.18718573866979193</c:v>
                      </c:pt>
                      <c:pt idx="132">
                        <c:v>0.15933002671972893</c:v>
                      </c:pt>
                      <c:pt idx="133">
                        <c:v>0.16003918702830067</c:v>
                      </c:pt>
                      <c:pt idx="134">
                        <c:v>0.15596366614142157</c:v>
                      </c:pt>
                      <c:pt idx="135">
                        <c:v>0.16435464377223485</c:v>
                      </c:pt>
                      <c:pt idx="136">
                        <c:v>0.15206215345226493</c:v>
                      </c:pt>
                      <c:pt idx="137">
                        <c:v>0.15155923072607019</c:v>
                      </c:pt>
                      <c:pt idx="138">
                        <c:v>0.17783684495237551</c:v>
                      </c:pt>
                      <c:pt idx="139">
                        <c:v>0.17419725588213983</c:v>
                      </c:pt>
                      <c:pt idx="140">
                        <c:v>0.17265152491306879</c:v>
                      </c:pt>
                      <c:pt idx="141">
                        <c:v>0.17132398524488754</c:v>
                      </c:pt>
                      <c:pt idx="142">
                        <c:v>0.1715544763306423</c:v>
                      </c:pt>
                      <c:pt idx="143">
                        <c:v>0.17299926040928512</c:v>
                      </c:pt>
                      <c:pt idx="144">
                        <c:v>0.17065434705635582</c:v>
                      </c:pt>
                      <c:pt idx="145">
                        <c:v>0.16401016553900538</c:v>
                      </c:pt>
                      <c:pt idx="146">
                        <c:v>0.17114598135488551</c:v>
                      </c:pt>
                      <c:pt idx="147">
                        <c:v>0.16934464434420465</c:v>
                      </c:pt>
                      <c:pt idx="148">
                        <c:v>0.16589252923391037</c:v>
                      </c:pt>
                      <c:pt idx="149">
                        <c:v>0.15924018671393425</c:v>
                      </c:pt>
                      <c:pt idx="150">
                        <c:v>0.15994702375522779</c:v>
                      </c:pt>
                      <c:pt idx="151">
                        <c:v>0.15945501299557469</c:v>
                      </c:pt>
                      <c:pt idx="152">
                        <c:v>0.16043414331534633</c:v>
                      </c:pt>
                      <c:pt idx="153">
                        <c:v>0.16074320402132658</c:v>
                      </c:pt>
                      <c:pt idx="154">
                        <c:v>0.15629939073072097</c:v>
                      </c:pt>
                      <c:pt idx="155">
                        <c:v>0.17352309382287073</c:v>
                      </c:pt>
                      <c:pt idx="156">
                        <c:v>0.17509434471010718</c:v>
                      </c:pt>
                      <c:pt idx="157">
                        <c:v>0.18006471625739071</c:v>
                      </c:pt>
                      <c:pt idx="158">
                        <c:v>0.14892915700863968</c:v>
                      </c:pt>
                      <c:pt idx="159">
                        <c:v>0.15390219413778328</c:v>
                      </c:pt>
                      <c:pt idx="160">
                        <c:v>0.15480574575762535</c:v>
                      </c:pt>
                      <c:pt idx="161">
                        <c:v>0.15428806191625119</c:v>
                      </c:pt>
                      <c:pt idx="162">
                        <c:v>0.1633564003919703</c:v>
                      </c:pt>
                      <c:pt idx="163">
                        <c:v>0.16649559981343404</c:v>
                      </c:pt>
                      <c:pt idx="164">
                        <c:v>0.16595014095415961</c:v>
                      </c:pt>
                      <c:pt idx="165">
                        <c:v>0.16521736446984375</c:v>
                      </c:pt>
                      <c:pt idx="166">
                        <c:v>0.15560620015138207</c:v>
                      </c:pt>
                      <c:pt idx="167">
                        <c:v>0.15587943846811092</c:v>
                      </c:pt>
                      <c:pt idx="168">
                        <c:v>0.15648403836347433</c:v>
                      </c:pt>
                      <c:pt idx="169">
                        <c:v>0.15735117910569643</c:v>
                      </c:pt>
                      <c:pt idx="170">
                        <c:v>0.15691335217116861</c:v>
                      </c:pt>
                      <c:pt idx="171">
                        <c:v>0.15689874612300342</c:v>
                      </c:pt>
                      <c:pt idx="172">
                        <c:v>0.1571624775190594</c:v>
                      </c:pt>
                      <c:pt idx="173">
                        <c:v>0.16790884032040759</c:v>
                      </c:pt>
                      <c:pt idx="174">
                        <c:v>0.16912920184213678</c:v>
                      </c:pt>
                      <c:pt idx="175">
                        <c:v>0.14206242590323315</c:v>
                      </c:pt>
                      <c:pt idx="176">
                        <c:v>0.14000615819290499</c:v>
                      </c:pt>
                      <c:pt idx="177">
                        <c:v>0.13259764632654999</c:v>
                      </c:pt>
                      <c:pt idx="178">
                        <c:v>0.13246987305338073</c:v>
                      </c:pt>
                      <c:pt idx="179">
                        <c:v>0.1267057025026368</c:v>
                      </c:pt>
                      <c:pt idx="180">
                        <c:v>0.1283545472718112</c:v>
                      </c:pt>
                      <c:pt idx="181">
                        <c:v>0.12885889357762342</c:v>
                      </c:pt>
                      <c:pt idx="182">
                        <c:v>0.11385672701961251</c:v>
                      </c:pt>
                      <c:pt idx="183">
                        <c:v>0.10880826189951381</c:v>
                      </c:pt>
                      <c:pt idx="184">
                        <c:v>0.10949665978519524</c:v>
                      </c:pt>
                      <c:pt idx="185">
                        <c:v>0.10028523090609059</c:v>
                      </c:pt>
                      <c:pt idx="186">
                        <c:v>9.4816698537609739E-2</c:v>
                      </c:pt>
                      <c:pt idx="187">
                        <c:v>9.5735868948060424E-2</c:v>
                      </c:pt>
                      <c:pt idx="188">
                        <c:v>9.4576821342239006E-2</c:v>
                      </c:pt>
                      <c:pt idx="189">
                        <c:v>9.1747360902346323E-2</c:v>
                      </c:pt>
                      <c:pt idx="190">
                        <c:v>8.9025702337105467E-2</c:v>
                      </c:pt>
                      <c:pt idx="191">
                        <c:v>9.0837248526682318E-2</c:v>
                      </c:pt>
                      <c:pt idx="192">
                        <c:v>9.0625045084558389E-2</c:v>
                      </c:pt>
                      <c:pt idx="193">
                        <c:v>7.3681115765817942E-2</c:v>
                      </c:pt>
                      <c:pt idx="194">
                        <c:v>8.0179478754971847E-2</c:v>
                      </c:pt>
                      <c:pt idx="195">
                        <c:v>8.0810542137183083E-2</c:v>
                      </c:pt>
                      <c:pt idx="196">
                        <c:v>7.9135960641185624E-2</c:v>
                      </c:pt>
                      <c:pt idx="197">
                        <c:v>7.7005165872878201E-2</c:v>
                      </c:pt>
                      <c:pt idx="198">
                        <c:v>7.8690988365008221E-2</c:v>
                      </c:pt>
                      <c:pt idx="199">
                        <c:v>7.9599557327962936E-2</c:v>
                      </c:pt>
                      <c:pt idx="200">
                        <c:v>7.8083216215896076E-2</c:v>
                      </c:pt>
                      <c:pt idx="201">
                        <c:v>7.8835044252644759E-2</c:v>
                      </c:pt>
                      <c:pt idx="202">
                        <c:v>7.9511228860305774E-2</c:v>
                      </c:pt>
                      <c:pt idx="203">
                        <c:v>9.2835344707384401E-2</c:v>
                      </c:pt>
                      <c:pt idx="204">
                        <c:v>9.9257704566918653E-2</c:v>
                      </c:pt>
                      <c:pt idx="205">
                        <c:v>9.9952484349443399E-2</c:v>
                      </c:pt>
                      <c:pt idx="206">
                        <c:v>0.10068264827338122</c:v>
                      </c:pt>
                      <c:pt idx="207">
                        <c:v>9.9157040562928123E-2</c:v>
                      </c:pt>
                      <c:pt idx="208">
                        <c:v>9.9340449926522578E-2</c:v>
                      </c:pt>
                      <c:pt idx="209">
                        <c:v>0.10243887418174531</c:v>
                      </c:pt>
                      <c:pt idx="210">
                        <c:v>0.11996260476982749</c:v>
                      </c:pt>
                      <c:pt idx="211">
                        <c:v>0.12058264246527742</c:v>
                      </c:pt>
                      <c:pt idx="212">
                        <c:v>0.13668484175255771</c:v>
                      </c:pt>
                      <c:pt idx="213">
                        <c:v>0.12932263039345573</c:v>
                      </c:pt>
                      <c:pt idx="214">
                        <c:v>0.1311307403486551</c:v>
                      </c:pt>
                      <c:pt idx="215">
                        <c:v>0.13102405459260447</c:v>
                      </c:pt>
                      <c:pt idx="216">
                        <c:v>0.1318171353506771</c:v>
                      </c:pt>
                      <c:pt idx="217">
                        <c:v>0.13630237834185055</c:v>
                      </c:pt>
                      <c:pt idx="218">
                        <c:v>0.13586692187841784</c:v>
                      </c:pt>
                      <c:pt idx="219">
                        <c:v>0.13829814264130413</c:v>
                      </c:pt>
                      <c:pt idx="220">
                        <c:v>0.1465276926862803</c:v>
                      </c:pt>
                      <c:pt idx="221">
                        <c:v>0.1468424463193034</c:v>
                      </c:pt>
                      <c:pt idx="222">
                        <c:v>0.15206228115251405</c:v>
                      </c:pt>
                      <c:pt idx="223">
                        <c:v>0.14393141267252949</c:v>
                      </c:pt>
                      <c:pt idx="224">
                        <c:v>0.14394803453098878</c:v>
                      </c:pt>
                      <c:pt idx="225">
                        <c:v>0.14326824059952922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D9B-496A-AF02-593548BDD2B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Volatility!$F$1:$F$21</c15:sqref>
                        </c15:formulaRef>
                      </c:ext>
                    </c:extLst>
                    <c:strCache>
                      <c:ptCount val="21"/>
                      <c:pt idx="0">
                        <c:v>NIFTY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Volatility!$F$22:$F$247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0.18776799527504875</c:v>
                      </c:pt>
                      <c:pt idx="1">
                        <c:v>0.18780855181759656</c:v>
                      </c:pt>
                      <c:pt idx="2">
                        <c:v>0.17414811484901369</c:v>
                      </c:pt>
                      <c:pt idx="3">
                        <c:v>0.17387209189939848</c:v>
                      </c:pt>
                      <c:pt idx="4">
                        <c:v>0.17542940457392853</c:v>
                      </c:pt>
                      <c:pt idx="5">
                        <c:v>0.1787574470286945</c:v>
                      </c:pt>
                      <c:pt idx="6">
                        <c:v>0.17804071643029268</c:v>
                      </c:pt>
                      <c:pt idx="7">
                        <c:v>0.17651573545208152</c:v>
                      </c:pt>
                      <c:pt idx="8">
                        <c:v>0.17433748489800405</c:v>
                      </c:pt>
                      <c:pt idx="9">
                        <c:v>0.17394969765954765</c:v>
                      </c:pt>
                      <c:pt idx="10">
                        <c:v>0.16742230238884448</c:v>
                      </c:pt>
                      <c:pt idx="11">
                        <c:v>0.17139599063774047</c:v>
                      </c:pt>
                      <c:pt idx="12">
                        <c:v>0.16761550295357677</c:v>
                      </c:pt>
                      <c:pt idx="13">
                        <c:v>0.16421544783443848</c:v>
                      </c:pt>
                      <c:pt idx="14">
                        <c:v>0.17052167380019137</c:v>
                      </c:pt>
                      <c:pt idx="15">
                        <c:v>0.16179706605531607</c:v>
                      </c:pt>
                      <c:pt idx="16">
                        <c:v>0.16185203856458874</c:v>
                      </c:pt>
                      <c:pt idx="17">
                        <c:v>0.15541101429811763</c:v>
                      </c:pt>
                      <c:pt idx="18">
                        <c:v>0.15539289483486929</c:v>
                      </c:pt>
                      <c:pt idx="19">
                        <c:v>0.15263031075809488</c:v>
                      </c:pt>
                      <c:pt idx="20">
                        <c:v>0.11510508359372194</c:v>
                      </c:pt>
                      <c:pt idx="21">
                        <c:v>0.12082363554627139</c:v>
                      </c:pt>
                      <c:pt idx="22">
                        <c:v>0.11848627381284238</c:v>
                      </c:pt>
                      <c:pt idx="23">
                        <c:v>0.13489342554837244</c:v>
                      </c:pt>
                      <c:pt idx="24">
                        <c:v>0.13710177532086865</c:v>
                      </c:pt>
                      <c:pt idx="25">
                        <c:v>0.1329956064087609</c:v>
                      </c:pt>
                      <c:pt idx="26">
                        <c:v>0.14016821237296079</c:v>
                      </c:pt>
                      <c:pt idx="27">
                        <c:v>0.14356316509898734</c:v>
                      </c:pt>
                      <c:pt idx="28">
                        <c:v>0.14634840892233397</c:v>
                      </c:pt>
                      <c:pt idx="29">
                        <c:v>0.14689967919174848</c:v>
                      </c:pt>
                      <c:pt idx="30">
                        <c:v>0.14691413543027282</c:v>
                      </c:pt>
                      <c:pt idx="31">
                        <c:v>0.1385541143715891</c:v>
                      </c:pt>
                      <c:pt idx="32">
                        <c:v>0.14313894913867331</c:v>
                      </c:pt>
                      <c:pt idx="33">
                        <c:v>0.14486895645626033</c:v>
                      </c:pt>
                      <c:pt idx="34">
                        <c:v>0.15411511433694924</c:v>
                      </c:pt>
                      <c:pt idx="35">
                        <c:v>0.1675416863730797</c:v>
                      </c:pt>
                      <c:pt idx="36">
                        <c:v>0.16526563847985895</c:v>
                      </c:pt>
                      <c:pt idx="37">
                        <c:v>0.1643483272299455</c:v>
                      </c:pt>
                      <c:pt idx="38">
                        <c:v>0.16579190580557462</c:v>
                      </c:pt>
                      <c:pt idx="39">
                        <c:v>0.16758387535019836</c:v>
                      </c:pt>
                      <c:pt idx="40">
                        <c:v>0.20586571870913678</c:v>
                      </c:pt>
                      <c:pt idx="41">
                        <c:v>0.20276625293754189</c:v>
                      </c:pt>
                      <c:pt idx="42">
                        <c:v>0.21595771137664721</c:v>
                      </c:pt>
                      <c:pt idx="43">
                        <c:v>0.2008448757650759</c:v>
                      </c:pt>
                      <c:pt idx="44">
                        <c:v>0.2024796946484918</c:v>
                      </c:pt>
                      <c:pt idx="45">
                        <c:v>0.20193992531206981</c:v>
                      </c:pt>
                      <c:pt idx="46">
                        <c:v>0.20134886941389704</c:v>
                      </c:pt>
                      <c:pt idx="47">
                        <c:v>0.19977255945514943</c:v>
                      </c:pt>
                      <c:pt idx="48">
                        <c:v>0.19986640164381089</c:v>
                      </c:pt>
                      <c:pt idx="49">
                        <c:v>0.20326445558417949</c:v>
                      </c:pt>
                      <c:pt idx="50">
                        <c:v>0.20247296008907964</c:v>
                      </c:pt>
                      <c:pt idx="51">
                        <c:v>0.20267342314451292</c:v>
                      </c:pt>
                      <c:pt idx="52">
                        <c:v>0.20160659809436388</c:v>
                      </c:pt>
                      <c:pt idx="53">
                        <c:v>0.29190487402674481</c:v>
                      </c:pt>
                      <c:pt idx="54">
                        <c:v>0.28154120274895911</c:v>
                      </c:pt>
                      <c:pt idx="55">
                        <c:v>0.27808855623464313</c:v>
                      </c:pt>
                      <c:pt idx="56">
                        <c:v>0.2775112226304855</c:v>
                      </c:pt>
                      <c:pt idx="57">
                        <c:v>0.27827086178651705</c:v>
                      </c:pt>
                      <c:pt idx="58">
                        <c:v>0.28054017137111226</c:v>
                      </c:pt>
                      <c:pt idx="59">
                        <c:v>0.33363776329290956</c:v>
                      </c:pt>
                      <c:pt idx="60">
                        <c:v>0.29949558533480586</c:v>
                      </c:pt>
                      <c:pt idx="61">
                        <c:v>0.30150940060600478</c:v>
                      </c:pt>
                      <c:pt idx="62">
                        <c:v>0.30486974092396296</c:v>
                      </c:pt>
                      <c:pt idx="63">
                        <c:v>0.30506365757875353</c:v>
                      </c:pt>
                      <c:pt idx="64">
                        <c:v>0.29966059377597304</c:v>
                      </c:pt>
                      <c:pt idx="65">
                        <c:v>0.29866170697539401</c:v>
                      </c:pt>
                      <c:pt idx="66">
                        <c:v>0.29207296409725941</c:v>
                      </c:pt>
                      <c:pt idx="67">
                        <c:v>0.31580942643873827</c:v>
                      </c:pt>
                      <c:pt idx="68">
                        <c:v>0.33101002120696082</c:v>
                      </c:pt>
                      <c:pt idx="69">
                        <c:v>0.33381105170673681</c:v>
                      </c:pt>
                      <c:pt idx="70">
                        <c:v>0.33146481978023828</c:v>
                      </c:pt>
                      <c:pt idx="71">
                        <c:v>0.3306557186746773</c:v>
                      </c:pt>
                      <c:pt idx="72">
                        <c:v>0.32049594567885453</c:v>
                      </c:pt>
                      <c:pt idx="73">
                        <c:v>0.26875103905106573</c:v>
                      </c:pt>
                      <c:pt idx="74">
                        <c:v>0.27064192354978878</c:v>
                      </c:pt>
                      <c:pt idx="75">
                        <c:v>0.2718125792969398</c:v>
                      </c:pt>
                      <c:pt idx="76">
                        <c:v>0.2704148988412009</c:v>
                      </c:pt>
                      <c:pt idx="77">
                        <c:v>0.26736175051624766</c:v>
                      </c:pt>
                      <c:pt idx="78">
                        <c:v>0.26642890850637596</c:v>
                      </c:pt>
                      <c:pt idx="79">
                        <c:v>0.20508249678021084</c:v>
                      </c:pt>
                      <c:pt idx="80">
                        <c:v>0.20371228631052826</c:v>
                      </c:pt>
                      <c:pt idx="81">
                        <c:v>0.20213831534394885</c:v>
                      </c:pt>
                      <c:pt idx="82">
                        <c:v>0.22897014265473975</c:v>
                      </c:pt>
                      <c:pt idx="83">
                        <c:v>0.24831361382489284</c:v>
                      </c:pt>
                      <c:pt idx="84">
                        <c:v>0.2670483644084089</c:v>
                      </c:pt>
                      <c:pt idx="85">
                        <c:v>0.26663287418089121</c:v>
                      </c:pt>
                      <c:pt idx="86">
                        <c:v>0.2747344634640338</c:v>
                      </c:pt>
                      <c:pt idx="87">
                        <c:v>0.21879404738023708</c:v>
                      </c:pt>
                      <c:pt idx="88">
                        <c:v>0.21042769767609806</c:v>
                      </c:pt>
                      <c:pt idx="89">
                        <c:v>0.21646149520853836</c:v>
                      </c:pt>
                      <c:pt idx="90">
                        <c:v>0.23147541187903878</c:v>
                      </c:pt>
                      <c:pt idx="91">
                        <c:v>0.24806330973745977</c:v>
                      </c:pt>
                      <c:pt idx="92">
                        <c:v>0.24897877062355417</c:v>
                      </c:pt>
                      <c:pt idx="93">
                        <c:v>0.26203745621162461</c:v>
                      </c:pt>
                      <c:pt idx="94">
                        <c:v>0.2621472074064134</c:v>
                      </c:pt>
                      <c:pt idx="95">
                        <c:v>0.26207593254536965</c:v>
                      </c:pt>
                      <c:pt idx="96">
                        <c:v>0.27221005877652871</c:v>
                      </c:pt>
                      <c:pt idx="97">
                        <c:v>0.27168904852968884</c:v>
                      </c:pt>
                      <c:pt idx="98">
                        <c:v>0.28685246606637754</c:v>
                      </c:pt>
                      <c:pt idx="99">
                        <c:v>0.2768175990910946</c:v>
                      </c:pt>
                      <c:pt idx="100">
                        <c:v>0.27662788138363054</c:v>
                      </c:pt>
                      <c:pt idx="101">
                        <c:v>0.27495110955409946</c:v>
                      </c:pt>
                      <c:pt idx="102">
                        <c:v>0.26129092178723545</c:v>
                      </c:pt>
                      <c:pt idx="103">
                        <c:v>0.27251227828398417</c:v>
                      </c:pt>
                      <c:pt idx="104">
                        <c:v>0.26885113271349365</c:v>
                      </c:pt>
                      <c:pt idx="105">
                        <c:v>0.33155325178112222</c:v>
                      </c:pt>
                      <c:pt idx="106">
                        <c:v>0.33545074001133857</c:v>
                      </c:pt>
                      <c:pt idx="107">
                        <c:v>0.33611952504960468</c:v>
                      </c:pt>
                      <c:pt idx="108">
                        <c:v>0.33801251837386664</c:v>
                      </c:pt>
                      <c:pt idx="109">
                        <c:v>0.33292026106059469</c:v>
                      </c:pt>
                      <c:pt idx="110">
                        <c:v>0.32589876763136022</c:v>
                      </c:pt>
                      <c:pt idx="111">
                        <c:v>0.31030472561503769</c:v>
                      </c:pt>
                      <c:pt idx="112">
                        <c:v>0.30999877525351649</c:v>
                      </c:pt>
                      <c:pt idx="113">
                        <c:v>0.29332783913718952</c:v>
                      </c:pt>
                      <c:pt idx="114">
                        <c:v>0.29710623807514225</c:v>
                      </c:pt>
                      <c:pt idx="115">
                        <c:v>0.29641019059698948</c:v>
                      </c:pt>
                      <c:pt idx="116">
                        <c:v>0.31545351237005342</c:v>
                      </c:pt>
                      <c:pt idx="117">
                        <c:v>0.31534971061213196</c:v>
                      </c:pt>
                      <c:pt idx="118">
                        <c:v>0.29449653191159125</c:v>
                      </c:pt>
                      <c:pt idx="119">
                        <c:v>0.29785116735168837</c:v>
                      </c:pt>
                      <c:pt idx="120">
                        <c:v>0.31700744269549197</c:v>
                      </c:pt>
                      <c:pt idx="121">
                        <c:v>0.34409975736518544</c:v>
                      </c:pt>
                      <c:pt idx="122">
                        <c:v>0.34278458765018427</c:v>
                      </c:pt>
                      <c:pt idx="123">
                        <c:v>0.31724183474625312</c:v>
                      </c:pt>
                      <c:pt idx="124">
                        <c:v>0.31515084439727925</c:v>
                      </c:pt>
                      <c:pt idx="125">
                        <c:v>0.25094758291053587</c:v>
                      </c:pt>
                      <c:pt idx="126">
                        <c:v>0.23820459651535589</c:v>
                      </c:pt>
                      <c:pt idx="127">
                        <c:v>0.2370959692575805</c:v>
                      </c:pt>
                      <c:pt idx="128">
                        <c:v>0.23536442718352818</c:v>
                      </c:pt>
                      <c:pt idx="129">
                        <c:v>0.25371626328178015</c:v>
                      </c:pt>
                      <c:pt idx="130">
                        <c:v>0.28946990002778067</c:v>
                      </c:pt>
                      <c:pt idx="131">
                        <c:v>0.35789495301631591</c:v>
                      </c:pt>
                      <c:pt idx="132">
                        <c:v>0.35763888845266573</c:v>
                      </c:pt>
                      <c:pt idx="133">
                        <c:v>0.35838791861938452</c:v>
                      </c:pt>
                      <c:pt idx="134">
                        <c:v>0.35810684015587219</c:v>
                      </c:pt>
                      <c:pt idx="135">
                        <c:v>0.35833694357607143</c:v>
                      </c:pt>
                      <c:pt idx="136">
                        <c:v>0.3334368549589356</c:v>
                      </c:pt>
                      <c:pt idx="137">
                        <c:v>0.33616866023648984</c:v>
                      </c:pt>
                      <c:pt idx="138">
                        <c:v>0.32786025656843454</c:v>
                      </c:pt>
                      <c:pt idx="139">
                        <c:v>0.3264803488235854</c:v>
                      </c:pt>
                      <c:pt idx="140">
                        <c:v>0.32109170068547699</c:v>
                      </c:pt>
                      <c:pt idx="141">
                        <c:v>0.30019519606298589</c:v>
                      </c:pt>
                      <c:pt idx="142">
                        <c:v>0.3026305994051407</c:v>
                      </c:pt>
                      <c:pt idx="143">
                        <c:v>0.32763366937152077</c:v>
                      </c:pt>
                      <c:pt idx="144">
                        <c:v>0.32949043358495717</c:v>
                      </c:pt>
                      <c:pt idx="145">
                        <c:v>0.33666732397351534</c:v>
                      </c:pt>
                      <c:pt idx="146">
                        <c:v>0.34706542922966671</c:v>
                      </c:pt>
                      <c:pt idx="147">
                        <c:v>0.34778458167836251</c:v>
                      </c:pt>
                      <c:pt idx="148">
                        <c:v>0.34737781916967525</c:v>
                      </c:pt>
                      <c:pt idx="149">
                        <c:v>0.33821335245650958</c:v>
                      </c:pt>
                      <c:pt idx="150">
                        <c:v>0.28872726301425783</c:v>
                      </c:pt>
                      <c:pt idx="151">
                        <c:v>0.29809147322625945</c:v>
                      </c:pt>
                      <c:pt idx="152">
                        <c:v>0.30791599979942758</c:v>
                      </c:pt>
                      <c:pt idx="153">
                        <c:v>0.3070729852326981</c:v>
                      </c:pt>
                      <c:pt idx="154">
                        <c:v>0.319442876583099</c:v>
                      </c:pt>
                      <c:pt idx="155">
                        <c:v>0.32239233202637424</c:v>
                      </c:pt>
                      <c:pt idx="156">
                        <c:v>0.32146787303225238</c:v>
                      </c:pt>
                      <c:pt idx="157">
                        <c:v>0.32449733626481914</c:v>
                      </c:pt>
                      <c:pt idx="158">
                        <c:v>0.34778757318573544</c:v>
                      </c:pt>
                      <c:pt idx="159">
                        <c:v>0.34929866721108993</c:v>
                      </c:pt>
                      <c:pt idx="160">
                        <c:v>0.34481161866102589</c:v>
                      </c:pt>
                      <c:pt idx="161">
                        <c:v>0.34430133053454148</c:v>
                      </c:pt>
                      <c:pt idx="162">
                        <c:v>0.34657636046792989</c:v>
                      </c:pt>
                      <c:pt idx="163">
                        <c:v>0.31671064345041716</c:v>
                      </c:pt>
                      <c:pt idx="164">
                        <c:v>0.31799601672320427</c:v>
                      </c:pt>
                      <c:pt idx="165">
                        <c:v>0.31138543100903981</c:v>
                      </c:pt>
                      <c:pt idx="166">
                        <c:v>0.30451773217751965</c:v>
                      </c:pt>
                      <c:pt idx="167">
                        <c:v>0.30269527847218713</c:v>
                      </c:pt>
                      <c:pt idx="168">
                        <c:v>0.30681734705474512</c:v>
                      </c:pt>
                      <c:pt idx="169">
                        <c:v>0.29874083486504266</c:v>
                      </c:pt>
                      <c:pt idx="170">
                        <c:v>0.2849114647941256</c:v>
                      </c:pt>
                      <c:pt idx="171">
                        <c:v>0.25037585990421524</c:v>
                      </c:pt>
                      <c:pt idx="172">
                        <c:v>0.26000676115767601</c:v>
                      </c:pt>
                      <c:pt idx="173">
                        <c:v>0.27287394461952247</c:v>
                      </c:pt>
                      <c:pt idx="174">
                        <c:v>0.271067788410709</c:v>
                      </c:pt>
                      <c:pt idx="175">
                        <c:v>0.26258204262049206</c:v>
                      </c:pt>
                      <c:pt idx="176">
                        <c:v>0.26670921951746263</c:v>
                      </c:pt>
                      <c:pt idx="177">
                        <c:v>0.26380932717970179</c:v>
                      </c:pt>
                      <c:pt idx="178">
                        <c:v>0.23924519240586287</c:v>
                      </c:pt>
                      <c:pt idx="179">
                        <c:v>0.23308136822360465</c:v>
                      </c:pt>
                      <c:pt idx="180">
                        <c:v>0.24092241134886183</c:v>
                      </c:pt>
                      <c:pt idx="181">
                        <c:v>0.24083895674865236</c:v>
                      </c:pt>
                      <c:pt idx="182">
                        <c:v>0.23729580043540902</c:v>
                      </c:pt>
                      <c:pt idx="183">
                        <c:v>0.24828118518153436</c:v>
                      </c:pt>
                      <c:pt idx="184">
                        <c:v>0.25879845075291757</c:v>
                      </c:pt>
                      <c:pt idx="185">
                        <c:v>0.2511294912773081</c:v>
                      </c:pt>
                      <c:pt idx="186">
                        <c:v>0.25118720274640122</c:v>
                      </c:pt>
                      <c:pt idx="187">
                        <c:v>0.25227170236626856</c:v>
                      </c:pt>
                      <c:pt idx="188">
                        <c:v>0.24056641682288213</c:v>
                      </c:pt>
                      <c:pt idx="189">
                        <c:v>0.21141978441314369</c:v>
                      </c:pt>
                      <c:pt idx="190">
                        <c:v>0.20041348490694594</c:v>
                      </c:pt>
                      <c:pt idx="191">
                        <c:v>0.2000818432572832</c:v>
                      </c:pt>
                      <c:pt idx="192">
                        <c:v>0.2312516122333072</c:v>
                      </c:pt>
                      <c:pt idx="193">
                        <c:v>0.19867054915406179</c:v>
                      </c:pt>
                      <c:pt idx="194">
                        <c:v>0.19997122665065931</c:v>
                      </c:pt>
                      <c:pt idx="195">
                        <c:v>0.20491580413473701</c:v>
                      </c:pt>
                      <c:pt idx="196">
                        <c:v>0.20436069251016958</c:v>
                      </c:pt>
                      <c:pt idx="197">
                        <c:v>0.19740110284089524</c:v>
                      </c:pt>
                      <c:pt idx="198">
                        <c:v>0.21086631805850153</c:v>
                      </c:pt>
                      <c:pt idx="199">
                        <c:v>0.2084016056241462</c:v>
                      </c:pt>
                      <c:pt idx="200">
                        <c:v>0.22948958403666339</c:v>
                      </c:pt>
                      <c:pt idx="201">
                        <c:v>0.22798286028938461</c:v>
                      </c:pt>
                      <c:pt idx="202">
                        <c:v>0.22870991513475558</c:v>
                      </c:pt>
                      <c:pt idx="203">
                        <c:v>0.24017993690473496</c:v>
                      </c:pt>
                      <c:pt idx="204">
                        <c:v>0.23715695542952817</c:v>
                      </c:pt>
                      <c:pt idx="205">
                        <c:v>0.23529699462520931</c:v>
                      </c:pt>
                      <c:pt idx="206">
                        <c:v>0.23398634760890771</c:v>
                      </c:pt>
                      <c:pt idx="207">
                        <c:v>0.23401818311696998</c:v>
                      </c:pt>
                      <c:pt idx="208">
                        <c:v>0.23415686073325689</c:v>
                      </c:pt>
                      <c:pt idx="209">
                        <c:v>0.23237606497088417</c:v>
                      </c:pt>
                      <c:pt idx="210">
                        <c:v>0.22893469722517618</c:v>
                      </c:pt>
                      <c:pt idx="211">
                        <c:v>0.22902311451709417</c:v>
                      </c:pt>
                      <c:pt idx="212">
                        <c:v>0.17842971611883893</c:v>
                      </c:pt>
                      <c:pt idx="213">
                        <c:v>0.18128889783539501</c:v>
                      </c:pt>
                      <c:pt idx="214">
                        <c:v>0.17387128532592896</c:v>
                      </c:pt>
                      <c:pt idx="215">
                        <c:v>0.19835193132278847</c:v>
                      </c:pt>
                      <c:pt idx="216">
                        <c:v>0.19841915577509539</c:v>
                      </c:pt>
                      <c:pt idx="217">
                        <c:v>0.19850006743898452</c:v>
                      </c:pt>
                      <c:pt idx="218">
                        <c:v>0.18948649450111907</c:v>
                      </c:pt>
                      <c:pt idx="219">
                        <c:v>0.18979347702285501</c:v>
                      </c:pt>
                      <c:pt idx="220">
                        <c:v>0.19402213287628536</c:v>
                      </c:pt>
                      <c:pt idx="221">
                        <c:v>0.19577983503079197</c:v>
                      </c:pt>
                      <c:pt idx="222">
                        <c:v>0.2719124015963002</c:v>
                      </c:pt>
                      <c:pt idx="223">
                        <c:v>0.26399739946523026</c:v>
                      </c:pt>
                      <c:pt idx="224">
                        <c:v>0.26258015043616945</c:v>
                      </c:pt>
                      <c:pt idx="225">
                        <c:v>0.29250711912970778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9B-496A-AF02-593548BDD2B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Volatility!$G$1:$G$21</c15:sqref>
                        </c15:formulaRef>
                      </c:ext>
                    </c:extLst>
                    <c:strCache>
                      <c:ptCount val="2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Volatility!$G$22:$G$247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6.9161641303635682E-2</c:v>
                      </c:pt>
                      <c:pt idx="1">
                        <c:v>6.9348470692703404E-2</c:v>
                      </c:pt>
                      <c:pt idx="2">
                        <c:v>6.8430059652810848E-2</c:v>
                      </c:pt>
                      <c:pt idx="3">
                        <c:v>6.7420031379921933E-2</c:v>
                      </c:pt>
                      <c:pt idx="4">
                        <c:v>6.6775716398213711E-2</c:v>
                      </c:pt>
                      <c:pt idx="5">
                        <c:v>7.0777632946759317E-2</c:v>
                      </c:pt>
                      <c:pt idx="6">
                        <c:v>6.1290445770478152E-2</c:v>
                      </c:pt>
                      <c:pt idx="7">
                        <c:v>6.0622914939956543E-2</c:v>
                      </c:pt>
                      <c:pt idx="8">
                        <c:v>6.0412009484192689E-2</c:v>
                      </c:pt>
                      <c:pt idx="9">
                        <c:v>6.0592166606872055E-2</c:v>
                      </c:pt>
                      <c:pt idx="10">
                        <c:v>6.3221056939000167E-2</c:v>
                      </c:pt>
                      <c:pt idx="11">
                        <c:v>6.5992720239868102E-2</c:v>
                      </c:pt>
                      <c:pt idx="12">
                        <c:v>6.3831930969900447E-2</c:v>
                      </c:pt>
                      <c:pt idx="13">
                        <c:v>7.6257341091707134E-2</c:v>
                      </c:pt>
                      <c:pt idx="14">
                        <c:v>7.471537192360593E-2</c:v>
                      </c:pt>
                      <c:pt idx="15">
                        <c:v>7.4658286099059987E-2</c:v>
                      </c:pt>
                      <c:pt idx="16">
                        <c:v>7.363426352499404E-2</c:v>
                      </c:pt>
                      <c:pt idx="17">
                        <c:v>6.9963678230812759E-2</c:v>
                      </c:pt>
                      <c:pt idx="18">
                        <c:v>7.4710144053272101E-2</c:v>
                      </c:pt>
                      <c:pt idx="19">
                        <c:v>7.2431310954283651E-2</c:v>
                      </c:pt>
                      <c:pt idx="20">
                        <c:v>7.3936325837626465E-2</c:v>
                      </c:pt>
                      <c:pt idx="21">
                        <c:v>7.3722474497958809E-2</c:v>
                      </c:pt>
                      <c:pt idx="22">
                        <c:v>7.5563712339881448E-2</c:v>
                      </c:pt>
                      <c:pt idx="23">
                        <c:v>7.4770248685706073E-2</c:v>
                      </c:pt>
                      <c:pt idx="24">
                        <c:v>7.6786932450749537E-2</c:v>
                      </c:pt>
                      <c:pt idx="25">
                        <c:v>7.3937109669982709E-2</c:v>
                      </c:pt>
                      <c:pt idx="26">
                        <c:v>7.3915205840632797E-2</c:v>
                      </c:pt>
                      <c:pt idx="27">
                        <c:v>7.3496550828396762E-2</c:v>
                      </c:pt>
                      <c:pt idx="28">
                        <c:v>7.3900940404949406E-2</c:v>
                      </c:pt>
                      <c:pt idx="29">
                        <c:v>7.9436784896621357E-2</c:v>
                      </c:pt>
                      <c:pt idx="30">
                        <c:v>0.13585188780384719</c:v>
                      </c:pt>
                      <c:pt idx="31">
                        <c:v>0.13918100382434465</c:v>
                      </c:pt>
                      <c:pt idx="32">
                        <c:v>0.1425213512104507</c:v>
                      </c:pt>
                      <c:pt idx="33">
                        <c:v>0.13760146511249843</c:v>
                      </c:pt>
                      <c:pt idx="34">
                        <c:v>0.13759451822898627</c:v>
                      </c:pt>
                      <c:pt idx="35">
                        <c:v>0.14054150349216363</c:v>
                      </c:pt>
                      <c:pt idx="36">
                        <c:v>0.14375878833177697</c:v>
                      </c:pt>
                      <c:pt idx="37">
                        <c:v>0.14642039527660003</c:v>
                      </c:pt>
                      <c:pt idx="38">
                        <c:v>0.14298098953078248</c:v>
                      </c:pt>
                      <c:pt idx="39">
                        <c:v>0.14344153456458841</c:v>
                      </c:pt>
                      <c:pt idx="40">
                        <c:v>0.14317259397041224</c:v>
                      </c:pt>
                      <c:pt idx="41">
                        <c:v>0.14661617764979912</c:v>
                      </c:pt>
                      <c:pt idx="42">
                        <c:v>0.15153166904110035</c:v>
                      </c:pt>
                      <c:pt idx="43">
                        <c:v>0.14889784829871969</c:v>
                      </c:pt>
                      <c:pt idx="44">
                        <c:v>0.15490068010215638</c:v>
                      </c:pt>
                      <c:pt idx="45">
                        <c:v>0.15522030777969598</c:v>
                      </c:pt>
                      <c:pt idx="46">
                        <c:v>0.15495547393085615</c:v>
                      </c:pt>
                      <c:pt idx="47">
                        <c:v>0.15445918748933241</c:v>
                      </c:pt>
                      <c:pt idx="48">
                        <c:v>0.15546418940149537</c:v>
                      </c:pt>
                      <c:pt idx="49">
                        <c:v>0.16249632463529198</c:v>
                      </c:pt>
                      <c:pt idx="50">
                        <c:v>0.14462035373572005</c:v>
                      </c:pt>
                      <c:pt idx="51">
                        <c:v>0.15044298664342076</c:v>
                      </c:pt>
                      <c:pt idx="52">
                        <c:v>0.14827423974275789</c:v>
                      </c:pt>
                      <c:pt idx="53">
                        <c:v>0.14828434901770235</c:v>
                      </c:pt>
                      <c:pt idx="54">
                        <c:v>0.14827743457398726</c:v>
                      </c:pt>
                      <c:pt idx="55">
                        <c:v>0.17104359572756794</c:v>
                      </c:pt>
                      <c:pt idx="56">
                        <c:v>0.16761040035644389</c:v>
                      </c:pt>
                      <c:pt idx="57">
                        <c:v>0.16620196697114784</c:v>
                      </c:pt>
                      <c:pt idx="58">
                        <c:v>0.16592997406503363</c:v>
                      </c:pt>
                      <c:pt idx="59">
                        <c:v>0.16553040638009825</c:v>
                      </c:pt>
                      <c:pt idx="60">
                        <c:v>0.17826793898418422</c:v>
                      </c:pt>
                      <c:pt idx="61">
                        <c:v>0.1792317569313682</c:v>
                      </c:pt>
                      <c:pt idx="62">
                        <c:v>0.17486940774127907</c:v>
                      </c:pt>
                      <c:pt idx="63">
                        <c:v>0.17826161139834731</c:v>
                      </c:pt>
                      <c:pt idx="64">
                        <c:v>0.1856353425027924</c:v>
                      </c:pt>
                      <c:pt idx="65">
                        <c:v>0.18553928784499008</c:v>
                      </c:pt>
                      <c:pt idx="66">
                        <c:v>0.18553062920191862</c:v>
                      </c:pt>
                      <c:pt idx="67">
                        <c:v>0.18317011659348453</c:v>
                      </c:pt>
                      <c:pt idx="68">
                        <c:v>0.17971048941942416</c:v>
                      </c:pt>
                      <c:pt idx="69">
                        <c:v>0.17418524888739245</c:v>
                      </c:pt>
                      <c:pt idx="70">
                        <c:v>0.16442575887873914</c:v>
                      </c:pt>
                      <c:pt idx="71">
                        <c:v>0.1623594217012154</c:v>
                      </c:pt>
                      <c:pt idx="72">
                        <c:v>0.17505948339964655</c:v>
                      </c:pt>
                      <c:pt idx="73">
                        <c:v>0.17561470517609251</c:v>
                      </c:pt>
                      <c:pt idx="74">
                        <c:v>0.17528093397869635</c:v>
                      </c:pt>
                      <c:pt idx="75">
                        <c:v>0.15947693089837042</c:v>
                      </c:pt>
                      <c:pt idx="76">
                        <c:v>0.1629948202846746</c:v>
                      </c:pt>
                      <c:pt idx="77">
                        <c:v>0.165044488392209</c:v>
                      </c:pt>
                      <c:pt idx="78">
                        <c:v>0.17251005112909229</c:v>
                      </c:pt>
                      <c:pt idx="79">
                        <c:v>0.17255241932902995</c:v>
                      </c:pt>
                      <c:pt idx="80">
                        <c:v>0.17103848469427499</c:v>
                      </c:pt>
                      <c:pt idx="81">
                        <c:v>0.16719893587324522</c:v>
                      </c:pt>
                      <c:pt idx="82">
                        <c:v>0.1613618560758675</c:v>
                      </c:pt>
                      <c:pt idx="83">
                        <c:v>0.16741706827158437</c:v>
                      </c:pt>
                      <c:pt idx="84">
                        <c:v>0.16368722181429832</c:v>
                      </c:pt>
                      <c:pt idx="85">
                        <c:v>0.17421103280082606</c:v>
                      </c:pt>
                      <c:pt idx="86">
                        <c:v>0.18056271713182465</c:v>
                      </c:pt>
                      <c:pt idx="87">
                        <c:v>0.19915367707423831</c:v>
                      </c:pt>
                      <c:pt idx="88">
                        <c:v>0.20430295668638554</c:v>
                      </c:pt>
                      <c:pt idx="89">
                        <c:v>0.20908772394574371</c:v>
                      </c:pt>
                      <c:pt idx="90">
                        <c:v>0.21638040390978622</c:v>
                      </c:pt>
                      <c:pt idx="91">
                        <c:v>0.21758687629507037</c:v>
                      </c:pt>
                      <c:pt idx="92">
                        <c:v>0.21508123377063598</c:v>
                      </c:pt>
                      <c:pt idx="93">
                        <c:v>0.21739019274710764</c:v>
                      </c:pt>
                      <c:pt idx="94">
                        <c:v>0.22697684589569686</c:v>
                      </c:pt>
                      <c:pt idx="95">
                        <c:v>0.22142656606340522</c:v>
                      </c:pt>
                      <c:pt idx="96">
                        <c:v>0.22364219751228825</c:v>
                      </c:pt>
                      <c:pt idx="97">
                        <c:v>0.22487624614330659</c:v>
                      </c:pt>
                      <c:pt idx="98">
                        <c:v>0.22354932872071107</c:v>
                      </c:pt>
                      <c:pt idx="99">
                        <c:v>0.22258167484520716</c:v>
                      </c:pt>
                      <c:pt idx="100">
                        <c:v>0.23819036297518043</c:v>
                      </c:pt>
                      <c:pt idx="101">
                        <c:v>0.23628341506905873</c:v>
                      </c:pt>
                      <c:pt idx="102">
                        <c:v>0.25081794583104428</c:v>
                      </c:pt>
                      <c:pt idx="103">
                        <c:v>0.227858814081247</c:v>
                      </c:pt>
                      <c:pt idx="104">
                        <c:v>0.22870937967778449</c:v>
                      </c:pt>
                      <c:pt idx="105">
                        <c:v>0.20633604467992084</c:v>
                      </c:pt>
                      <c:pt idx="106">
                        <c:v>0.20455904024173024</c:v>
                      </c:pt>
                      <c:pt idx="107">
                        <c:v>0.19945642722504245</c:v>
                      </c:pt>
                      <c:pt idx="108">
                        <c:v>0.18736346754322383</c:v>
                      </c:pt>
                      <c:pt idx="109">
                        <c:v>0.17839252715895298</c:v>
                      </c:pt>
                      <c:pt idx="110">
                        <c:v>0.17638600089931961</c:v>
                      </c:pt>
                      <c:pt idx="111">
                        <c:v>0.17599254618275709</c:v>
                      </c:pt>
                      <c:pt idx="112">
                        <c:v>0.17804950619864413</c:v>
                      </c:pt>
                      <c:pt idx="113">
                        <c:v>0.18311262086399854</c:v>
                      </c:pt>
                      <c:pt idx="114">
                        <c:v>0.17840031297928488</c:v>
                      </c:pt>
                      <c:pt idx="115">
                        <c:v>0.17778795702109823</c:v>
                      </c:pt>
                      <c:pt idx="116">
                        <c:v>0.18649905583865289</c:v>
                      </c:pt>
                      <c:pt idx="117">
                        <c:v>0.17752283810064137</c:v>
                      </c:pt>
                      <c:pt idx="118">
                        <c:v>0.17181772024649189</c:v>
                      </c:pt>
                      <c:pt idx="119">
                        <c:v>0.1720713109550602</c:v>
                      </c:pt>
                      <c:pt idx="120">
                        <c:v>0.14836838732318997</c:v>
                      </c:pt>
                      <c:pt idx="121">
                        <c:v>0.14798048494189919</c:v>
                      </c:pt>
                      <c:pt idx="122">
                        <c:v>0.12005472369217128</c:v>
                      </c:pt>
                      <c:pt idx="123">
                        <c:v>0.11758176960702392</c:v>
                      </c:pt>
                      <c:pt idx="124">
                        <c:v>0.11759801231197291</c:v>
                      </c:pt>
                      <c:pt idx="125">
                        <c:v>0.11518481147513926</c:v>
                      </c:pt>
                      <c:pt idx="126">
                        <c:v>0.11319992467997972</c:v>
                      </c:pt>
                      <c:pt idx="127">
                        <c:v>0.11289805200594065</c:v>
                      </c:pt>
                      <c:pt idx="128">
                        <c:v>0.10205038348146367</c:v>
                      </c:pt>
                      <c:pt idx="129">
                        <c:v>0.11982442126362439</c:v>
                      </c:pt>
                      <c:pt idx="130">
                        <c:v>0.12328074492601684</c:v>
                      </c:pt>
                      <c:pt idx="131">
                        <c:v>0.12113474555544283</c:v>
                      </c:pt>
                      <c:pt idx="132">
                        <c:v>0.1226019330506808</c:v>
                      </c:pt>
                      <c:pt idx="133">
                        <c:v>0.12267708300114843</c:v>
                      </c:pt>
                      <c:pt idx="134">
                        <c:v>0.12151262295688432</c:v>
                      </c:pt>
                      <c:pt idx="135">
                        <c:v>0.12630108751571711</c:v>
                      </c:pt>
                      <c:pt idx="136">
                        <c:v>0.12636259512853121</c:v>
                      </c:pt>
                      <c:pt idx="137">
                        <c:v>0.12782236599978522</c:v>
                      </c:pt>
                      <c:pt idx="138">
                        <c:v>0.1298438071040848</c:v>
                      </c:pt>
                      <c:pt idx="139">
                        <c:v>0.12918486513275326</c:v>
                      </c:pt>
                      <c:pt idx="140">
                        <c:v>0.13853599699364819</c:v>
                      </c:pt>
                      <c:pt idx="141">
                        <c:v>0.13850698604450121</c:v>
                      </c:pt>
                      <c:pt idx="142">
                        <c:v>0.137177790842684</c:v>
                      </c:pt>
                      <c:pt idx="143">
                        <c:v>0.13633296947519535</c:v>
                      </c:pt>
                      <c:pt idx="144">
                        <c:v>0.13686332696218423</c:v>
                      </c:pt>
                      <c:pt idx="145">
                        <c:v>0.13804873847922916</c:v>
                      </c:pt>
                      <c:pt idx="146">
                        <c:v>0.13787980067516187</c:v>
                      </c:pt>
                      <c:pt idx="147">
                        <c:v>0.14067844157596521</c:v>
                      </c:pt>
                      <c:pt idx="148">
                        <c:v>0.13163878799244663</c:v>
                      </c:pt>
                      <c:pt idx="149">
                        <c:v>0.1041579804058775</c:v>
                      </c:pt>
                      <c:pt idx="150">
                        <c:v>0.12442634970220921</c:v>
                      </c:pt>
                      <c:pt idx="151">
                        <c:v>0.11779617708582042</c:v>
                      </c:pt>
                      <c:pt idx="152">
                        <c:v>0.11796802998377658</c:v>
                      </c:pt>
                      <c:pt idx="153">
                        <c:v>0.11796685186648652</c:v>
                      </c:pt>
                      <c:pt idx="154">
                        <c:v>0.11584713336576029</c:v>
                      </c:pt>
                      <c:pt idx="155">
                        <c:v>0.14866294171139599</c:v>
                      </c:pt>
                      <c:pt idx="156">
                        <c:v>0.14642756922879319</c:v>
                      </c:pt>
                      <c:pt idx="157">
                        <c:v>0.14235019062050069</c:v>
                      </c:pt>
                      <c:pt idx="158">
                        <c:v>0.14592291144574435</c:v>
                      </c:pt>
                      <c:pt idx="159">
                        <c:v>0.14636493804408743</c:v>
                      </c:pt>
                      <c:pt idx="160">
                        <c:v>0.13909324367381481</c:v>
                      </c:pt>
                      <c:pt idx="161">
                        <c:v>0.13975278776477962</c:v>
                      </c:pt>
                      <c:pt idx="162">
                        <c:v>0.14237472562871986</c:v>
                      </c:pt>
                      <c:pt idx="163">
                        <c:v>0.14470232535712182</c:v>
                      </c:pt>
                      <c:pt idx="164">
                        <c:v>0.1443996796014973</c:v>
                      </c:pt>
                      <c:pt idx="165">
                        <c:v>0.14477857654712314</c:v>
                      </c:pt>
                      <c:pt idx="166">
                        <c:v>0.14556708430774215</c:v>
                      </c:pt>
                      <c:pt idx="167">
                        <c:v>0.14334583892304401</c:v>
                      </c:pt>
                      <c:pt idx="168">
                        <c:v>0.14661406715112862</c:v>
                      </c:pt>
                      <c:pt idx="169">
                        <c:v>0.15318264080793087</c:v>
                      </c:pt>
                      <c:pt idx="170">
                        <c:v>0.14626390128168051</c:v>
                      </c:pt>
                      <c:pt idx="171">
                        <c:v>0.14474509433029753</c:v>
                      </c:pt>
                      <c:pt idx="172">
                        <c:v>0.14906115953089624</c:v>
                      </c:pt>
                      <c:pt idx="173">
                        <c:v>0.16220857305771982</c:v>
                      </c:pt>
                      <c:pt idx="174">
                        <c:v>0.16500165341677214</c:v>
                      </c:pt>
                      <c:pt idx="175">
                        <c:v>0.13856580869488325</c:v>
                      </c:pt>
                      <c:pt idx="176">
                        <c:v>0.13596310407237133</c:v>
                      </c:pt>
                      <c:pt idx="177">
                        <c:v>0.13599487915911618</c:v>
                      </c:pt>
                      <c:pt idx="178">
                        <c:v>0.13064270892531199</c:v>
                      </c:pt>
                      <c:pt idx="179">
                        <c:v>0.13597568480620795</c:v>
                      </c:pt>
                      <c:pt idx="180">
                        <c:v>0.13748101518130737</c:v>
                      </c:pt>
                      <c:pt idx="181">
                        <c:v>0.14037917221211593</c:v>
                      </c:pt>
                      <c:pt idx="182">
                        <c:v>0.13921952988102779</c:v>
                      </c:pt>
                      <c:pt idx="183">
                        <c:v>0.14155146011766212</c:v>
                      </c:pt>
                      <c:pt idx="184">
                        <c:v>0.14341142281022246</c:v>
                      </c:pt>
                      <c:pt idx="185">
                        <c:v>0.14120207890205247</c:v>
                      </c:pt>
                      <c:pt idx="186">
                        <c:v>0.14522373481360829</c:v>
                      </c:pt>
                      <c:pt idx="187">
                        <c:v>0.1467162727143948</c:v>
                      </c:pt>
                      <c:pt idx="188">
                        <c:v>0.14000811846263331</c:v>
                      </c:pt>
                      <c:pt idx="189">
                        <c:v>0.13424813448723916</c:v>
                      </c:pt>
                      <c:pt idx="190">
                        <c:v>0.11966182073690237</c:v>
                      </c:pt>
                      <c:pt idx="191">
                        <c:v>0.11977113672543978</c:v>
                      </c:pt>
                      <c:pt idx="192">
                        <c:v>0.11644363882551918</c:v>
                      </c:pt>
                      <c:pt idx="193">
                        <c:v>0.1024509486372386</c:v>
                      </c:pt>
                      <c:pt idx="194">
                        <c:v>0.1112946102457969</c:v>
                      </c:pt>
                      <c:pt idx="195">
                        <c:v>0.11141342744092758</c:v>
                      </c:pt>
                      <c:pt idx="196">
                        <c:v>0.11128206292889024</c:v>
                      </c:pt>
                      <c:pt idx="197">
                        <c:v>0.1101213876229387</c:v>
                      </c:pt>
                      <c:pt idx="198">
                        <c:v>0.11023419738290587</c:v>
                      </c:pt>
                      <c:pt idx="199">
                        <c:v>0.10925228431926028</c:v>
                      </c:pt>
                      <c:pt idx="200">
                        <c:v>0.11069620129635166</c:v>
                      </c:pt>
                      <c:pt idx="201">
                        <c:v>0.10174597648824063</c:v>
                      </c:pt>
                      <c:pt idx="202">
                        <c:v>0.10176374452596532</c:v>
                      </c:pt>
                      <c:pt idx="203">
                        <c:v>9.8775673875339559E-2</c:v>
                      </c:pt>
                      <c:pt idx="204">
                        <c:v>0.11967862095876999</c:v>
                      </c:pt>
                      <c:pt idx="205">
                        <c:v>0.11940756719425594</c:v>
                      </c:pt>
                      <c:pt idx="206">
                        <c:v>0.11314481398284601</c:v>
                      </c:pt>
                      <c:pt idx="207">
                        <c:v>0.11934084171421437</c:v>
                      </c:pt>
                      <c:pt idx="208">
                        <c:v>0.11973876340626965</c:v>
                      </c:pt>
                      <c:pt idx="209">
                        <c:v>0.12994810863194037</c:v>
                      </c:pt>
                      <c:pt idx="210">
                        <c:v>0.13107953594110366</c:v>
                      </c:pt>
                      <c:pt idx="211">
                        <c:v>0.13194608986010459</c:v>
                      </c:pt>
                      <c:pt idx="212">
                        <c:v>0.14012941782547073</c:v>
                      </c:pt>
                      <c:pt idx="213">
                        <c:v>0.13255669064753497</c:v>
                      </c:pt>
                      <c:pt idx="214">
                        <c:v>0.12734219074669356</c:v>
                      </c:pt>
                      <c:pt idx="215">
                        <c:v>0.13658310318341377</c:v>
                      </c:pt>
                      <c:pt idx="216">
                        <c:v>0.15427387280222934</c:v>
                      </c:pt>
                      <c:pt idx="217">
                        <c:v>0.1638088507037761</c:v>
                      </c:pt>
                      <c:pt idx="218">
                        <c:v>0.16515954074703162</c:v>
                      </c:pt>
                      <c:pt idx="219">
                        <c:v>0.17781818505762173</c:v>
                      </c:pt>
                      <c:pt idx="220">
                        <c:v>0.19450628995442856</c:v>
                      </c:pt>
                      <c:pt idx="221">
                        <c:v>0.20288390863064318</c:v>
                      </c:pt>
                      <c:pt idx="222">
                        <c:v>0.20967567982483531</c:v>
                      </c:pt>
                      <c:pt idx="223">
                        <c:v>0.21332069332847028</c:v>
                      </c:pt>
                      <c:pt idx="224">
                        <c:v>0.20837756171908378</c:v>
                      </c:pt>
                      <c:pt idx="225">
                        <c:v>0.20862876338896502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9B-496A-AF02-593548BDD2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Volatility!$H$1:$H$21</c15:sqref>
                        </c15:formulaRef>
                      </c:ext>
                    </c:extLst>
                    <c:strCache>
                      <c:ptCount val="2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Volatility!$H$22:$H$247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9.36720385809892E-2</c:v>
                      </c:pt>
                      <c:pt idx="1">
                        <c:v>9.4614271695493607E-2</c:v>
                      </c:pt>
                      <c:pt idx="2">
                        <c:v>9.4641817594985189E-2</c:v>
                      </c:pt>
                      <c:pt idx="3">
                        <c:v>9.4292052657016304E-2</c:v>
                      </c:pt>
                      <c:pt idx="4">
                        <c:v>9.2842595396670793E-2</c:v>
                      </c:pt>
                      <c:pt idx="5">
                        <c:v>9.9533612931298698E-2</c:v>
                      </c:pt>
                      <c:pt idx="6">
                        <c:v>9.6027172373024355E-2</c:v>
                      </c:pt>
                      <c:pt idx="7">
                        <c:v>9.5140292837460075E-2</c:v>
                      </c:pt>
                      <c:pt idx="8">
                        <c:v>9.7039227606681308E-2</c:v>
                      </c:pt>
                      <c:pt idx="9">
                        <c:v>9.7446254651271019E-2</c:v>
                      </c:pt>
                      <c:pt idx="10">
                        <c:v>0.10293618527687806</c:v>
                      </c:pt>
                      <c:pt idx="11">
                        <c:v>0.1029109856011928</c:v>
                      </c:pt>
                      <c:pt idx="12">
                        <c:v>0.1038881005352208</c:v>
                      </c:pt>
                      <c:pt idx="13">
                        <c:v>0.11565723541414673</c:v>
                      </c:pt>
                      <c:pt idx="14">
                        <c:v>0.11388429305193398</c:v>
                      </c:pt>
                      <c:pt idx="15">
                        <c:v>0.10491601352677168</c:v>
                      </c:pt>
                      <c:pt idx="16">
                        <c:v>0.11128886023532211</c:v>
                      </c:pt>
                      <c:pt idx="17">
                        <c:v>0.11059759502268764</c:v>
                      </c:pt>
                      <c:pt idx="18">
                        <c:v>0.11249816812885166</c:v>
                      </c:pt>
                      <c:pt idx="19">
                        <c:v>0.11160471115960729</c:v>
                      </c:pt>
                      <c:pt idx="20">
                        <c:v>0.11159626024142849</c:v>
                      </c:pt>
                      <c:pt idx="21">
                        <c:v>0.11249543253837976</c:v>
                      </c:pt>
                      <c:pt idx="22">
                        <c:v>0.12114134968834117</c:v>
                      </c:pt>
                      <c:pt idx="23">
                        <c:v>0.12349107307389701</c:v>
                      </c:pt>
                      <c:pt idx="24">
                        <c:v>0.1229601635358466</c:v>
                      </c:pt>
                      <c:pt idx="25">
                        <c:v>0.11636914448516569</c:v>
                      </c:pt>
                      <c:pt idx="26">
                        <c:v>0.1173521405288644</c:v>
                      </c:pt>
                      <c:pt idx="27">
                        <c:v>0.11675756116554005</c:v>
                      </c:pt>
                      <c:pt idx="28">
                        <c:v>0.11986754184732749</c:v>
                      </c:pt>
                      <c:pt idx="29">
                        <c:v>0.12594670814151263</c:v>
                      </c:pt>
                      <c:pt idx="30">
                        <c:v>0.12164141008531611</c:v>
                      </c:pt>
                      <c:pt idx="31">
                        <c:v>0.1264708161353412</c:v>
                      </c:pt>
                      <c:pt idx="32">
                        <c:v>0.12489451862851567</c:v>
                      </c:pt>
                      <c:pt idx="33">
                        <c:v>0.11359540364715434</c:v>
                      </c:pt>
                      <c:pt idx="34">
                        <c:v>0.11450808845667985</c:v>
                      </c:pt>
                      <c:pt idx="35">
                        <c:v>0.12158999629107255</c:v>
                      </c:pt>
                      <c:pt idx="36">
                        <c:v>0.12543657736517402</c:v>
                      </c:pt>
                      <c:pt idx="37">
                        <c:v>0.1245771300823761</c:v>
                      </c:pt>
                      <c:pt idx="38">
                        <c:v>0.1204414400262681</c:v>
                      </c:pt>
                      <c:pt idx="39">
                        <c:v>0.12332864448243712</c:v>
                      </c:pt>
                      <c:pt idx="40">
                        <c:v>0.12431072229824607</c:v>
                      </c:pt>
                      <c:pt idx="41">
                        <c:v>0.12208306229070351</c:v>
                      </c:pt>
                      <c:pt idx="42">
                        <c:v>0.14392501360455437</c:v>
                      </c:pt>
                      <c:pt idx="43">
                        <c:v>0.13952894224042373</c:v>
                      </c:pt>
                      <c:pt idx="44">
                        <c:v>0.14450899594940067</c:v>
                      </c:pt>
                      <c:pt idx="45">
                        <c:v>0.14860191432063036</c:v>
                      </c:pt>
                      <c:pt idx="46">
                        <c:v>0.15052011393587991</c:v>
                      </c:pt>
                      <c:pt idx="47">
                        <c:v>0.15333228167328317</c:v>
                      </c:pt>
                      <c:pt idx="48">
                        <c:v>0.14720990513812693</c:v>
                      </c:pt>
                      <c:pt idx="49">
                        <c:v>0.14361668016547083</c:v>
                      </c:pt>
                      <c:pt idx="50">
                        <c:v>0.14911513385787584</c:v>
                      </c:pt>
                      <c:pt idx="51">
                        <c:v>0.1661007019606886</c:v>
                      </c:pt>
                      <c:pt idx="52">
                        <c:v>0.19978365863107053</c:v>
                      </c:pt>
                      <c:pt idx="53">
                        <c:v>0.20582804845275499</c:v>
                      </c:pt>
                      <c:pt idx="54">
                        <c:v>0.20511864302340191</c:v>
                      </c:pt>
                      <c:pt idx="55">
                        <c:v>0.20344399044872638</c:v>
                      </c:pt>
                      <c:pt idx="56">
                        <c:v>0.20367780827633308</c:v>
                      </c:pt>
                      <c:pt idx="57">
                        <c:v>0.20954283264231191</c:v>
                      </c:pt>
                      <c:pt idx="58">
                        <c:v>0.2136410609404997</c:v>
                      </c:pt>
                      <c:pt idx="59">
                        <c:v>0.21171779524133477</c:v>
                      </c:pt>
                      <c:pt idx="60">
                        <c:v>0.2142827221196888</c:v>
                      </c:pt>
                      <c:pt idx="61">
                        <c:v>0.21640881432252662</c:v>
                      </c:pt>
                      <c:pt idx="62">
                        <c:v>0.19449160178987671</c:v>
                      </c:pt>
                      <c:pt idx="63">
                        <c:v>0.19380361461402154</c:v>
                      </c:pt>
                      <c:pt idx="64">
                        <c:v>0.20950463036483113</c:v>
                      </c:pt>
                      <c:pt idx="65">
                        <c:v>0.20438410885620972</c:v>
                      </c:pt>
                      <c:pt idx="66">
                        <c:v>0.20096251010826699</c:v>
                      </c:pt>
                      <c:pt idx="67">
                        <c:v>0.20200679485399703</c:v>
                      </c:pt>
                      <c:pt idx="68">
                        <c:v>0.20677267389865264</c:v>
                      </c:pt>
                      <c:pt idx="69">
                        <c:v>0.20693731760205869</c:v>
                      </c:pt>
                      <c:pt idx="70">
                        <c:v>0.20346476898398658</c:v>
                      </c:pt>
                      <c:pt idx="71">
                        <c:v>0.21162592650808704</c:v>
                      </c:pt>
                      <c:pt idx="72">
                        <c:v>0.20631478276929324</c:v>
                      </c:pt>
                      <c:pt idx="73">
                        <c:v>0.21322186735035925</c:v>
                      </c:pt>
                      <c:pt idx="74">
                        <c:v>0.21541285820610909</c:v>
                      </c:pt>
                      <c:pt idx="75">
                        <c:v>0.25799703761266196</c:v>
                      </c:pt>
                      <c:pt idx="76">
                        <c:v>0.28153284320018718</c:v>
                      </c:pt>
                      <c:pt idx="77">
                        <c:v>0.29416547133236559</c:v>
                      </c:pt>
                      <c:pt idx="78">
                        <c:v>0.30289604977105045</c:v>
                      </c:pt>
                      <c:pt idx="79">
                        <c:v>0.31991670182776205</c:v>
                      </c:pt>
                      <c:pt idx="80">
                        <c:v>0.33155949729465783</c:v>
                      </c:pt>
                      <c:pt idx="81">
                        <c:v>0.34580621029777536</c:v>
                      </c:pt>
                      <c:pt idx="82">
                        <c:v>0.35483937670039345</c:v>
                      </c:pt>
                      <c:pt idx="83">
                        <c:v>0.37711123485798875</c:v>
                      </c:pt>
                      <c:pt idx="84">
                        <c:v>0.37704177892819224</c:v>
                      </c:pt>
                      <c:pt idx="85">
                        <c:v>0.38622014839731422</c:v>
                      </c:pt>
                      <c:pt idx="86">
                        <c:v>0.39870988099262489</c:v>
                      </c:pt>
                      <c:pt idx="87">
                        <c:v>0.41147650185791884</c:v>
                      </c:pt>
                      <c:pt idx="88">
                        <c:v>0.40931854860584865</c:v>
                      </c:pt>
                      <c:pt idx="89">
                        <c:v>0.40902581946269834</c:v>
                      </c:pt>
                      <c:pt idx="90">
                        <c:v>0.41964874094355309</c:v>
                      </c:pt>
                      <c:pt idx="91">
                        <c:v>0.41596977035062516</c:v>
                      </c:pt>
                      <c:pt idx="92">
                        <c:v>0.41445534221375419</c:v>
                      </c:pt>
                      <c:pt idx="93">
                        <c:v>0.40601266372991501</c:v>
                      </c:pt>
                      <c:pt idx="94">
                        <c:v>0.47946995191209013</c:v>
                      </c:pt>
                      <c:pt idx="95">
                        <c:v>0.45654578181629024</c:v>
                      </c:pt>
                      <c:pt idx="96">
                        <c:v>0.45443232805506095</c:v>
                      </c:pt>
                      <c:pt idx="97">
                        <c:v>0.44606758462585744</c:v>
                      </c:pt>
                      <c:pt idx="98">
                        <c:v>0.43152846538257511</c:v>
                      </c:pt>
                      <c:pt idx="99">
                        <c:v>0.40738260863192061</c:v>
                      </c:pt>
                      <c:pt idx="100">
                        <c:v>0.40495146206206595</c:v>
                      </c:pt>
                      <c:pt idx="101">
                        <c:v>0.39985332097452925</c:v>
                      </c:pt>
                      <c:pt idx="102">
                        <c:v>0.39531683753933194</c:v>
                      </c:pt>
                      <c:pt idx="103">
                        <c:v>0.36032442923741037</c:v>
                      </c:pt>
                      <c:pt idx="104">
                        <c:v>0.37282094287377449</c:v>
                      </c:pt>
                      <c:pt idx="105">
                        <c:v>0.3526024429570539</c:v>
                      </c:pt>
                      <c:pt idx="106">
                        <c:v>0.34721197781454288</c:v>
                      </c:pt>
                      <c:pt idx="107">
                        <c:v>0.34278017639425923</c:v>
                      </c:pt>
                      <c:pt idx="108">
                        <c:v>0.32542980821293072</c:v>
                      </c:pt>
                      <c:pt idx="109">
                        <c:v>0.31141882046089392</c:v>
                      </c:pt>
                      <c:pt idx="110">
                        <c:v>0.30618271705573691</c:v>
                      </c:pt>
                      <c:pt idx="111">
                        <c:v>0.30403016166213359</c:v>
                      </c:pt>
                      <c:pt idx="112">
                        <c:v>0.31132649124009082</c:v>
                      </c:pt>
                      <c:pt idx="113">
                        <c:v>0.31491587440019603</c:v>
                      </c:pt>
                      <c:pt idx="114">
                        <c:v>0.21854862446507403</c:v>
                      </c:pt>
                      <c:pt idx="115">
                        <c:v>0.23011731038875652</c:v>
                      </c:pt>
                      <c:pt idx="116">
                        <c:v>0.22285099297651093</c:v>
                      </c:pt>
                      <c:pt idx="117">
                        <c:v>0.21282877367063124</c:v>
                      </c:pt>
                      <c:pt idx="118">
                        <c:v>0.20636518477510321</c:v>
                      </c:pt>
                      <c:pt idx="119">
                        <c:v>0.20611041933620283</c:v>
                      </c:pt>
                      <c:pt idx="120">
                        <c:v>0.21404507538108966</c:v>
                      </c:pt>
                      <c:pt idx="121">
                        <c:v>0.21393282316629791</c:v>
                      </c:pt>
                      <c:pt idx="122">
                        <c:v>0.21602156322628227</c:v>
                      </c:pt>
                      <c:pt idx="123">
                        <c:v>0.21552311889649509</c:v>
                      </c:pt>
                      <c:pt idx="124">
                        <c:v>0.19811184395025874</c:v>
                      </c:pt>
                      <c:pt idx="125">
                        <c:v>0.20463728892565541</c:v>
                      </c:pt>
                      <c:pt idx="126">
                        <c:v>0.19787020732151014</c:v>
                      </c:pt>
                      <c:pt idx="127">
                        <c:v>0.19901896291006566</c:v>
                      </c:pt>
                      <c:pt idx="128">
                        <c:v>0.20988559551620375</c:v>
                      </c:pt>
                      <c:pt idx="129">
                        <c:v>0.21771005734374568</c:v>
                      </c:pt>
                      <c:pt idx="130">
                        <c:v>0.21873525674542468</c:v>
                      </c:pt>
                      <c:pt idx="131">
                        <c:v>0.21754607028307607</c:v>
                      </c:pt>
                      <c:pt idx="132">
                        <c:v>0.19824099008104643</c:v>
                      </c:pt>
                      <c:pt idx="133">
                        <c:v>0.18321105306022262</c:v>
                      </c:pt>
                      <c:pt idx="134">
                        <c:v>0.19223198976754402</c:v>
                      </c:pt>
                      <c:pt idx="135">
                        <c:v>0.19115507287902847</c:v>
                      </c:pt>
                      <c:pt idx="136">
                        <c:v>0.17529294832546932</c:v>
                      </c:pt>
                      <c:pt idx="137">
                        <c:v>0.17201045718808458</c:v>
                      </c:pt>
                      <c:pt idx="138">
                        <c:v>0.18455737435253902</c:v>
                      </c:pt>
                      <c:pt idx="139">
                        <c:v>0.20553157334182953</c:v>
                      </c:pt>
                      <c:pt idx="140">
                        <c:v>0.19416106145291029</c:v>
                      </c:pt>
                      <c:pt idx="141">
                        <c:v>0.19658482862333942</c:v>
                      </c:pt>
                      <c:pt idx="142">
                        <c:v>0.19516952533926488</c:v>
                      </c:pt>
                      <c:pt idx="143">
                        <c:v>0.19702470362147104</c:v>
                      </c:pt>
                      <c:pt idx="144">
                        <c:v>0.19737410574611597</c:v>
                      </c:pt>
                      <c:pt idx="145">
                        <c:v>0.19066750298689267</c:v>
                      </c:pt>
                      <c:pt idx="146">
                        <c:v>0.19127764845048603</c:v>
                      </c:pt>
                      <c:pt idx="147">
                        <c:v>0.20122836888522977</c:v>
                      </c:pt>
                      <c:pt idx="148">
                        <c:v>0.20282766822491055</c:v>
                      </c:pt>
                      <c:pt idx="149">
                        <c:v>0.19244853815267718</c:v>
                      </c:pt>
                      <c:pt idx="150">
                        <c:v>0.19477324378287267</c:v>
                      </c:pt>
                      <c:pt idx="151">
                        <c:v>0.19840313004618462</c:v>
                      </c:pt>
                      <c:pt idx="152">
                        <c:v>0.19970576913665286</c:v>
                      </c:pt>
                      <c:pt idx="153">
                        <c:v>0.20406171522093716</c:v>
                      </c:pt>
                      <c:pt idx="154">
                        <c:v>0.18915229307816978</c:v>
                      </c:pt>
                      <c:pt idx="155">
                        <c:v>0.20541594858625351</c:v>
                      </c:pt>
                      <c:pt idx="156">
                        <c:v>0.20326672426992895</c:v>
                      </c:pt>
                      <c:pt idx="157">
                        <c:v>0.20367040303517603</c:v>
                      </c:pt>
                      <c:pt idx="158">
                        <c:v>0.19335775883996417</c:v>
                      </c:pt>
                      <c:pt idx="159">
                        <c:v>0.17943960240940407</c:v>
                      </c:pt>
                      <c:pt idx="160">
                        <c:v>0.17985299346381073</c:v>
                      </c:pt>
                      <c:pt idx="161">
                        <c:v>0.17930907926563741</c:v>
                      </c:pt>
                      <c:pt idx="162">
                        <c:v>0.18453473121260808</c:v>
                      </c:pt>
                      <c:pt idx="163">
                        <c:v>0.18324330842163986</c:v>
                      </c:pt>
                      <c:pt idx="164">
                        <c:v>0.18529190522477015</c:v>
                      </c:pt>
                      <c:pt idx="165">
                        <c:v>0.18229521605577684</c:v>
                      </c:pt>
                      <c:pt idx="166">
                        <c:v>0.18187663149038535</c:v>
                      </c:pt>
                      <c:pt idx="167">
                        <c:v>0.17077285587155697</c:v>
                      </c:pt>
                      <c:pt idx="168">
                        <c:v>0.1595547946807804</c:v>
                      </c:pt>
                      <c:pt idx="169">
                        <c:v>0.16037124008818193</c:v>
                      </c:pt>
                      <c:pt idx="170">
                        <c:v>0.15719113577428845</c:v>
                      </c:pt>
                      <c:pt idx="171">
                        <c:v>0.16138944036369221</c:v>
                      </c:pt>
                      <c:pt idx="172">
                        <c:v>0.16698734871720622</c:v>
                      </c:pt>
                      <c:pt idx="173">
                        <c:v>0.16804516897558983</c:v>
                      </c:pt>
                      <c:pt idx="174">
                        <c:v>0.16978577244901663</c:v>
                      </c:pt>
                      <c:pt idx="175">
                        <c:v>0.14390472632611184</c:v>
                      </c:pt>
                      <c:pt idx="176">
                        <c:v>0.15163366788276661</c:v>
                      </c:pt>
                      <c:pt idx="177">
                        <c:v>0.15937173899667648</c:v>
                      </c:pt>
                      <c:pt idx="178">
                        <c:v>0.16075981900657638</c:v>
                      </c:pt>
                      <c:pt idx="179">
                        <c:v>0.14628370683995681</c:v>
                      </c:pt>
                      <c:pt idx="180">
                        <c:v>0.14930471314077493</c:v>
                      </c:pt>
                      <c:pt idx="181">
                        <c:v>0.1499523012952606</c:v>
                      </c:pt>
                      <c:pt idx="182">
                        <c:v>0.15190908979686671</c:v>
                      </c:pt>
                      <c:pt idx="183">
                        <c:v>0.15110861597970943</c:v>
                      </c:pt>
                      <c:pt idx="184">
                        <c:v>0.14974366672626643</c:v>
                      </c:pt>
                      <c:pt idx="185">
                        <c:v>0.15129064681625531</c:v>
                      </c:pt>
                      <c:pt idx="186">
                        <c:v>0.15070086587237744</c:v>
                      </c:pt>
                      <c:pt idx="187">
                        <c:v>0.14544568128096111</c:v>
                      </c:pt>
                      <c:pt idx="188">
                        <c:v>0.13823802283579087</c:v>
                      </c:pt>
                      <c:pt idx="189">
                        <c:v>0.13742055761575653</c:v>
                      </c:pt>
                      <c:pt idx="190">
                        <c:v>0.14148411143394415</c:v>
                      </c:pt>
                      <c:pt idx="191">
                        <c:v>0.1325744799684474</c:v>
                      </c:pt>
                      <c:pt idx="192">
                        <c:v>0.119618759819507</c:v>
                      </c:pt>
                      <c:pt idx="193">
                        <c:v>0.10652438202605266</c:v>
                      </c:pt>
                      <c:pt idx="194">
                        <c:v>0.11357635168148937</c:v>
                      </c:pt>
                      <c:pt idx="195">
                        <c:v>0.11661986961065786</c:v>
                      </c:pt>
                      <c:pt idx="196">
                        <c:v>0.11357616321673795</c:v>
                      </c:pt>
                      <c:pt idx="197">
                        <c:v>8.3725093869479392E-2</c:v>
                      </c:pt>
                      <c:pt idx="198">
                        <c:v>8.3935727451451198E-2</c:v>
                      </c:pt>
                      <c:pt idx="199">
                        <c:v>8.6222891037633476E-2</c:v>
                      </c:pt>
                      <c:pt idx="200">
                        <c:v>8.6375846968596473E-2</c:v>
                      </c:pt>
                      <c:pt idx="201">
                        <c:v>8.5147959911118176E-2</c:v>
                      </c:pt>
                      <c:pt idx="202">
                        <c:v>8.6627459062076514E-2</c:v>
                      </c:pt>
                      <c:pt idx="203">
                        <c:v>0.1043945098020778</c:v>
                      </c:pt>
                      <c:pt idx="204">
                        <c:v>0.10664453811051149</c:v>
                      </c:pt>
                      <c:pt idx="205">
                        <c:v>0.11774084992347349</c:v>
                      </c:pt>
                      <c:pt idx="206">
                        <c:v>0.11475741489212891</c:v>
                      </c:pt>
                      <c:pt idx="207">
                        <c:v>0.11557337349122429</c:v>
                      </c:pt>
                      <c:pt idx="208">
                        <c:v>0.11522267537475955</c:v>
                      </c:pt>
                      <c:pt idx="209">
                        <c:v>0.11415332529658966</c:v>
                      </c:pt>
                      <c:pt idx="210">
                        <c:v>0.12141309183964336</c:v>
                      </c:pt>
                      <c:pt idx="211">
                        <c:v>0.12980670186751897</c:v>
                      </c:pt>
                      <c:pt idx="212">
                        <c:v>0.13738742885760147</c:v>
                      </c:pt>
                      <c:pt idx="213">
                        <c:v>0.14025467546585374</c:v>
                      </c:pt>
                      <c:pt idx="214">
                        <c:v>0.14122451287169169</c:v>
                      </c:pt>
                      <c:pt idx="215">
                        <c:v>0.17209987020054124</c:v>
                      </c:pt>
                      <c:pt idx="216">
                        <c:v>0.17351325349417301</c:v>
                      </c:pt>
                      <c:pt idx="217">
                        <c:v>0.17655233179481297</c:v>
                      </c:pt>
                      <c:pt idx="218">
                        <c:v>0.18078683698457265</c:v>
                      </c:pt>
                      <c:pt idx="219">
                        <c:v>0.19183101918262613</c:v>
                      </c:pt>
                      <c:pt idx="220">
                        <c:v>0.20495624765209022</c:v>
                      </c:pt>
                      <c:pt idx="221">
                        <c:v>0.2111225434490375</c:v>
                      </c:pt>
                      <c:pt idx="222">
                        <c:v>0.21869886971387828</c:v>
                      </c:pt>
                      <c:pt idx="223">
                        <c:v>0.21109536758881187</c:v>
                      </c:pt>
                      <c:pt idx="224">
                        <c:v>0.22075594223553216</c:v>
                      </c:pt>
                      <c:pt idx="225">
                        <c:v>0.21916608920735506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9B-496A-AF02-593548BDD2B6}"/>
                  </c:ext>
                </c:extLst>
              </c15:ser>
            </c15:filteredLineSeries>
          </c:ext>
        </c:extLst>
      </c:lineChart>
      <c:dateAx>
        <c:axId val="536115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13688"/>
        <c:crosses val="autoZero"/>
        <c:auto val="1"/>
        <c:lblOffset val="100"/>
        <c:baseTimeUnit val="days"/>
      </c:dateAx>
      <c:valAx>
        <c:axId val="53611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Annualised volatility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1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108107112499068"/>
          <c:y val="0.14813477034233519"/>
          <c:w val="0.10722301167105187"/>
          <c:h val="0.49353692027205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20-day rolling volatility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Volatility!$B$1:$B$21</c:f>
              <c:strCache>
                <c:ptCount val="2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Volatility!$B$22:$B$247</c:f>
              <c:numCache>
                <c:formatCode>0.0%</c:formatCode>
                <c:ptCount val="226"/>
                <c:pt idx="0">
                  <c:v>6.9257844373297198E-2</c:v>
                </c:pt>
                <c:pt idx="1">
                  <c:v>7.1439076502664109E-2</c:v>
                </c:pt>
                <c:pt idx="2">
                  <c:v>7.3916400189621728E-2</c:v>
                </c:pt>
                <c:pt idx="3">
                  <c:v>7.4261703876879318E-2</c:v>
                </c:pt>
                <c:pt idx="4">
                  <c:v>7.1170520708944765E-2</c:v>
                </c:pt>
                <c:pt idx="5">
                  <c:v>8.3740444551136814E-2</c:v>
                </c:pt>
                <c:pt idx="6">
                  <c:v>8.2390437941398748E-2</c:v>
                </c:pt>
                <c:pt idx="7">
                  <c:v>7.8140360342400489E-2</c:v>
                </c:pt>
                <c:pt idx="8">
                  <c:v>7.4426434554042881E-2</c:v>
                </c:pt>
                <c:pt idx="9">
                  <c:v>7.7699039414655433E-2</c:v>
                </c:pt>
                <c:pt idx="10">
                  <c:v>7.3826515938907836E-2</c:v>
                </c:pt>
                <c:pt idx="11">
                  <c:v>7.2203434382112838E-2</c:v>
                </c:pt>
                <c:pt idx="12">
                  <c:v>7.3869161952938286E-2</c:v>
                </c:pt>
                <c:pt idx="13">
                  <c:v>8.1478869973961171E-2</c:v>
                </c:pt>
                <c:pt idx="14">
                  <c:v>8.2236012572633091E-2</c:v>
                </c:pt>
                <c:pt idx="15">
                  <c:v>7.9048063754252856E-2</c:v>
                </c:pt>
                <c:pt idx="16">
                  <c:v>8.1578346657808609E-2</c:v>
                </c:pt>
                <c:pt idx="17">
                  <c:v>8.3975791604157343E-2</c:v>
                </c:pt>
                <c:pt idx="18">
                  <c:v>8.2874375932778188E-2</c:v>
                </c:pt>
                <c:pt idx="19">
                  <c:v>8.4879595660894161E-2</c:v>
                </c:pt>
                <c:pt idx="20">
                  <c:v>8.2388551345453684E-2</c:v>
                </c:pt>
                <c:pt idx="21">
                  <c:v>7.9525525803842645E-2</c:v>
                </c:pt>
                <c:pt idx="22">
                  <c:v>8.1274136855385315E-2</c:v>
                </c:pt>
                <c:pt idx="23">
                  <c:v>8.4684697199085862E-2</c:v>
                </c:pt>
                <c:pt idx="24">
                  <c:v>8.3795376478110625E-2</c:v>
                </c:pt>
                <c:pt idx="25">
                  <c:v>7.1389701489159657E-2</c:v>
                </c:pt>
                <c:pt idx="26">
                  <c:v>7.2550711152955583E-2</c:v>
                </c:pt>
                <c:pt idx="27">
                  <c:v>7.3625074399889648E-2</c:v>
                </c:pt>
                <c:pt idx="28">
                  <c:v>7.3606231514890846E-2</c:v>
                </c:pt>
                <c:pt idx="29">
                  <c:v>7.6014717283230504E-2</c:v>
                </c:pt>
                <c:pt idx="30">
                  <c:v>7.5666669501795542E-2</c:v>
                </c:pt>
                <c:pt idx="31">
                  <c:v>7.9136338750287985E-2</c:v>
                </c:pt>
                <c:pt idx="32">
                  <c:v>7.7501013567881263E-2</c:v>
                </c:pt>
                <c:pt idx="33">
                  <c:v>7.1233131398096838E-2</c:v>
                </c:pt>
                <c:pt idx="34">
                  <c:v>6.9073413843543208E-2</c:v>
                </c:pt>
                <c:pt idx="35">
                  <c:v>7.7889589107265414E-2</c:v>
                </c:pt>
                <c:pt idx="36">
                  <c:v>7.9911463259801752E-2</c:v>
                </c:pt>
                <c:pt idx="37">
                  <c:v>7.8497767667966692E-2</c:v>
                </c:pt>
                <c:pt idx="38">
                  <c:v>7.8744499722267339E-2</c:v>
                </c:pt>
                <c:pt idx="39">
                  <c:v>7.6088473555846289E-2</c:v>
                </c:pt>
                <c:pt idx="40">
                  <c:v>7.6114638678208821E-2</c:v>
                </c:pt>
                <c:pt idx="41">
                  <c:v>7.7426582389965484E-2</c:v>
                </c:pt>
                <c:pt idx="42">
                  <c:v>8.7084194904487836E-2</c:v>
                </c:pt>
                <c:pt idx="43">
                  <c:v>7.985580829451118E-2</c:v>
                </c:pt>
                <c:pt idx="44">
                  <c:v>8.3614599002257137E-2</c:v>
                </c:pt>
                <c:pt idx="45">
                  <c:v>8.8080264901983785E-2</c:v>
                </c:pt>
                <c:pt idx="46">
                  <c:v>9.1385355031045459E-2</c:v>
                </c:pt>
                <c:pt idx="47">
                  <c:v>9.5574117651086185E-2</c:v>
                </c:pt>
                <c:pt idx="48">
                  <c:v>9.6659227599059164E-2</c:v>
                </c:pt>
                <c:pt idx="49">
                  <c:v>9.1894150655753681E-2</c:v>
                </c:pt>
                <c:pt idx="50">
                  <c:v>0.11138916587992929</c:v>
                </c:pt>
                <c:pt idx="51">
                  <c:v>0.11615194823293763</c:v>
                </c:pt>
                <c:pt idx="52">
                  <c:v>0.15246148801001858</c:v>
                </c:pt>
                <c:pt idx="53">
                  <c:v>0.15263150179350321</c:v>
                </c:pt>
                <c:pt idx="54">
                  <c:v>0.1534321357279981</c:v>
                </c:pt>
                <c:pt idx="55">
                  <c:v>0.1497965138788738</c:v>
                </c:pt>
                <c:pt idx="56">
                  <c:v>0.14928568899835065</c:v>
                </c:pt>
                <c:pt idx="57">
                  <c:v>0.14886978624187169</c:v>
                </c:pt>
                <c:pt idx="58">
                  <c:v>0.14856299559161479</c:v>
                </c:pt>
                <c:pt idx="59">
                  <c:v>0.14979069510264878</c:v>
                </c:pt>
                <c:pt idx="60">
                  <c:v>0.15702416432860547</c:v>
                </c:pt>
                <c:pt idx="61">
                  <c:v>0.15924727998563665</c:v>
                </c:pt>
                <c:pt idx="62">
                  <c:v>0.15038541707047764</c:v>
                </c:pt>
                <c:pt idx="63">
                  <c:v>0.14989615434964879</c:v>
                </c:pt>
                <c:pt idx="64">
                  <c:v>0.15872259122444068</c:v>
                </c:pt>
                <c:pt idx="65">
                  <c:v>0.15489974828534919</c:v>
                </c:pt>
                <c:pt idx="66">
                  <c:v>0.15507388941668937</c:v>
                </c:pt>
                <c:pt idx="67">
                  <c:v>0.15950076268077368</c:v>
                </c:pt>
                <c:pt idx="68">
                  <c:v>0.15935213909298479</c:v>
                </c:pt>
                <c:pt idx="69">
                  <c:v>0.15863735022871339</c:v>
                </c:pt>
                <c:pt idx="70">
                  <c:v>0.14848379381141777</c:v>
                </c:pt>
                <c:pt idx="71">
                  <c:v>0.15071079011656913</c:v>
                </c:pt>
                <c:pt idx="72">
                  <c:v>0.12544944467097616</c:v>
                </c:pt>
                <c:pt idx="73">
                  <c:v>0.13440780553941173</c:v>
                </c:pt>
                <c:pt idx="74">
                  <c:v>0.13939505148569359</c:v>
                </c:pt>
                <c:pt idx="75">
                  <c:v>0.14796961128732394</c:v>
                </c:pt>
                <c:pt idx="76">
                  <c:v>0.15098508438201144</c:v>
                </c:pt>
                <c:pt idx="77">
                  <c:v>0.15619854492701385</c:v>
                </c:pt>
                <c:pt idx="78">
                  <c:v>0.15624428324252335</c:v>
                </c:pt>
                <c:pt idx="79">
                  <c:v>0.16630666980214873</c:v>
                </c:pt>
                <c:pt idx="80">
                  <c:v>0.17349741891164316</c:v>
                </c:pt>
                <c:pt idx="81">
                  <c:v>0.17262556084110442</c:v>
                </c:pt>
                <c:pt idx="82">
                  <c:v>0.17720163518956855</c:v>
                </c:pt>
                <c:pt idx="83">
                  <c:v>0.20184561201671386</c:v>
                </c:pt>
                <c:pt idx="84">
                  <c:v>0.20257062161868072</c:v>
                </c:pt>
                <c:pt idx="85">
                  <c:v>0.21279165955086082</c:v>
                </c:pt>
                <c:pt idx="86">
                  <c:v>0.22579820960551711</c:v>
                </c:pt>
                <c:pt idx="87">
                  <c:v>0.23867275647802383</c:v>
                </c:pt>
                <c:pt idx="88">
                  <c:v>0.24439142882713036</c:v>
                </c:pt>
                <c:pt idx="89">
                  <c:v>0.2496727881601663</c:v>
                </c:pt>
                <c:pt idx="90">
                  <c:v>0.26038635052250836</c:v>
                </c:pt>
                <c:pt idx="91">
                  <c:v>0.25986514906799096</c:v>
                </c:pt>
                <c:pt idx="92">
                  <c:v>0.26202792436726263</c:v>
                </c:pt>
                <c:pt idx="93">
                  <c:v>0.25894216959285071</c:v>
                </c:pt>
                <c:pt idx="94">
                  <c:v>0.29421161796346706</c:v>
                </c:pt>
                <c:pt idx="95">
                  <c:v>0.28958783262298748</c:v>
                </c:pt>
                <c:pt idx="96">
                  <c:v>0.29052545403831803</c:v>
                </c:pt>
                <c:pt idx="97">
                  <c:v>0.2861869252617692</c:v>
                </c:pt>
                <c:pt idx="98">
                  <c:v>0.2893196903085728</c:v>
                </c:pt>
                <c:pt idx="99">
                  <c:v>0.2777098484349721</c:v>
                </c:pt>
                <c:pt idx="100">
                  <c:v>0.27624771160195472</c:v>
                </c:pt>
                <c:pt idx="101">
                  <c:v>0.27559729533396121</c:v>
                </c:pt>
                <c:pt idx="102">
                  <c:v>0.2757110661874429</c:v>
                </c:pt>
                <c:pt idx="103">
                  <c:v>0.24738399986250448</c:v>
                </c:pt>
                <c:pt idx="104">
                  <c:v>0.2505396925476539</c:v>
                </c:pt>
                <c:pt idx="105">
                  <c:v>0.23331549543259036</c:v>
                </c:pt>
                <c:pt idx="106">
                  <c:v>0.22773211214306707</c:v>
                </c:pt>
                <c:pt idx="107">
                  <c:v>0.22209406503765014</c:v>
                </c:pt>
                <c:pt idx="108">
                  <c:v>0.20637873772777821</c:v>
                </c:pt>
                <c:pt idx="109">
                  <c:v>0.18981158671788292</c:v>
                </c:pt>
                <c:pt idx="110">
                  <c:v>0.18465994758661464</c:v>
                </c:pt>
                <c:pt idx="111">
                  <c:v>0.18613659612421279</c:v>
                </c:pt>
                <c:pt idx="112">
                  <c:v>0.18687842799882207</c:v>
                </c:pt>
                <c:pt idx="113">
                  <c:v>0.18662346579988895</c:v>
                </c:pt>
                <c:pt idx="114">
                  <c:v>0.1347450141774113</c:v>
                </c:pt>
                <c:pt idx="115">
                  <c:v>0.14143523867348556</c:v>
                </c:pt>
                <c:pt idx="116">
                  <c:v>0.14892594364990799</c:v>
                </c:pt>
                <c:pt idx="117">
                  <c:v>0.14667285058006882</c:v>
                </c:pt>
                <c:pt idx="118">
                  <c:v>0.1404600984459502</c:v>
                </c:pt>
                <c:pt idx="119">
                  <c:v>0.14048860166521501</c:v>
                </c:pt>
                <c:pt idx="120">
                  <c:v>0.13773648677728179</c:v>
                </c:pt>
                <c:pt idx="121">
                  <c:v>0.1375562141556359</c:v>
                </c:pt>
                <c:pt idx="122">
                  <c:v>0.1328438202758</c:v>
                </c:pt>
                <c:pt idx="123">
                  <c:v>0.1308909952133181</c:v>
                </c:pt>
                <c:pt idx="124">
                  <c:v>0.12901917840277341</c:v>
                </c:pt>
                <c:pt idx="125">
                  <c:v>0.1320054348523251</c:v>
                </c:pt>
                <c:pt idx="126">
                  <c:v>0.12984369733497278</c:v>
                </c:pt>
                <c:pt idx="127">
                  <c:v>0.12911231719453556</c:v>
                </c:pt>
                <c:pt idx="128">
                  <c:v>0.13591779063989345</c:v>
                </c:pt>
                <c:pt idx="129">
                  <c:v>0.13566428875660363</c:v>
                </c:pt>
                <c:pt idx="130">
                  <c:v>0.13522176264676719</c:v>
                </c:pt>
                <c:pt idx="131">
                  <c:v>0.1351652016518122</c:v>
                </c:pt>
                <c:pt idx="132">
                  <c:v>0.12541616909463779</c:v>
                </c:pt>
                <c:pt idx="133">
                  <c:v>0.12525509439618793</c:v>
                </c:pt>
                <c:pt idx="134">
                  <c:v>0.1280192647305291</c:v>
                </c:pt>
                <c:pt idx="135">
                  <c:v>0.12122353930438626</c:v>
                </c:pt>
                <c:pt idx="136">
                  <c:v>0.10299825549467492</c:v>
                </c:pt>
                <c:pt idx="137">
                  <c:v>0.10300601854468622</c:v>
                </c:pt>
                <c:pt idx="138">
                  <c:v>0.11867056199184779</c:v>
                </c:pt>
                <c:pt idx="139">
                  <c:v>0.12347136000178217</c:v>
                </c:pt>
                <c:pt idx="140">
                  <c:v>0.12483478710696223</c:v>
                </c:pt>
                <c:pt idx="141">
                  <c:v>0.12509776309168272</c:v>
                </c:pt>
                <c:pt idx="142">
                  <c:v>0.12536909575420174</c:v>
                </c:pt>
                <c:pt idx="143">
                  <c:v>0.12812838308637658</c:v>
                </c:pt>
                <c:pt idx="144">
                  <c:v>0.12838154471950264</c:v>
                </c:pt>
                <c:pt idx="145">
                  <c:v>0.12687302400969205</c:v>
                </c:pt>
                <c:pt idx="146">
                  <c:v>0.12928506634789252</c:v>
                </c:pt>
                <c:pt idx="147">
                  <c:v>0.12933378081168376</c:v>
                </c:pt>
                <c:pt idx="148">
                  <c:v>0.11763589685741684</c:v>
                </c:pt>
                <c:pt idx="149">
                  <c:v>0.11507836562717783</c:v>
                </c:pt>
                <c:pt idx="150">
                  <c:v>0.11579335984655913</c:v>
                </c:pt>
                <c:pt idx="151">
                  <c:v>0.11637823882206876</c:v>
                </c:pt>
                <c:pt idx="152">
                  <c:v>0.11656373187844093</c:v>
                </c:pt>
                <c:pt idx="153">
                  <c:v>0.11674684372298465</c:v>
                </c:pt>
                <c:pt idx="154">
                  <c:v>0.10774057253191054</c:v>
                </c:pt>
                <c:pt idx="155">
                  <c:v>0.13651559582440956</c:v>
                </c:pt>
                <c:pt idx="156">
                  <c:v>0.13633805944385147</c:v>
                </c:pt>
                <c:pt idx="157">
                  <c:v>0.13875835535179915</c:v>
                </c:pt>
                <c:pt idx="158">
                  <c:v>0.12211066935794174</c:v>
                </c:pt>
                <c:pt idx="159">
                  <c:v>0.1207597813541703</c:v>
                </c:pt>
                <c:pt idx="160">
                  <c:v>0.1192150745928805</c:v>
                </c:pt>
                <c:pt idx="161">
                  <c:v>0.11836454149396723</c:v>
                </c:pt>
                <c:pt idx="162">
                  <c:v>0.12403335562971846</c:v>
                </c:pt>
                <c:pt idx="163">
                  <c:v>0.12254198596321435</c:v>
                </c:pt>
                <c:pt idx="164">
                  <c:v>0.12224345757217357</c:v>
                </c:pt>
                <c:pt idx="165">
                  <c:v>0.1181999549412775</c:v>
                </c:pt>
                <c:pt idx="166">
                  <c:v>0.11595586855036148</c:v>
                </c:pt>
                <c:pt idx="167">
                  <c:v>0.11660063604443224</c:v>
                </c:pt>
                <c:pt idx="168">
                  <c:v>0.12095212767469263</c:v>
                </c:pt>
                <c:pt idx="169">
                  <c:v>0.12027588945717206</c:v>
                </c:pt>
                <c:pt idx="170">
                  <c:v>0.12478224155782586</c:v>
                </c:pt>
                <c:pt idx="171">
                  <c:v>0.12270587226748136</c:v>
                </c:pt>
                <c:pt idx="172">
                  <c:v>0.12230936595146788</c:v>
                </c:pt>
                <c:pt idx="173">
                  <c:v>0.13291919154911785</c:v>
                </c:pt>
                <c:pt idx="174">
                  <c:v>0.1351912167641966</c:v>
                </c:pt>
                <c:pt idx="175">
                  <c:v>0.10840129685121951</c:v>
                </c:pt>
                <c:pt idx="176">
                  <c:v>0.10824404429720261</c:v>
                </c:pt>
                <c:pt idx="177">
                  <c:v>0.10394287101687449</c:v>
                </c:pt>
                <c:pt idx="178">
                  <c:v>0.10392311644721892</c:v>
                </c:pt>
                <c:pt idx="179">
                  <c:v>0.102272796546893</c:v>
                </c:pt>
                <c:pt idx="180">
                  <c:v>0.10260479712436069</c:v>
                </c:pt>
                <c:pt idx="181">
                  <c:v>0.10290554946984812</c:v>
                </c:pt>
                <c:pt idx="182">
                  <c:v>9.574454540942566E-2</c:v>
                </c:pt>
                <c:pt idx="183">
                  <c:v>9.5376492573564189E-2</c:v>
                </c:pt>
                <c:pt idx="184">
                  <c:v>9.714778917694035E-2</c:v>
                </c:pt>
                <c:pt idx="185">
                  <c:v>9.344261019134309E-2</c:v>
                </c:pt>
                <c:pt idx="186">
                  <c:v>9.356027146060418E-2</c:v>
                </c:pt>
                <c:pt idx="187">
                  <c:v>9.164114865781943E-2</c:v>
                </c:pt>
                <c:pt idx="188">
                  <c:v>8.6112062500322148E-2</c:v>
                </c:pt>
                <c:pt idx="189">
                  <c:v>8.7352417833937476E-2</c:v>
                </c:pt>
                <c:pt idx="190">
                  <c:v>8.0722178857128138E-2</c:v>
                </c:pt>
                <c:pt idx="191">
                  <c:v>8.1675524609109096E-2</c:v>
                </c:pt>
                <c:pt idx="192">
                  <c:v>8.2129635587032818E-2</c:v>
                </c:pt>
                <c:pt idx="193">
                  <c:v>5.5332512011994586E-2</c:v>
                </c:pt>
                <c:pt idx="194">
                  <c:v>5.2057692512132707E-2</c:v>
                </c:pt>
                <c:pt idx="195">
                  <c:v>5.4310178360884004E-2</c:v>
                </c:pt>
                <c:pt idx="196">
                  <c:v>5.383837332579304E-2</c:v>
                </c:pt>
                <c:pt idx="197">
                  <c:v>5.4427319798138536E-2</c:v>
                </c:pt>
                <c:pt idx="198">
                  <c:v>5.5348178591162839E-2</c:v>
                </c:pt>
                <c:pt idx="199">
                  <c:v>5.6630786787776562E-2</c:v>
                </c:pt>
                <c:pt idx="200">
                  <c:v>6.1647579702811525E-2</c:v>
                </c:pt>
                <c:pt idx="201">
                  <c:v>6.3310974073040316E-2</c:v>
                </c:pt>
                <c:pt idx="202">
                  <c:v>6.3468317644420597E-2</c:v>
                </c:pt>
                <c:pt idx="203">
                  <c:v>7.2567343371887721E-2</c:v>
                </c:pt>
                <c:pt idx="204">
                  <c:v>7.5395130773608654E-2</c:v>
                </c:pt>
                <c:pt idx="205">
                  <c:v>7.6712970761830701E-2</c:v>
                </c:pt>
                <c:pt idx="206">
                  <c:v>7.3072751100829905E-2</c:v>
                </c:pt>
                <c:pt idx="207">
                  <c:v>7.4442389632935688E-2</c:v>
                </c:pt>
                <c:pt idx="208">
                  <c:v>7.4726007221798355E-2</c:v>
                </c:pt>
                <c:pt idx="209">
                  <c:v>7.5061950701941743E-2</c:v>
                </c:pt>
                <c:pt idx="210">
                  <c:v>9.0539935288854359E-2</c:v>
                </c:pt>
                <c:pt idx="211">
                  <c:v>9.2276665820833298E-2</c:v>
                </c:pt>
                <c:pt idx="212">
                  <c:v>0.10155663581312259</c:v>
                </c:pt>
                <c:pt idx="213">
                  <c:v>0.10148951640588304</c:v>
                </c:pt>
                <c:pt idx="214">
                  <c:v>0.1013417807041652</c:v>
                </c:pt>
                <c:pt idx="215">
                  <c:v>0.10292358747191156</c:v>
                </c:pt>
                <c:pt idx="216">
                  <c:v>0.10788357034021963</c:v>
                </c:pt>
                <c:pt idx="217">
                  <c:v>0.11616047745578632</c:v>
                </c:pt>
                <c:pt idx="218">
                  <c:v>0.11731052250820484</c:v>
                </c:pt>
                <c:pt idx="219">
                  <c:v>0.12685584360286073</c:v>
                </c:pt>
                <c:pt idx="220">
                  <c:v>0.1369960949304691</c:v>
                </c:pt>
                <c:pt idx="221">
                  <c:v>0.13728244955065128</c:v>
                </c:pt>
                <c:pt idx="222">
                  <c:v>0.15194386405271709</c:v>
                </c:pt>
                <c:pt idx="223">
                  <c:v>0.14729250224872509</c:v>
                </c:pt>
                <c:pt idx="224">
                  <c:v>0.15915096532666734</c:v>
                </c:pt>
                <c:pt idx="225">
                  <c:v>0.16078298800571325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C-4D46-AF9F-C0D89E9EA572}"/>
            </c:ext>
          </c:extLst>
        </c:ser>
        <c:ser>
          <c:idx val="1"/>
          <c:order val="1"/>
          <c:tx>
            <c:strRef>
              <c:f>Volatility!$C$1:$C$21</c:f>
              <c:strCache>
                <c:ptCount val="21"/>
                <c:pt idx="0">
                  <c:v>NIFTY MIDCAP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Volatility!$C$22:$C$247</c:f>
              <c:numCache>
                <c:formatCode>0.0%</c:formatCode>
                <c:ptCount val="226"/>
                <c:pt idx="0">
                  <c:v>8.4503546114767111E-2</c:v>
                </c:pt>
                <c:pt idx="1">
                  <c:v>8.4592377650942435E-2</c:v>
                </c:pt>
                <c:pt idx="2">
                  <c:v>9.5545806802173838E-2</c:v>
                </c:pt>
                <c:pt idx="3">
                  <c:v>9.5973785818518217E-2</c:v>
                </c:pt>
                <c:pt idx="4">
                  <c:v>9.1281349325820285E-2</c:v>
                </c:pt>
                <c:pt idx="5">
                  <c:v>0.10097196139980895</c:v>
                </c:pt>
                <c:pt idx="6">
                  <c:v>9.8990482960172127E-2</c:v>
                </c:pt>
                <c:pt idx="7">
                  <c:v>9.9055245488739979E-2</c:v>
                </c:pt>
                <c:pt idx="8">
                  <c:v>9.7131398854306703E-2</c:v>
                </c:pt>
                <c:pt idx="9">
                  <c:v>9.4405532789489377E-2</c:v>
                </c:pt>
                <c:pt idx="10">
                  <c:v>0.1000345014988924</c:v>
                </c:pt>
                <c:pt idx="11">
                  <c:v>9.3278142368259376E-2</c:v>
                </c:pt>
                <c:pt idx="12">
                  <c:v>9.2287286481123831E-2</c:v>
                </c:pt>
                <c:pt idx="13">
                  <c:v>0.11263783458300135</c:v>
                </c:pt>
                <c:pt idx="14">
                  <c:v>0.11160662333778325</c:v>
                </c:pt>
                <c:pt idx="15">
                  <c:v>0.11293500552306887</c:v>
                </c:pt>
                <c:pt idx="16">
                  <c:v>0.1194236423022685</c:v>
                </c:pt>
                <c:pt idx="17">
                  <c:v>0.12765222816912847</c:v>
                </c:pt>
                <c:pt idx="18">
                  <c:v>0.12445295619770559</c:v>
                </c:pt>
                <c:pt idx="19">
                  <c:v>0.1260971976888384</c:v>
                </c:pt>
                <c:pt idx="20">
                  <c:v>0.12654723983446048</c:v>
                </c:pt>
                <c:pt idx="21">
                  <c:v>0.12755028083297318</c:v>
                </c:pt>
                <c:pt idx="22">
                  <c:v>0.12974051174044401</c:v>
                </c:pt>
                <c:pt idx="23">
                  <c:v>0.13235095070487091</c:v>
                </c:pt>
                <c:pt idx="24">
                  <c:v>0.13189806836593268</c:v>
                </c:pt>
                <c:pt idx="25">
                  <c:v>0.12547392558949738</c:v>
                </c:pt>
                <c:pt idx="26">
                  <c:v>0.12552676336369767</c:v>
                </c:pt>
                <c:pt idx="27">
                  <c:v>0.12656564233264414</c:v>
                </c:pt>
                <c:pt idx="28">
                  <c:v>0.12654395979065816</c:v>
                </c:pt>
                <c:pt idx="29">
                  <c:v>0.13168651495204006</c:v>
                </c:pt>
                <c:pt idx="30">
                  <c:v>0.12774778573416284</c:v>
                </c:pt>
                <c:pt idx="31">
                  <c:v>0.13229001086239506</c:v>
                </c:pt>
                <c:pt idx="32">
                  <c:v>0.13171245576284102</c:v>
                </c:pt>
                <c:pt idx="33">
                  <c:v>0.11199857729844641</c:v>
                </c:pt>
                <c:pt idx="34">
                  <c:v>0.11238342337628586</c:v>
                </c:pt>
                <c:pt idx="35">
                  <c:v>0.12777216965531427</c:v>
                </c:pt>
                <c:pt idx="36">
                  <c:v>0.12725764261374373</c:v>
                </c:pt>
                <c:pt idx="37">
                  <c:v>0.11956207512356531</c:v>
                </c:pt>
                <c:pt idx="38">
                  <c:v>0.11966477261448934</c:v>
                </c:pt>
                <c:pt idx="39">
                  <c:v>0.11649168694287407</c:v>
                </c:pt>
                <c:pt idx="40">
                  <c:v>0.11477420980404295</c:v>
                </c:pt>
                <c:pt idx="41">
                  <c:v>0.11508241494768856</c:v>
                </c:pt>
                <c:pt idx="42">
                  <c:v>0.13971514235826915</c:v>
                </c:pt>
                <c:pt idx="43">
                  <c:v>0.13815606473366449</c:v>
                </c:pt>
                <c:pt idx="44">
                  <c:v>0.14946952005332031</c:v>
                </c:pt>
                <c:pt idx="45">
                  <c:v>0.15926482384567414</c:v>
                </c:pt>
                <c:pt idx="46">
                  <c:v>0.16222099788424071</c:v>
                </c:pt>
                <c:pt idx="47">
                  <c:v>0.17510793810062919</c:v>
                </c:pt>
                <c:pt idx="48">
                  <c:v>0.17543058595531175</c:v>
                </c:pt>
                <c:pt idx="49">
                  <c:v>0.17088699869520521</c:v>
                </c:pt>
                <c:pt idx="50">
                  <c:v>0.18427845130784037</c:v>
                </c:pt>
                <c:pt idx="51">
                  <c:v>0.18376048686804905</c:v>
                </c:pt>
                <c:pt idx="52">
                  <c:v>0.21512090923380364</c:v>
                </c:pt>
                <c:pt idx="53">
                  <c:v>0.21692009108958857</c:v>
                </c:pt>
                <c:pt idx="54">
                  <c:v>0.21594917067445668</c:v>
                </c:pt>
                <c:pt idx="55">
                  <c:v>0.20510951811971306</c:v>
                </c:pt>
                <c:pt idx="56">
                  <c:v>0.21095585581860377</c:v>
                </c:pt>
                <c:pt idx="57">
                  <c:v>0.21142449698163687</c:v>
                </c:pt>
                <c:pt idx="58">
                  <c:v>0.21115922747147409</c:v>
                </c:pt>
                <c:pt idx="59">
                  <c:v>0.21198586574089065</c:v>
                </c:pt>
                <c:pt idx="60">
                  <c:v>0.22106842663386961</c:v>
                </c:pt>
                <c:pt idx="61">
                  <c:v>0.22138080038950267</c:v>
                </c:pt>
                <c:pt idx="62">
                  <c:v>0.19832589620496555</c:v>
                </c:pt>
                <c:pt idx="63">
                  <c:v>0.19254313909491344</c:v>
                </c:pt>
                <c:pt idx="64">
                  <c:v>0.19838318801905727</c:v>
                </c:pt>
                <c:pt idx="65">
                  <c:v>0.18563253397188406</c:v>
                </c:pt>
                <c:pt idx="66">
                  <c:v>0.18640295958107211</c:v>
                </c:pt>
                <c:pt idx="67">
                  <c:v>0.17830727317770723</c:v>
                </c:pt>
                <c:pt idx="68">
                  <c:v>0.17921474236288651</c:v>
                </c:pt>
                <c:pt idx="69">
                  <c:v>0.18006625540854099</c:v>
                </c:pt>
                <c:pt idx="70">
                  <c:v>0.16442824040849721</c:v>
                </c:pt>
                <c:pt idx="71">
                  <c:v>0.17292634828208125</c:v>
                </c:pt>
                <c:pt idx="72">
                  <c:v>0.15608207367420535</c:v>
                </c:pt>
                <c:pt idx="73">
                  <c:v>0.16530603367408384</c:v>
                </c:pt>
                <c:pt idx="74">
                  <c:v>0.16635621606027312</c:v>
                </c:pt>
                <c:pt idx="75">
                  <c:v>0.17787092487081052</c:v>
                </c:pt>
                <c:pt idx="76">
                  <c:v>0.17848382279809102</c:v>
                </c:pt>
                <c:pt idx="77">
                  <c:v>0.17936292852534369</c:v>
                </c:pt>
                <c:pt idx="78">
                  <c:v>0.17877387831392727</c:v>
                </c:pt>
                <c:pt idx="79">
                  <c:v>0.19621231539663733</c:v>
                </c:pt>
                <c:pt idx="80">
                  <c:v>0.19091860479494466</c:v>
                </c:pt>
                <c:pt idx="81">
                  <c:v>0.19523646426980376</c:v>
                </c:pt>
                <c:pt idx="82">
                  <c:v>0.21224449168453546</c:v>
                </c:pt>
                <c:pt idx="83">
                  <c:v>0.23320753092537355</c:v>
                </c:pt>
                <c:pt idx="84">
                  <c:v>0.23279905713140314</c:v>
                </c:pt>
                <c:pt idx="85">
                  <c:v>0.26159435561487554</c:v>
                </c:pt>
                <c:pt idx="86">
                  <c:v>0.28509457749658729</c:v>
                </c:pt>
                <c:pt idx="87">
                  <c:v>0.30126702422085327</c:v>
                </c:pt>
                <c:pt idx="88">
                  <c:v>0.30674555904406686</c:v>
                </c:pt>
                <c:pt idx="89">
                  <c:v>0.31353188157001488</c:v>
                </c:pt>
                <c:pt idx="90">
                  <c:v>0.32841695239557339</c:v>
                </c:pt>
                <c:pt idx="91">
                  <c:v>0.32570189308457642</c:v>
                </c:pt>
                <c:pt idx="92">
                  <c:v>0.32526554557753501</c:v>
                </c:pt>
                <c:pt idx="93">
                  <c:v>0.31930723237461606</c:v>
                </c:pt>
                <c:pt idx="94">
                  <c:v>0.35308446936447446</c:v>
                </c:pt>
                <c:pt idx="95">
                  <c:v>0.34569644480173112</c:v>
                </c:pt>
                <c:pt idx="96">
                  <c:v>0.34511016212016632</c:v>
                </c:pt>
                <c:pt idx="97">
                  <c:v>0.34245458928511102</c:v>
                </c:pt>
                <c:pt idx="98">
                  <c:v>0.3497012915977058</c:v>
                </c:pt>
                <c:pt idx="99">
                  <c:v>0.33263811780983821</c:v>
                </c:pt>
                <c:pt idx="100">
                  <c:v>0.33298416166895956</c:v>
                </c:pt>
                <c:pt idx="101">
                  <c:v>0.33313360389347202</c:v>
                </c:pt>
                <c:pt idx="102">
                  <c:v>0.32778471000845416</c:v>
                </c:pt>
                <c:pt idx="103">
                  <c:v>0.30014797665309595</c:v>
                </c:pt>
                <c:pt idx="104">
                  <c:v>0.30187432195806463</c:v>
                </c:pt>
                <c:pt idx="105">
                  <c:v>0.26085470225911289</c:v>
                </c:pt>
                <c:pt idx="106">
                  <c:v>0.25239248268432668</c:v>
                </c:pt>
                <c:pt idx="107">
                  <c:v>0.243883344798343</c:v>
                </c:pt>
                <c:pt idx="108">
                  <c:v>0.22360619910273322</c:v>
                </c:pt>
                <c:pt idx="109">
                  <c:v>0.19765178402567635</c:v>
                </c:pt>
                <c:pt idx="110">
                  <c:v>0.18869132058258348</c:v>
                </c:pt>
                <c:pt idx="111">
                  <c:v>0.18676914687155549</c:v>
                </c:pt>
                <c:pt idx="112">
                  <c:v>0.18856969584744626</c:v>
                </c:pt>
                <c:pt idx="113">
                  <c:v>0.18875288101126808</c:v>
                </c:pt>
                <c:pt idx="114">
                  <c:v>0.14186706126076881</c:v>
                </c:pt>
                <c:pt idx="115">
                  <c:v>0.15141100083565071</c:v>
                </c:pt>
                <c:pt idx="116">
                  <c:v>0.1767980737079525</c:v>
                </c:pt>
                <c:pt idx="117">
                  <c:v>0.17580395616795366</c:v>
                </c:pt>
                <c:pt idx="118">
                  <c:v>0.16355405575215742</c:v>
                </c:pt>
                <c:pt idx="119">
                  <c:v>0.16408365869368452</c:v>
                </c:pt>
                <c:pt idx="120">
                  <c:v>0.15857936792139848</c:v>
                </c:pt>
                <c:pt idx="121">
                  <c:v>0.16113651195608525</c:v>
                </c:pt>
                <c:pt idx="122">
                  <c:v>0.1611326209198492</c:v>
                </c:pt>
                <c:pt idx="123">
                  <c:v>0.16117772199289235</c:v>
                </c:pt>
                <c:pt idx="124">
                  <c:v>0.16005510070927206</c:v>
                </c:pt>
                <c:pt idx="125">
                  <c:v>0.15714423441801356</c:v>
                </c:pt>
                <c:pt idx="126">
                  <c:v>0.15062815709643695</c:v>
                </c:pt>
                <c:pt idx="127">
                  <c:v>0.15083405705714154</c:v>
                </c:pt>
                <c:pt idx="128">
                  <c:v>0.16000011328998082</c:v>
                </c:pt>
                <c:pt idx="129">
                  <c:v>0.16506912223613984</c:v>
                </c:pt>
                <c:pt idx="130">
                  <c:v>0.16391152209783319</c:v>
                </c:pt>
                <c:pt idx="131">
                  <c:v>0.16475701418608055</c:v>
                </c:pt>
                <c:pt idx="132">
                  <c:v>0.15274744264494614</c:v>
                </c:pt>
                <c:pt idx="133">
                  <c:v>0.1471134762744124</c:v>
                </c:pt>
                <c:pt idx="134">
                  <c:v>0.15420099101000773</c:v>
                </c:pt>
                <c:pt idx="135">
                  <c:v>0.15926533465066178</c:v>
                </c:pt>
                <c:pt idx="136">
                  <c:v>0.14077964141349444</c:v>
                </c:pt>
                <c:pt idx="137">
                  <c:v>0.14067688729380581</c:v>
                </c:pt>
                <c:pt idx="138">
                  <c:v>0.16149651545559932</c:v>
                </c:pt>
                <c:pt idx="139">
                  <c:v>0.16677503203926489</c:v>
                </c:pt>
                <c:pt idx="140">
                  <c:v>0.1669012762632221</c:v>
                </c:pt>
                <c:pt idx="141">
                  <c:v>0.16501981018915118</c:v>
                </c:pt>
                <c:pt idx="142">
                  <c:v>0.16478267242984043</c:v>
                </c:pt>
                <c:pt idx="143">
                  <c:v>0.16477264415665147</c:v>
                </c:pt>
                <c:pt idx="144">
                  <c:v>0.1649810211397098</c:v>
                </c:pt>
                <c:pt idx="145">
                  <c:v>0.16686251912071157</c:v>
                </c:pt>
                <c:pt idx="146">
                  <c:v>0.16576914487274011</c:v>
                </c:pt>
                <c:pt idx="147">
                  <c:v>0.16602103995357659</c:v>
                </c:pt>
                <c:pt idx="148">
                  <c:v>0.15957055893528282</c:v>
                </c:pt>
                <c:pt idx="149">
                  <c:v>0.15057179902208298</c:v>
                </c:pt>
                <c:pt idx="150">
                  <c:v>0.15081230525970135</c:v>
                </c:pt>
                <c:pt idx="151">
                  <c:v>0.15016578950284484</c:v>
                </c:pt>
                <c:pt idx="152">
                  <c:v>0.15007403361736163</c:v>
                </c:pt>
                <c:pt idx="153">
                  <c:v>0.14957005974956095</c:v>
                </c:pt>
                <c:pt idx="154">
                  <c:v>0.1392778820346488</c:v>
                </c:pt>
                <c:pt idx="155">
                  <c:v>0.14529935667757665</c:v>
                </c:pt>
                <c:pt idx="156">
                  <c:v>0.14043659400622829</c:v>
                </c:pt>
                <c:pt idx="157">
                  <c:v>0.14131133124135192</c:v>
                </c:pt>
                <c:pt idx="158">
                  <c:v>0.11710777032568902</c:v>
                </c:pt>
                <c:pt idx="159">
                  <c:v>0.11147380386559154</c:v>
                </c:pt>
                <c:pt idx="160">
                  <c:v>0.1110930461889187</c:v>
                </c:pt>
                <c:pt idx="161">
                  <c:v>0.11125279624771946</c:v>
                </c:pt>
                <c:pt idx="162">
                  <c:v>0.11152037514274937</c:v>
                </c:pt>
                <c:pt idx="163">
                  <c:v>0.11327576035384265</c:v>
                </c:pt>
                <c:pt idx="164">
                  <c:v>0.11312848770578431</c:v>
                </c:pt>
                <c:pt idx="165">
                  <c:v>0.11364650451056978</c:v>
                </c:pt>
                <c:pt idx="166">
                  <c:v>0.11906948429047608</c:v>
                </c:pt>
                <c:pt idx="167">
                  <c:v>0.11756409850732555</c:v>
                </c:pt>
                <c:pt idx="168">
                  <c:v>0.12313456748165617</c:v>
                </c:pt>
                <c:pt idx="169">
                  <c:v>0.12258672314467153</c:v>
                </c:pt>
                <c:pt idx="170">
                  <c:v>0.12524960998718734</c:v>
                </c:pt>
                <c:pt idx="171">
                  <c:v>0.12511462604257328</c:v>
                </c:pt>
                <c:pt idx="172">
                  <c:v>0.12563511162038393</c:v>
                </c:pt>
                <c:pt idx="173">
                  <c:v>0.13155632454904803</c:v>
                </c:pt>
                <c:pt idx="174">
                  <c:v>0.13154317372074409</c:v>
                </c:pt>
                <c:pt idx="175">
                  <c:v>0.11630793593443779</c:v>
                </c:pt>
                <c:pt idx="176">
                  <c:v>0.10928345455827421</c:v>
                </c:pt>
                <c:pt idx="177">
                  <c:v>9.804043284570986E-2</c:v>
                </c:pt>
                <c:pt idx="178">
                  <c:v>0.10017906382307953</c:v>
                </c:pt>
                <c:pt idx="179">
                  <c:v>9.8489001819633451E-2</c:v>
                </c:pt>
                <c:pt idx="180">
                  <c:v>9.8491946579750259E-2</c:v>
                </c:pt>
                <c:pt idx="181">
                  <c:v>9.6753409547260583E-2</c:v>
                </c:pt>
                <c:pt idx="182">
                  <c:v>9.7681076547145779E-2</c:v>
                </c:pt>
                <c:pt idx="183">
                  <c:v>9.5959173707938342E-2</c:v>
                </c:pt>
                <c:pt idx="184">
                  <c:v>9.7295618087556102E-2</c:v>
                </c:pt>
                <c:pt idx="185">
                  <c:v>8.8239296465281378E-2</c:v>
                </c:pt>
                <c:pt idx="186">
                  <c:v>7.9088568608312496E-2</c:v>
                </c:pt>
                <c:pt idx="187">
                  <c:v>7.8525808515058929E-2</c:v>
                </c:pt>
                <c:pt idx="188">
                  <c:v>7.0313694405131758E-2</c:v>
                </c:pt>
                <c:pt idx="189">
                  <c:v>7.1845193556668463E-2</c:v>
                </c:pt>
                <c:pt idx="190">
                  <c:v>6.7666376141494192E-2</c:v>
                </c:pt>
                <c:pt idx="191">
                  <c:v>6.6034652107643685E-2</c:v>
                </c:pt>
                <c:pt idx="192">
                  <c:v>6.4918962751456144E-2</c:v>
                </c:pt>
                <c:pt idx="193">
                  <c:v>5.0104092513162071E-2</c:v>
                </c:pt>
                <c:pt idx="194">
                  <c:v>7.0635995084469896E-2</c:v>
                </c:pt>
                <c:pt idx="195">
                  <c:v>7.2519435809475827E-2</c:v>
                </c:pt>
                <c:pt idx="196">
                  <c:v>7.2415280176868463E-2</c:v>
                </c:pt>
                <c:pt idx="197">
                  <c:v>7.2395602726967809E-2</c:v>
                </c:pt>
                <c:pt idx="198">
                  <c:v>6.9703920018529444E-2</c:v>
                </c:pt>
                <c:pt idx="199">
                  <c:v>7.0435954131750494E-2</c:v>
                </c:pt>
                <c:pt idx="200">
                  <c:v>7.0782014251194764E-2</c:v>
                </c:pt>
                <c:pt idx="201">
                  <c:v>7.0652866269066444E-2</c:v>
                </c:pt>
                <c:pt idx="202">
                  <c:v>6.930274909882965E-2</c:v>
                </c:pt>
                <c:pt idx="203">
                  <c:v>9.8636651849442328E-2</c:v>
                </c:pt>
                <c:pt idx="204">
                  <c:v>9.8648508698958304E-2</c:v>
                </c:pt>
                <c:pt idx="205">
                  <c:v>0.10647775236954715</c:v>
                </c:pt>
                <c:pt idx="206">
                  <c:v>0.11588947409032942</c:v>
                </c:pt>
                <c:pt idx="207">
                  <c:v>0.11574811616080131</c:v>
                </c:pt>
                <c:pt idx="208">
                  <c:v>0.11535760715245311</c:v>
                </c:pt>
                <c:pt idx="209">
                  <c:v>0.11672946784022607</c:v>
                </c:pt>
                <c:pt idx="210">
                  <c:v>0.1387748466107894</c:v>
                </c:pt>
                <c:pt idx="211">
                  <c:v>0.1387324123887784</c:v>
                </c:pt>
                <c:pt idx="212">
                  <c:v>0.14653541279669494</c:v>
                </c:pt>
                <c:pt idx="213">
                  <c:v>0.1466885374558545</c:v>
                </c:pt>
                <c:pt idx="214">
                  <c:v>0.14248986911013356</c:v>
                </c:pt>
                <c:pt idx="215">
                  <c:v>0.14444015742525193</c:v>
                </c:pt>
                <c:pt idx="216">
                  <c:v>0.14675337035341901</c:v>
                </c:pt>
                <c:pt idx="217">
                  <c:v>0.15507037026601045</c:v>
                </c:pt>
                <c:pt idx="218">
                  <c:v>0.15547423468579111</c:v>
                </c:pt>
                <c:pt idx="219">
                  <c:v>0.17349466378918516</c:v>
                </c:pt>
                <c:pt idx="220">
                  <c:v>0.18699180623860506</c:v>
                </c:pt>
                <c:pt idx="221">
                  <c:v>0.18746784005489192</c:v>
                </c:pt>
                <c:pt idx="222">
                  <c:v>0.1934648266265302</c:v>
                </c:pt>
                <c:pt idx="223">
                  <c:v>0.17993034448919351</c:v>
                </c:pt>
                <c:pt idx="224">
                  <c:v>0.18007717376141152</c:v>
                </c:pt>
                <c:pt idx="225">
                  <c:v>0.17577217170869844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C-4D46-AF9F-C0D89E9EA572}"/>
            </c:ext>
          </c:extLst>
        </c:ser>
        <c:ser>
          <c:idx val="2"/>
          <c:order val="2"/>
          <c:tx>
            <c:strRef>
              <c:f>Volatility!$D$1:$D$21</c:f>
              <c:strCache>
                <c:ptCount val="21"/>
                <c:pt idx="0">
                  <c:v>NIFTY SMALLCAP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Volatility!$A$22:$A$247</c:f>
              <c:numCache>
                <c:formatCode>m/d/yyyy</c:formatCode>
                <c:ptCount val="226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45985</c:v>
                </c:pt>
                <c:pt idx="4">
                  <c:v>45986</c:v>
                </c:pt>
                <c:pt idx="5">
                  <c:v>45987</c:v>
                </c:pt>
                <c:pt idx="6">
                  <c:v>45988</c:v>
                </c:pt>
                <c:pt idx="7">
                  <c:v>45989</c:v>
                </c:pt>
                <c:pt idx="8">
                  <c:v>45992</c:v>
                </c:pt>
                <c:pt idx="9">
                  <c:v>45993</c:v>
                </c:pt>
                <c:pt idx="10">
                  <c:v>45994</c:v>
                </c:pt>
                <c:pt idx="11">
                  <c:v>45995</c:v>
                </c:pt>
                <c:pt idx="12">
                  <c:v>45996</c:v>
                </c:pt>
                <c:pt idx="13">
                  <c:v>45999</c:v>
                </c:pt>
                <c:pt idx="14">
                  <c:v>46000</c:v>
                </c:pt>
                <c:pt idx="15">
                  <c:v>46001</c:v>
                </c:pt>
                <c:pt idx="16">
                  <c:v>46002</c:v>
                </c:pt>
                <c:pt idx="17">
                  <c:v>46003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46017</c:v>
                </c:pt>
                <c:pt idx="27">
                  <c:v>46020</c:v>
                </c:pt>
                <c:pt idx="28">
                  <c:v>46021</c:v>
                </c:pt>
                <c:pt idx="29">
                  <c:v>46022</c:v>
                </c:pt>
                <c:pt idx="30">
                  <c:v>46023</c:v>
                </c:pt>
                <c:pt idx="31">
                  <c:v>46024</c:v>
                </c:pt>
                <c:pt idx="32">
                  <c:v>46027</c:v>
                </c:pt>
                <c:pt idx="33">
                  <c:v>46028</c:v>
                </c:pt>
                <c:pt idx="34">
                  <c:v>46029</c:v>
                </c:pt>
                <c:pt idx="35">
                  <c:v>46030</c:v>
                </c:pt>
                <c:pt idx="36">
                  <c:v>46031</c:v>
                </c:pt>
                <c:pt idx="37">
                  <c:v>46034</c:v>
                </c:pt>
                <c:pt idx="38">
                  <c:v>46035</c:v>
                </c:pt>
                <c:pt idx="39">
                  <c:v>46036</c:v>
                </c:pt>
                <c:pt idx="40">
                  <c:v>46038</c:v>
                </c:pt>
                <c:pt idx="41">
                  <c:v>46041</c:v>
                </c:pt>
                <c:pt idx="42">
                  <c:v>46042</c:v>
                </c:pt>
                <c:pt idx="43">
                  <c:v>46043</c:v>
                </c:pt>
                <c:pt idx="44">
                  <c:v>46044</c:v>
                </c:pt>
                <c:pt idx="45">
                  <c:v>46045</c:v>
                </c:pt>
                <c:pt idx="46">
                  <c:v>46049</c:v>
                </c:pt>
                <c:pt idx="47">
                  <c:v>46050</c:v>
                </c:pt>
                <c:pt idx="48">
                  <c:v>46051</c:v>
                </c:pt>
                <c:pt idx="49">
                  <c:v>46052</c:v>
                </c:pt>
                <c:pt idx="50">
                  <c:v>46054</c:v>
                </c:pt>
                <c:pt idx="51">
                  <c:v>46055</c:v>
                </c:pt>
                <c:pt idx="52">
                  <c:v>46056</c:v>
                </c:pt>
                <c:pt idx="53">
                  <c:v>46057</c:v>
                </c:pt>
                <c:pt idx="54">
                  <c:v>46058</c:v>
                </c:pt>
                <c:pt idx="55">
                  <c:v>46059</c:v>
                </c:pt>
                <c:pt idx="56">
                  <c:v>46062</c:v>
                </c:pt>
                <c:pt idx="57">
                  <c:v>46063</c:v>
                </c:pt>
                <c:pt idx="58">
                  <c:v>46064</c:v>
                </c:pt>
                <c:pt idx="59">
                  <c:v>46065</c:v>
                </c:pt>
                <c:pt idx="60">
                  <c:v>46066</c:v>
                </c:pt>
                <c:pt idx="61">
                  <c:v>46069</c:v>
                </c:pt>
                <c:pt idx="62">
                  <c:v>46070</c:v>
                </c:pt>
                <c:pt idx="63">
                  <c:v>46071</c:v>
                </c:pt>
                <c:pt idx="64">
                  <c:v>46072</c:v>
                </c:pt>
                <c:pt idx="65">
                  <c:v>46073</c:v>
                </c:pt>
                <c:pt idx="66">
                  <c:v>46076</c:v>
                </c:pt>
                <c:pt idx="67">
                  <c:v>46077</c:v>
                </c:pt>
                <c:pt idx="68">
                  <c:v>46078</c:v>
                </c:pt>
                <c:pt idx="69">
                  <c:v>46079</c:v>
                </c:pt>
                <c:pt idx="70">
                  <c:v>46080</c:v>
                </c:pt>
                <c:pt idx="71">
                  <c:v>46083</c:v>
                </c:pt>
                <c:pt idx="72">
                  <c:v>46085</c:v>
                </c:pt>
                <c:pt idx="73">
                  <c:v>46086</c:v>
                </c:pt>
                <c:pt idx="74">
                  <c:v>46087</c:v>
                </c:pt>
                <c:pt idx="75">
                  <c:v>46090</c:v>
                </c:pt>
                <c:pt idx="76">
                  <c:v>46091</c:v>
                </c:pt>
                <c:pt idx="77">
                  <c:v>46092</c:v>
                </c:pt>
                <c:pt idx="78">
                  <c:v>46093</c:v>
                </c:pt>
                <c:pt idx="79">
                  <c:v>46094</c:v>
                </c:pt>
                <c:pt idx="80">
                  <c:v>46097</c:v>
                </c:pt>
                <c:pt idx="81">
                  <c:v>46098</c:v>
                </c:pt>
                <c:pt idx="82">
                  <c:v>46099</c:v>
                </c:pt>
                <c:pt idx="83">
                  <c:v>46100</c:v>
                </c:pt>
                <c:pt idx="84">
                  <c:v>46101</c:v>
                </c:pt>
                <c:pt idx="85">
                  <c:v>46104</c:v>
                </c:pt>
                <c:pt idx="86">
                  <c:v>46105</c:v>
                </c:pt>
                <c:pt idx="87">
                  <c:v>46106</c:v>
                </c:pt>
                <c:pt idx="88">
                  <c:v>46108</c:v>
                </c:pt>
                <c:pt idx="89">
                  <c:v>46111</c:v>
                </c:pt>
                <c:pt idx="90">
                  <c:v>46113</c:v>
                </c:pt>
                <c:pt idx="91">
                  <c:v>46114</c:v>
                </c:pt>
                <c:pt idx="92">
                  <c:v>46118</c:v>
                </c:pt>
                <c:pt idx="93">
                  <c:v>46119</c:v>
                </c:pt>
                <c:pt idx="94">
                  <c:v>46120</c:v>
                </c:pt>
                <c:pt idx="95">
                  <c:v>46121</c:v>
                </c:pt>
                <c:pt idx="96">
                  <c:v>46122</c:v>
                </c:pt>
                <c:pt idx="97">
                  <c:v>46125</c:v>
                </c:pt>
                <c:pt idx="98">
                  <c:v>46127</c:v>
                </c:pt>
                <c:pt idx="99">
                  <c:v>46128</c:v>
                </c:pt>
                <c:pt idx="100">
                  <c:v>46129</c:v>
                </c:pt>
                <c:pt idx="101">
                  <c:v>46132</c:v>
                </c:pt>
                <c:pt idx="102">
                  <c:v>46133</c:v>
                </c:pt>
                <c:pt idx="103">
                  <c:v>46134</c:v>
                </c:pt>
                <c:pt idx="104">
                  <c:v>46135</c:v>
                </c:pt>
                <c:pt idx="105">
                  <c:v>46136</c:v>
                </c:pt>
                <c:pt idx="106">
                  <c:v>46139</c:v>
                </c:pt>
                <c:pt idx="107">
                  <c:v>46140</c:v>
                </c:pt>
                <c:pt idx="108">
                  <c:v>46141</c:v>
                </c:pt>
                <c:pt idx="109">
                  <c:v>46142</c:v>
                </c:pt>
                <c:pt idx="110">
                  <c:v>46146</c:v>
                </c:pt>
                <c:pt idx="111">
                  <c:v>46147</c:v>
                </c:pt>
                <c:pt idx="112">
                  <c:v>46148</c:v>
                </c:pt>
                <c:pt idx="113">
                  <c:v>46149</c:v>
                </c:pt>
                <c:pt idx="114">
                  <c:v>46150</c:v>
                </c:pt>
                <c:pt idx="115">
                  <c:v>46153</c:v>
                </c:pt>
                <c:pt idx="116">
                  <c:v>46154</c:v>
                </c:pt>
                <c:pt idx="117">
                  <c:v>46155</c:v>
                </c:pt>
                <c:pt idx="118">
                  <c:v>46156</c:v>
                </c:pt>
                <c:pt idx="119">
                  <c:v>46157</c:v>
                </c:pt>
                <c:pt idx="120">
                  <c:v>46160</c:v>
                </c:pt>
                <c:pt idx="121">
                  <c:v>46161</c:v>
                </c:pt>
                <c:pt idx="122">
                  <c:v>46162</c:v>
                </c:pt>
                <c:pt idx="123">
                  <c:v>46163</c:v>
                </c:pt>
                <c:pt idx="124">
                  <c:v>46164</c:v>
                </c:pt>
                <c:pt idx="125">
                  <c:v>46167</c:v>
                </c:pt>
                <c:pt idx="126">
                  <c:v>46168</c:v>
                </c:pt>
                <c:pt idx="127">
                  <c:v>46169</c:v>
                </c:pt>
                <c:pt idx="128">
                  <c:v>46171</c:v>
                </c:pt>
                <c:pt idx="129">
                  <c:v>46174</c:v>
                </c:pt>
                <c:pt idx="130">
                  <c:v>46175</c:v>
                </c:pt>
                <c:pt idx="131">
                  <c:v>46176</c:v>
                </c:pt>
                <c:pt idx="132">
                  <c:v>46177</c:v>
                </c:pt>
                <c:pt idx="133">
                  <c:v>46178</c:v>
                </c:pt>
                <c:pt idx="134">
                  <c:v>46181</c:v>
                </c:pt>
                <c:pt idx="135">
                  <c:v>46182</c:v>
                </c:pt>
                <c:pt idx="136">
                  <c:v>46183</c:v>
                </c:pt>
                <c:pt idx="137">
                  <c:v>46184</c:v>
                </c:pt>
                <c:pt idx="138">
                  <c:v>46185</c:v>
                </c:pt>
                <c:pt idx="139">
                  <c:v>46188</c:v>
                </c:pt>
                <c:pt idx="140">
                  <c:v>46189</c:v>
                </c:pt>
                <c:pt idx="141">
                  <c:v>46190</c:v>
                </c:pt>
                <c:pt idx="142">
                  <c:v>46191</c:v>
                </c:pt>
                <c:pt idx="143">
                  <c:v>46192</c:v>
                </c:pt>
                <c:pt idx="144">
                  <c:v>46195</c:v>
                </c:pt>
                <c:pt idx="145">
                  <c:v>46196</c:v>
                </c:pt>
                <c:pt idx="146">
                  <c:v>46197</c:v>
                </c:pt>
                <c:pt idx="147">
                  <c:v>46198</c:v>
                </c:pt>
                <c:pt idx="148">
                  <c:v>46202</c:v>
                </c:pt>
                <c:pt idx="149">
                  <c:v>46203</c:v>
                </c:pt>
                <c:pt idx="150">
                  <c:v>46204</c:v>
                </c:pt>
                <c:pt idx="151">
                  <c:v>46205</c:v>
                </c:pt>
                <c:pt idx="152">
                  <c:v>46206</c:v>
                </c:pt>
                <c:pt idx="153">
                  <c:v>46209</c:v>
                </c:pt>
                <c:pt idx="154">
                  <c:v>46210</c:v>
                </c:pt>
                <c:pt idx="155">
                  <c:v>46211</c:v>
                </c:pt>
                <c:pt idx="156">
                  <c:v>46212</c:v>
                </c:pt>
                <c:pt idx="157">
                  <c:v>46213</c:v>
                </c:pt>
                <c:pt idx="158">
                  <c:v>46216</c:v>
                </c:pt>
                <c:pt idx="159">
                  <c:v>46217</c:v>
                </c:pt>
                <c:pt idx="160">
                  <c:v>46218</c:v>
                </c:pt>
                <c:pt idx="161">
                  <c:v>46219</c:v>
                </c:pt>
                <c:pt idx="162">
                  <c:v>46220</c:v>
                </c:pt>
                <c:pt idx="163">
                  <c:v>46223</c:v>
                </c:pt>
                <c:pt idx="164">
                  <c:v>46224</c:v>
                </c:pt>
                <c:pt idx="165">
                  <c:v>46225</c:v>
                </c:pt>
                <c:pt idx="166">
                  <c:v>46226</c:v>
                </c:pt>
                <c:pt idx="167">
                  <c:v>46227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46237</c:v>
                </c:pt>
                <c:pt idx="174">
                  <c:v>46238</c:v>
                </c:pt>
                <c:pt idx="175">
                  <c:v>46239</c:v>
                </c:pt>
                <c:pt idx="176">
                  <c:v>46240</c:v>
                </c:pt>
                <c:pt idx="177">
                  <c:v>46241</c:v>
                </c:pt>
                <c:pt idx="178">
                  <c:v>46244</c:v>
                </c:pt>
                <c:pt idx="179">
                  <c:v>46245</c:v>
                </c:pt>
                <c:pt idx="180">
                  <c:v>46246</c:v>
                </c:pt>
                <c:pt idx="181">
                  <c:v>46247</c:v>
                </c:pt>
                <c:pt idx="182">
                  <c:v>46248</c:v>
                </c:pt>
                <c:pt idx="183">
                  <c:v>46251</c:v>
                </c:pt>
                <c:pt idx="184">
                  <c:v>46252</c:v>
                </c:pt>
                <c:pt idx="185">
                  <c:v>46253</c:v>
                </c:pt>
                <c:pt idx="186">
                  <c:v>46254</c:v>
                </c:pt>
                <c:pt idx="187">
                  <c:v>46255</c:v>
                </c:pt>
                <c:pt idx="188">
                  <c:v>46258</c:v>
                </c:pt>
                <c:pt idx="189">
                  <c:v>46259</c:v>
                </c:pt>
                <c:pt idx="190">
                  <c:v>46260</c:v>
                </c:pt>
                <c:pt idx="191">
                  <c:v>46261</c:v>
                </c:pt>
                <c:pt idx="192">
                  <c:v>46262</c:v>
                </c:pt>
                <c:pt idx="193">
                  <c:v>46265</c:v>
                </c:pt>
                <c:pt idx="194">
                  <c:v>46266</c:v>
                </c:pt>
                <c:pt idx="195">
                  <c:v>46267</c:v>
                </c:pt>
                <c:pt idx="196">
                  <c:v>46268</c:v>
                </c:pt>
                <c:pt idx="197">
                  <c:v>46269</c:v>
                </c:pt>
                <c:pt idx="198">
                  <c:v>46272</c:v>
                </c:pt>
                <c:pt idx="199">
                  <c:v>46273</c:v>
                </c:pt>
                <c:pt idx="200">
                  <c:v>46274</c:v>
                </c:pt>
                <c:pt idx="201">
                  <c:v>46275</c:v>
                </c:pt>
                <c:pt idx="202">
                  <c:v>46276</c:v>
                </c:pt>
                <c:pt idx="203">
                  <c:v>46280</c:v>
                </c:pt>
                <c:pt idx="204">
                  <c:v>46281</c:v>
                </c:pt>
                <c:pt idx="205">
                  <c:v>46282</c:v>
                </c:pt>
                <c:pt idx="206">
                  <c:v>46283</c:v>
                </c:pt>
                <c:pt idx="207">
                  <c:v>46286</c:v>
                </c:pt>
                <c:pt idx="208">
                  <c:v>46287</c:v>
                </c:pt>
                <c:pt idx="209">
                  <c:v>46288</c:v>
                </c:pt>
                <c:pt idx="210">
                  <c:v>46289</c:v>
                </c:pt>
                <c:pt idx="211">
                  <c:v>46290</c:v>
                </c:pt>
                <c:pt idx="212">
                  <c:v>46293</c:v>
                </c:pt>
                <c:pt idx="213">
                  <c:v>46294</c:v>
                </c:pt>
                <c:pt idx="214">
                  <c:v>46295</c:v>
                </c:pt>
                <c:pt idx="215">
                  <c:v>46296</c:v>
                </c:pt>
                <c:pt idx="216">
                  <c:v>46300</c:v>
                </c:pt>
                <c:pt idx="217">
                  <c:v>46301</c:v>
                </c:pt>
                <c:pt idx="218">
                  <c:v>46302</c:v>
                </c:pt>
                <c:pt idx="219">
                  <c:v>46303</c:v>
                </c:pt>
                <c:pt idx="220">
                  <c:v>46304</c:v>
                </c:pt>
                <c:pt idx="221">
                  <c:v>46307</c:v>
                </c:pt>
                <c:pt idx="222">
                  <c:v>46308</c:v>
                </c:pt>
                <c:pt idx="223">
                  <c:v>46309</c:v>
                </c:pt>
                <c:pt idx="224">
                  <c:v>46310</c:v>
                </c:pt>
                <c:pt idx="225">
                  <c:v>46311</c:v>
                </c:pt>
              </c:numCache>
            </c:numRef>
          </c:cat>
          <c:val>
            <c:numRef>
              <c:f>Volatility!$D$22:$D$247</c:f>
              <c:numCache>
                <c:formatCode>0.0%</c:formatCode>
                <c:ptCount val="226"/>
                <c:pt idx="0">
                  <c:v>9.8021819306782373E-2</c:v>
                </c:pt>
                <c:pt idx="1">
                  <c:v>9.5819784980610084E-2</c:v>
                </c:pt>
                <c:pt idx="2">
                  <c:v>0.10419663015660735</c:v>
                </c:pt>
                <c:pt idx="3">
                  <c:v>0.1073199801741782</c:v>
                </c:pt>
                <c:pt idx="4">
                  <c:v>0.10194580132011333</c:v>
                </c:pt>
                <c:pt idx="5">
                  <c:v>0.11570766974649421</c:v>
                </c:pt>
                <c:pt idx="6">
                  <c:v>0.11466521280786207</c:v>
                </c:pt>
                <c:pt idx="7">
                  <c:v>0.11468811269398642</c:v>
                </c:pt>
                <c:pt idx="8">
                  <c:v>0.11504692521450517</c:v>
                </c:pt>
                <c:pt idx="9">
                  <c:v>0.11125276904814151</c:v>
                </c:pt>
                <c:pt idx="10">
                  <c:v>0.11050590750429362</c:v>
                </c:pt>
                <c:pt idx="11">
                  <c:v>0.1010904789757492</c:v>
                </c:pt>
                <c:pt idx="12">
                  <c:v>0.10224602275460082</c:v>
                </c:pt>
                <c:pt idx="13">
                  <c:v>0.13222898242536635</c:v>
                </c:pt>
                <c:pt idx="14">
                  <c:v>0.14183158094624437</c:v>
                </c:pt>
                <c:pt idx="15">
                  <c:v>0.13787724992465933</c:v>
                </c:pt>
                <c:pt idx="16">
                  <c:v>0.14357488375226862</c:v>
                </c:pt>
                <c:pt idx="17">
                  <c:v>0.14822084533548105</c:v>
                </c:pt>
                <c:pt idx="18">
                  <c:v>0.14649595174740998</c:v>
                </c:pt>
                <c:pt idx="19">
                  <c:v>0.14563387930462562</c:v>
                </c:pt>
                <c:pt idx="20">
                  <c:v>0.14652849459504988</c:v>
                </c:pt>
                <c:pt idx="21">
                  <c:v>0.14699606598773668</c:v>
                </c:pt>
                <c:pt idx="22">
                  <c:v>0.15269217810763561</c:v>
                </c:pt>
                <c:pt idx="23">
                  <c:v>0.15673990388955553</c:v>
                </c:pt>
                <c:pt idx="24">
                  <c:v>0.15720687553721216</c:v>
                </c:pt>
                <c:pt idx="25">
                  <c:v>0.149117164823863</c:v>
                </c:pt>
                <c:pt idx="26">
                  <c:v>0.1481302022505695</c:v>
                </c:pt>
                <c:pt idx="27">
                  <c:v>0.14988686578699775</c:v>
                </c:pt>
                <c:pt idx="28">
                  <c:v>0.14954902007840251</c:v>
                </c:pt>
                <c:pt idx="29">
                  <c:v>0.15442967419594114</c:v>
                </c:pt>
                <c:pt idx="30">
                  <c:v>0.15221327985739341</c:v>
                </c:pt>
                <c:pt idx="31">
                  <c:v>0.15384448948601637</c:v>
                </c:pt>
                <c:pt idx="32">
                  <c:v>0.15275333784781439</c:v>
                </c:pt>
                <c:pt idx="33">
                  <c:v>0.11505294064050442</c:v>
                </c:pt>
                <c:pt idx="34">
                  <c:v>0.11029788784238002</c:v>
                </c:pt>
                <c:pt idx="35">
                  <c:v>0.12981840907449502</c:v>
                </c:pt>
                <c:pt idx="36">
                  <c:v>0.1446395069087828</c:v>
                </c:pt>
                <c:pt idx="37">
                  <c:v>0.1415609261633477</c:v>
                </c:pt>
                <c:pt idx="38">
                  <c:v>0.14317518164510765</c:v>
                </c:pt>
                <c:pt idx="39">
                  <c:v>0.14118179080030835</c:v>
                </c:pt>
                <c:pt idx="40">
                  <c:v>0.1387565816551998</c:v>
                </c:pt>
                <c:pt idx="41">
                  <c:v>0.143694181007963</c:v>
                </c:pt>
                <c:pt idx="42">
                  <c:v>0.1673345869140804</c:v>
                </c:pt>
                <c:pt idx="43">
                  <c:v>0.16096031844838493</c:v>
                </c:pt>
                <c:pt idx="44">
                  <c:v>0.16367874926743048</c:v>
                </c:pt>
                <c:pt idx="45">
                  <c:v>0.17239579460174151</c:v>
                </c:pt>
                <c:pt idx="46">
                  <c:v>0.174412262428249</c:v>
                </c:pt>
                <c:pt idx="47">
                  <c:v>0.19709050947724152</c:v>
                </c:pt>
                <c:pt idx="48">
                  <c:v>0.19763640173220962</c:v>
                </c:pt>
                <c:pt idx="49">
                  <c:v>0.19262437797582138</c:v>
                </c:pt>
                <c:pt idx="50">
                  <c:v>0.21178293326589659</c:v>
                </c:pt>
                <c:pt idx="51">
                  <c:v>0.21127357291303175</c:v>
                </c:pt>
                <c:pt idx="52">
                  <c:v>0.23813227217377864</c:v>
                </c:pt>
                <c:pt idx="53">
                  <c:v>0.24425757504338552</c:v>
                </c:pt>
                <c:pt idx="54">
                  <c:v>0.24625907602006847</c:v>
                </c:pt>
                <c:pt idx="55">
                  <c:v>0.23771347190030659</c:v>
                </c:pt>
                <c:pt idx="56">
                  <c:v>0.24947339267306806</c:v>
                </c:pt>
                <c:pt idx="57">
                  <c:v>0.24883413414963085</c:v>
                </c:pt>
                <c:pt idx="58">
                  <c:v>0.24810694659004265</c:v>
                </c:pt>
                <c:pt idx="59">
                  <c:v>0.24817645407381231</c:v>
                </c:pt>
                <c:pt idx="60">
                  <c:v>0.25607723924283582</c:v>
                </c:pt>
                <c:pt idx="61">
                  <c:v>0.2538844823051305</c:v>
                </c:pt>
                <c:pt idx="62">
                  <c:v>0.23152453612772866</c:v>
                </c:pt>
                <c:pt idx="63">
                  <c:v>0.22857081433883833</c:v>
                </c:pt>
                <c:pt idx="64">
                  <c:v>0.23343449628129492</c:v>
                </c:pt>
                <c:pt idx="65">
                  <c:v>0.22071299765823954</c:v>
                </c:pt>
                <c:pt idx="66">
                  <c:v>0.2206106579054159</c:v>
                </c:pt>
                <c:pt idx="67">
                  <c:v>0.2079126087772897</c:v>
                </c:pt>
                <c:pt idx="68">
                  <c:v>0.21024833923947747</c:v>
                </c:pt>
                <c:pt idx="69">
                  <c:v>0.21010149600682149</c:v>
                </c:pt>
                <c:pt idx="70">
                  <c:v>0.18801339714382403</c:v>
                </c:pt>
                <c:pt idx="71">
                  <c:v>0.19876690224510724</c:v>
                </c:pt>
                <c:pt idx="72">
                  <c:v>0.18383991544658915</c:v>
                </c:pt>
                <c:pt idx="73">
                  <c:v>0.18741558405159434</c:v>
                </c:pt>
                <c:pt idx="74">
                  <c:v>0.18293550447762594</c:v>
                </c:pt>
                <c:pt idx="75">
                  <c:v>0.1973596632306083</c:v>
                </c:pt>
                <c:pt idx="76">
                  <c:v>0.18789674468782133</c:v>
                </c:pt>
                <c:pt idx="77">
                  <c:v>0.18639132785196447</c:v>
                </c:pt>
                <c:pt idx="78">
                  <c:v>0.18642390866398512</c:v>
                </c:pt>
                <c:pt idx="79">
                  <c:v>0.20176153599552785</c:v>
                </c:pt>
                <c:pt idx="80">
                  <c:v>0.1952943540960598</c:v>
                </c:pt>
                <c:pt idx="81">
                  <c:v>0.19796084724855828</c:v>
                </c:pt>
                <c:pt idx="82">
                  <c:v>0.20831571490266759</c:v>
                </c:pt>
                <c:pt idx="83">
                  <c:v>0.22591571336725275</c:v>
                </c:pt>
                <c:pt idx="84">
                  <c:v>0.22457169501982915</c:v>
                </c:pt>
                <c:pt idx="85">
                  <c:v>0.25714906631881401</c:v>
                </c:pt>
                <c:pt idx="86">
                  <c:v>0.27996921970589822</c:v>
                </c:pt>
                <c:pt idx="87">
                  <c:v>0.30013574769817564</c:v>
                </c:pt>
                <c:pt idx="88">
                  <c:v>0.30043293064182647</c:v>
                </c:pt>
                <c:pt idx="89">
                  <c:v>0.31000830439109861</c:v>
                </c:pt>
                <c:pt idx="90">
                  <c:v>0.33854793057335664</c:v>
                </c:pt>
                <c:pt idx="91">
                  <c:v>0.33450038080470068</c:v>
                </c:pt>
                <c:pt idx="92">
                  <c:v>0.33165108885218342</c:v>
                </c:pt>
                <c:pt idx="93">
                  <c:v>0.32560185836294464</c:v>
                </c:pt>
                <c:pt idx="94">
                  <c:v>0.36388428652124516</c:v>
                </c:pt>
                <c:pt idx="95">
                  <c:v>0.35395665264118659</c:v>
                </c:pt>
                <c:pt idx="96">
                  <c:v>0.35092328231896031</c:v>
                </c:pt>
                <c:pt idx="97">
                  <c:v>0.35113996317786955</c:v>
                </c:pt>
                <c:pt idx="98">
                  <c:v>0.35835871448817247</c:v>
                </c:pt>
                <c:pt idx="99">
                  <c:v>0.34321431605997554</c:v>
                </c:pt>
                <c:pt idx="100">
                  <c:v>0.34302206807406471</c:v>
                </c:pt>
                <c:pt idx="101">
                  <c:v>0.34481009111879474</c:v>
                </c:pt>
                <c:pt idx="102">
                  <c:v>0.3423634652640703</c:v>
                </c:pt>
                <c:pt idx="103">
                  <c:v>0.31853686238893486</c:v>
                </c:pt>
                <c:pt idx="104">
                  <c:v>0.32147081931652294</c:v>
                </c:pt>
                <c:pt idx="105">
                  <c:v>0.27931404044659375</c:v>
                </c:pt>
                <c:pt idx="106">
                  <c:v>0.27406013838299959</c:v>
                </c:pt>
                <c:pt idx="107">
                  <c:v>0.26529430314288477</c:v>
                </c:pt>
                <c:pt idx="108">
                  <c:v>0.2501127548120114</c:v>
                </c:pt>
                <c:pt idx="109">
                  <c:v>0.22084036629399478</c:v>
                </c:pt>
                <c:pt idx="110">
                  <c:v>0.20064542261316498</c:v>
                </c:pt>
                <c:pt idx="111">
                  <c:v>0.1971874705643146</c:v>
                </c:pt>
                <c:pt idx="112">
                  <c:v>0.20076484444192419</c:v>
                </c:pt>
                <c:pt idx="113">
                  <c:v>0.19822094064617782</c:v>
                </c:pt>
                <c:pt idx="114">
                  <c:v>0.14820030246628432</c:v>
                </c:pt>
                <c:pt idx="115">
                  <c:v>0.16020655609556339</c:v>
                </c:pt>
                <c:pt idx="116">
                  <c:v>0.20256479344951275</c:v>
                </c:pt>
                <c:pt idx="117">
                  <c:v>0.20042385981804989</c:v>
                </c:pt>
                <c:pt idx="118">
                  <c:v>0.18636993443673808</c:v>
                </c:pt>
                <c:pt idx="119">
                  <c:v>0.18706676864748178</c:v>
                </c:pt>
                <c:pt idx="120">
                  <c:v>0.18688482302203643</c:v>
                </c:pt>
                <c:pt idx="121">
                  <c:v>0.19017068816500213</c:v>
                </c:pt>
                <c:pt idx="122">
                  <c:v>0.18798151994479059</c:v>
                </c:pt>
                <c:pt idx="123">
                  <c:v>0.1850736252014559</c:v>
                </c:pt>
                <c:pt idx="124">
                  <c:v>0.18331307531982216</c:v>
                </c:pt>
                <c:pt idx="125">
                  <c:v>0.18532357538187508</c:v>
                </c:pt>
                <c:pt idx="126">
                  <c:v>0.17415403867235268</c:v>
                </c:pt>
                <c:pt idx="127">
                  <c:v>0.17376964045901244</c:v>
                </c:pt>
                <c:pt idx="128">
                  <c:v>0.17554115026023501</c:v>
                </c:pt>
                <c:pt idx="129">
                  <c:v>0.17760383531683649</c:v>
                </c:pt>
                <c:pt idx="130">
                  <c:v>0.17637782329204665</c:v>
                </c:pt>
                <c:pt idx="131">
                  <c:v>0.17606454419033443</c:v>
                </c:pt>
                <c:pt idx="132">
                  <c:v>0.16151053162908033</c:v>
                </c:pt>
                <c:pt idx="133">
                  <c:v>0.15735090096458365</c:v>
                </c:pt>
                <c:pt idx="134">
                  <c:v>0.16847194835454987</c:v>
                </c:pt>
                <c:pt idx="135">
                  <c:v>0.17862999833042881</c:v>
                </c:pt>
                <c:pt idx="136">
                  <c:v>0.14603512237706795</c:v>
                </c:pt>
                <c:pt idx="137">
                  <c:v>0.14718629920075152</c:v>
                </c:pt>
                <c:pt idx="138">
                  <c:v>0.17911378655032451</c:v>
                </c:pt>
                <c:pt idx="139">
                  <c:v>0.18098561849846295</c:v>
                </c:pt>
                <c:pt idx="140">
                  <c:v>0.17327164222068225</c:v>
                </c:pt>
                <c:pt idx="141">
                  <c:v>0.17103574001054911</c:v>
                </c:pt>
                <c:pt idx="142">
                  <c:v>0.17109122078079006</c:v>
                </c:pt>
                <c:pt idx="143">
                  <c:v>0.17061831227389257</c:v>
                </c:pt>
                <c:pt idx="144">
                  <c:v>0.17051654583704448</c:v>
                </c:pt>
                <c:pt idx="145">
                  <c:v>0.16715651948745294</c:v>
                </c:pt>
                <c:pt idx="146">
                  <c:v>0.16721444261748081</c:v>
                </c:pt>
                <c:pt idx="147">
                  <c:v>0.16876050881851756</c:v>
                </c:pt>
                <c:pt idx="148">
                  <c:v>0.16718685483511589</c:v>
                </c:pt>
                <c:pt idx="149">
                  <c:v>0.16526158427555032</c:v>
                </c:pt>
                <c:pt idx="150">
                  <c:v>0.16521409042802035</c:v>
                </c:pt>
                <c:pt idx="151">
                  <c:v>0.1683791505478178</c:v>
                </c:pt>
                <c:pt idx="152">
                  <c:v>0.16850104063143181</c:v>
                </c:pt>
                <c:pt idx="153">
                  <c:v>0.16873778111143997</c:v>
                </c:pt>
                <c:pt idx="154">
                  <c:v>0.15062093920027875</c:v>
                </c:pt>
                <c:pt idx="155">
                  <c:v>0.16930215275769797</c:v>
                </c:pt>
                <c:pt idx="156">
                  <c:v>0.16811907754798991</c:v>
                </c:pt>
                <c:pt idx="157">
                  <c:v>0.1685341802710412</c:v>
                </c:pt>
                <c:pt idx="158">
                  <c:v>0.14480295654412673</c:v>
                </c:pt>
                <c:pt idx="159">
                  <c:v>0.14909606684509805</c:v>
                </c:pt>
                <c:pt idx="160">
                  <c:v>0.14977310243540895</c:v>
                </c:pt>
                <c:pt idx="161">
                  <c:v>0.14875081263229778</c:v>
                </c:pt>
                <c:pt idx="162">
                  <c:v>0.14908649814457542</c:v>
                </c:pt>
                <c:pt idx="163">
                  <c:v>0.14876577049468034</c:v>
                </c:pt>
                <c:pt idx="164">
                  <c:v>0.14849190500067452</c:v>
                </c:pt>
                <c:pt idx="165">
                  <c:v>0.15876074382457514</c:v>
                </c:pt>
                <c:pt idx="166">
                  <c:v>0.16295995750620987</c:v>
                </c:pt>
                <c:pt idx="167">
                  <c:v>0.162455238911382</c:v>
                </c:pt>
                <c:pt idx="168">
                  <c:v>0.16664033586404381</c:v>
                </c:pt>
                <c:pt idx="169">
                  <c:v>0.16360219818013425</c:v>
                </c:pt>
                <c:pt idx="170">
                  <c:v>0.1709271981908547</c:v>
                </c:pt>
                <c:pt idx="171">
                  <c:v>0.16704434072507424</c:v>
                </c:pt>
                <c:pt idx="172">
                  <c:v>0.16769285855640459</c:v>
                </c:pt>
                <c:pt idx="173">
                  <c:v>0.17174315795067752</c:v>
                </c:pt>
                <c:pt idx="174">
                  <c:v>0.17022174192731254</c:v>
                </c:pt>
                <c:pt idx="175">
                  <c:v>0.14692209238012355</c:v>
                </c:pt>
                <c:pt idx="176">
                  <c:v>0.13569670816402049</c:v>
                </c:pt>
                <c:pt idx="177">
                  <c:v>0.12615886687702738</c:v>
                </c:pt>
                <c:pt idx="178">
                  <c:v>0.12689006989923104</c:v>
                </c:pt>
                <c:pt idx="179">
                  <c:v>0.1199401672323067</c:v>
                </c:pt>
                <c:pt idx="180">
                  <c:v>0.11899708347996603</c:v>
                </c:pt>
                <c:pt idx="181">
                  <c:v>0.11881018853484548</c:v>
                </c:pt>
                <c:pt idx="182">
                  <c:v>0.12185501519046026</c:v>
                </c:pt>
                <c:pt idx="183">
                  <c:v>0.12215357802038762</c:v>
                </c:pt>
                <c:pt idx="184">
                  <c:v>0.12129810631231924</c:v>
                </c:pt>
                <c:pt idx="185">
                  <c:v>0.10763142585552965</c:v>
                </c:pt>
                <c:pt idx="186">
                  <c:v>9.9925325135393553E-2</c:v>
                </c:pt>
                <c:pt idx="187">
                  <c:v>9.885221645675453E-2</c:v>
                </c:pt>
                <c:pt idx="188">
                  <c:v>9.2745662641962254E-2</c:v>
                </c:pt>
                <c:pt idx="189">
                  <c:v>9.2117774552236312E-2</c:v>
                </c:pt>
                <c:pt idx="190">
                  <c:v>8.2520346693301008E-2</c:v>
                </c:pt>
                <c:pt idx="191">
                  <c:v>7.8779571010855351E-2</c:v>
                </c:pt>
                <c:pt idx="192">
                  <c:v>7.826357743866981E-2</c:v>
                </c:pt>
                <c:pt idx="193">
                  <c:v>7.3371894484504332E-2</c:v>
                </c:pt>
                <c:pt idx="194">
                  <c:v>7.3977888394671107E-2</c:v>
                </c:pt>
                <c:pt idx="195">
                  <c:v>7.0760674833713871E-2</c:v>
                </c:pt>
                <c:pt idx="196">
                  <c:v>8.1089481589665308E-2</c:v>
                </c:pt>
                <c:pt idx="197">
                  <c:v>8.1241858103342363E-2</c:v>
                </c:pt>
                <c:pt idx="198">
                  <c:v>8.0326051707937121E-2</c:v>
                </c:pt>
                <c:pt idx="199">
                  <c:v>8.0224040632378923E-2</c:v>
                </c:pt>
                <c:pt idx="200">
                  <c:v>8.2163212667255014E-2</c:v>
                </c:pt>
                <c:pt idx="201">
                  <c:v>8.1880195467658567E-2</c:v>
                </c:pt>
                <c:pt idx="202">
                  <c:v>8.0678244270000907E-2</c:v>
                </c:pt>
                <c:pt idx="203">
                  <c:v>0.11824154907484273</c:v>
                </c:pt>
                <c:pt idx="204">
                  <c:v>0.11821948446904211</c:v>
                </c:pt>
                <c:pt idx="205">
                  <c:v>0.1209900969975477</c:v>
                </c:pt>
                <c:pt idx="206">
                  <c:v>0.13446408901421075</c:v>
                </c:pt>
                <c:pt idx="207">
                  <c:v>0.13208924199906763</c:v>
                </c:pt>
                <c:pt idx="208">
                  <c:v>0.13203788246381862</c:v>
                </c:pt>
                <c:pt idx="209">
                  <c:v>0.13589430376390557</c:v>
                </c:pt>
                <c:pt idx="210">
                  <c:v>0.14323350961178918</c:v>
                </c:pt>
                <c:pt idx="211">
                  <c:v>0.14348956258892667</c:v>
                </c:pt>
                <c:pt idx="212">
                  <c:v>0.15608873143302077</c:v>
                </c:pt>
                <c:pt idx="213">
                  <c:v>0.15646901248469106</c:v>
                </c:pt>
                <c:pt idx="214">
                  <c:v>0.15728545080975717</c:v>
                </c:pt>
                <c:pt idx="215">
                  <c:v>0.1597850048784184</c:v>
                </c:pt>
                <c:pt idx="216">
                  <c:v>0.15332108400114408</c:v>
                </c:pt>
                <c:pt idx="217">
                  <c:v>0.16544076231914928</c:v>
                </c:pt>
                <c:pt idx="218">
                  <c:v>0.16613139583122846</c:v>
                </c:pt>
                <c:pt idx="219">
                  <c:v>0.18291678376415371</c:v>
                </c:pt>
                <c:pt idx="220">
                  <c:v>0.1849540903451134</c:v>
                </c:pt>
                <c:pt idx="221">
                  <c:v>0.19389776337422146</c:v>
                </c:pt>
                <c:pt idx="222">
                  <c:v>0.19339517881698948</c:v>
                </c:pt>
                <c:pt idx="223">
                  <c:v>0.17326469073746414</c:v>
                </c:pt>
                <c:pt idx="224">
                  <c:v>0.1792874146391345</c:v>
                </c:pt>
                <c:pt idx="225">
                  <c:v>0.17667639071884403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C-4D46-AF9F-C0D89E9E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813784"/>
        <c:axId val="53880886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Volatility!$E$1:$E$21</c15:sqref>
                        </c15:formulaRef>
                      </c:ext>
                    </c:extLst>
                    <c:strCache>
                      <c:ptCount val="21"/>
                      <c:pt idx="0">
                        <c:v>NIFTY BANK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Volatility!$E$22:$E$247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6.964270597306077E-2</c:v>
                      </c:pt>
                      <c:pt idx="1">
                        <c:v>6.9542057493289039E-2</c:v>
                      </c:pt>
                      <c:pt idx="2">
                        <c:v>7.6882645960117638E-2</c:v>
                      </c:pt>
                      <c:pt idx="3">
                        <c:v>7.2246061228724692E-2</c:v>
                      </c:pt>
                      <c:pt idx="4">
                        <c:v>6.8506307707408412E-2</c:v>
                      </c:pt>
                      <c:pt idx="5">
                        <c:v>7.9598768320582491E-2</c:v>
                      </c:pt>
                      <c:pt idx="6">
                        <c:v>7.9798295998497332E-2</c:v>
                      </c:pt>
                      <c:pt idx="7">
                        <c:v>7.5233035226394795E-2</c:v>
                      </c:pt>
                      <c:pt idx="8">
                        <c:v>7.2743663251631605E-2</c:v>
                      </c:pt>
                      <c:pt idx="9">
                        <c:v>7.6986680723224066E-2</c:v>
                      </c:pt>
                      <c:pt idx="10">
                        <c:v>7.3946456493202153E-2</c:v>
                      </c:pt>
                      <c:pt idx="11">
                        <c:v>7.1050017625655756E-2</c:v>
                      </c:pt>
                      <c:pt idx="12">
                        <c:v>7.3639778390241981E-2</c:v>
                      </c:pt>
                      <c:pt idx="13">
                        <c:v>8.2777937117286357E-2</c:v>
                      </c:pt>
                      <c:pt idx="14">
                        <c:v>8.2439667669554684E-2</c:v>
                      </c:pt>
                      <c:pt idx="15">
                        <c:v>8.4383505491210736E-2</c:v>
                      </c:pt>
                      <c:pt idx="16">
                        <c:v>8.5271873785903798E-2</c:v>
                      </c:pt>
                      <c:pt idx="17">
                        <c:v>8.5489273125998577E-2</c:v>
                      </c:pt>
                      <c:pt idx="18">
                        <c:v>8.1615657954542425E-2</c:v>
                      </c:pt>
                      <c:pt idx="19">
                        <c:v>8.5883313377122739E-2</c:v>
                      </c:pt>
                      <c:pt idx="20">
                        <c:v>8.3825216586947915E-2</c:v>
                      </c:pt>
                      <c:pt idx="21">
                        <c:v>8.3323052410573306E-2</c:v>
                      </c:pt>
                      <c:pt idx="22">
                        <c:v>7.8695953671223784E-2</c:v>
                      </c:pt>
                      <c:pt idx="23">
                        <c:v>7.9769236256709911E-2</c:v>
                      </c:pt>
                      <c:pt idx="24">
                        <c:v>7.9751841726550532E-2</c:v>
                      </c:pt>
                      <c:pt idx="25">
                        <c:v>6.7201994161991407E-2</c:v>
                      </c:pt>
                      <c:pt idx="26">
                        <c:v>6.6250998480442441E-2</c:v>
                      </c:pt>
                      <c:pt idx="27">
                        <c:v>6.6218287161751585E-2</c:v>
                      </c:pt>
                      <c:pt idx="28">
                        <c:v>6.8269178121171212E-2</c:v>
                      </c:pt>
                      <c:pt idx="29">
                        <c:v>6.8619513742134403E-2</c:v>
                      </c:pt>
                      <c:pt idx="30">
                        <c:v>6.8872722217757351E-2</c:v>
                      </c:pt>
                      <c:pt idx="31">
                        <c:v>7.3022294573608593E-2</c:v>
                      </c:pt>
                      <c:pt idx="32">
                        <c:v>6.7835404610843614E-2</c:v>
                      </c:pt>
                      <c:pt idx="33">
                        <c:v>5.8415753362190292E-2</c:v>
                      </c:pt>
                      <c:pt idx="34">
                        <c:v>5.9205694867488598E-2</c:v>
                      </c:pt>
                      <c:pt idx="35">
                        <c:v>5.9984598082388908E-2</c:v>
                      </c:pt>
                      <c:pt idx="36">
                        <c:v>6.4546136177644403E-2</c:v>
                      </c:pt>
                      <c:pt idx="37">
                        <c:v>6.4750267763145908E-2</c:v>
                      </c:pt>
                      <c:pt idx="38">
                        <c:v>6.5060585473124807E-2</c:v>
                      </c:pt>
                      <c:pt idx="39">
                        <c:v>5.9106088592038759E-2</c:v>
                      </c:pt>
                      <c:pt idx="40">
                        <c:v>6.5099287658128682E-2</c:v>
                      </c:pt>
                      <c:pt idx="41">
                        <c:v>6.6828075003258894E-2</c:v>
                      </c:pt>
                      <c:pt idx="42">
                        <c:v>7.3560117252468568E-2</c:v>
                      </c:pt>
                      <c:pt idx="43">
                        <c:v>8.0929122744651263E-2</c:v>
                      </c:pt>
                      <c:pt idx="44">
                        <c:v>8.4892702700625433E-2</c:v>
                      </c:pt>
                      <c:pt idx="45">
                        <c:v>9.521706981023223E-2</c:v>
                      </c:pt>
                      <c:pt idx="46">
                        <c:v>0.10543548231207056</c:v>
                      </c:pt>
                      <c:pt idx="47">
                        <c:v>0.1076886472111271</c:v>
                      </c:pt>
                      <c:pt idx="48">
                        <c:v>0.10875266257768107</c:v>
                      </c:pt>
                      <c:pt idx="49">
                        <c:v>0.10842908103412749</c:v>
                      </c:pt>
                      <c:pt idx="50">
                        <c:v>0.12926354156756675</c:v>
                      </c:pt>
                      <c:pt idx="51">
                        <c:v>0.12660518390301082</c:v>
                      </c:pt>
                      <c:pt idx="52">
                        <c:v>0.15561214968661913</c:v>
                      </c:pt>
                      <c:pt idx="53">
                        <c:v>0.15598829525546204</c:v>
                      </c:pt>
                      <c:pt idx="54">
                        <c:v>0.15616188555489985</c:v>
                      </c:pt>
                      <c:pt idx="55">
                        <c:v>0.15497102386452907</c:v>
                      </c:pt>
                      <c:pt idx="56">
                        <c:v>0.15511509814961769</c:v>
                      </c:pt>
                      <c:pt idx="57">
                        <c:v>0.15504618207826815</c:v>
                      </c:pt>
                      <c:pt idx="58">
                        <c:v>0.15502873825864191</c:v>
                      </c:pt>
                      <c:pt idx="59">
                        <c:v>0.15503902660624655</c:v>
                      </c:pt>
                      <c:pt idx="60">
                        <c:v>0.15624436610963205</c:v>
                      </c:pt>
                      <c:pt idx="61">
                        <c:v>0.16175671977566233</c:v>
                      </c:pt>
                      <c:pt idx="62">
                        <c:v>0.15838404490681388</c:v>
                      </c:pt>
                      <c:pt idx="63">
                        <c:v>0.1529204691230629</c:v>
                      </c:pt>
                      <c:pt idx="64">
                        <c:v>0.16139076221884402</c:v>
                      </c:pt>
                      <c:pt idx="65">
                        <c:v>0.15421834163829765</c:v>
                      </c:pt>
                      <c:pt idx="66">
                        <c:v>0.14941752127541344</c:v>
                      </c:pt>
                      <c:pt idx="67">
                        <c:v>0.14936935068722432</c:v>
                      </c:pt>
                      <c:pt idx="68">
                        <c:v>0.14834464760104518</c:v>
                      </c:pt>
                      <c:pt idx="69">
                        <c:v>0.14624529959984436</c:v>
                      </c:pt>
                      <c:pt idx="70">
                        <c:v>0.13123603301553449</c:v>
                      </c:pt>
                      <c:pt idx="71">
                        <c:v>0.13910880303400688</c:v>
                      </c:pt>
                      <c:pt idx="72">
                        <c:v>0.12612409609488495</c:v>
                      </c:pt>
                      <c:pt idx="73">
                        <c:v>0.12712560047780366</c:v>
                      </c:pt>
                      <c:pt idx="74">
                        <c:v>0.14663838710354538</c:v>
                      </c:pt>
                      <c:pt idx="75">
                        <c:v>0.17778495851590415</c:v>
                      </c:pt>
                      <c:pt idx="76">
                        <c:v>0.18659321206866983</c:v>
                      </c:pt>
                      <c:pt idx="77">
                        <c:v>0.19716469790789526</c:v>
                      </c:pt>
                      <c:pt idx="78">
                        <c:v>0.19739553731183335</c:v>
                      </c:pt>
                      <c:pt idx="79">
                        <c:v>0.20825114753819415</c:v>
                      </c:pt>
                      <c:pt idx="80">
                        <c:v>0.2175611865707559</c:v>
                      </c:pt>
                      <c:pt idx="81">
                        <c:v>0.21355462643165019</c:v>
                      </c:pt>
                      <c:pt idx="82">
                        <c:v>0.21660930980832604</c:v>
                      </c:pt>
                      <c:pt idx="83">
                        <c:v>0.23528138068190585</c:v>
                      </c:pt>
                      <c:pt idx="84">
                        <c:v>0.23513227806285986</c:v>
                      </c:pt>
                      <c:pt idx="85">
                        <c:v>0.25357370338851509</c:v>
                      </c:pt>
                      <c:pt idx="86">
                        <c:v>0.27493927258527401</c:v>
                      </c:pt>
                      <c:pt idx="87">
                        <c:v>0.29273035083554894</c:v>
                      </c:pt>
                      <c:pt idx="88">
                        <c:v>0.30045882897429238</c:v>
                      </c:pt>
                      <c:pt idx="89">
                        <c:v>0.31681534954754209</c:v>
                      </c:pt>
                      <c:pt idx="90">
                        <c:v>0.33757384666375861</c:v>
                      </c:pt>
                      <c:pt idx="91">
                        <c:v>0.33904949406116952</c:v>
                      </c:pt>
                      <c:pt idx="92">
                        <c:v>0.35017004047020528</c:v>
                      </c:pt>
                      <c:pt idx="93">
                        <c:v>0.3491269368772944</c:v>
                      </c:pt>
                      <c:pt idx="94">
                        <c:v>0.406868033606128</c:v>
                      </c:pt>
                      <c:pt idx="95">
                        <c:v>0.39618690441913651</c:v>
                      </c:pt>
                      <c:pt idx="96">
                        <c:v>0.39826543245986434</c:v>
                      </c:pt>
                      <c:pt idx="97">
                        <c:v>0.3912472730024954</c:v>
                      </c:pt>
                      <c:pt idx="98">
                        <c:v>0.39108762159564586</c:v>
                      </c:pt>
                      <c:pt idx="99">
                        <c:v>0.3797877459098134</c:v>
                      </c:pt>
                      <c:pt idx="100">
                        <c:v>0.37875838170959236</c:v>
                      </c:pt>
                      <c:pt idx="101">
                        <c:v>0.37807042865008522</c:v>
                      </c:pt>
                      <c:pt idx="102">
                        <c:v>0.37990574862954712</c:v>
                      </c:pt>
                      <c:pt idx="103">
                        <c:v>0.35653997358464024</c:v>
                      </c:pt>
                      <c:pt idx="104">
                        <c:v>0.36198685969542266</c:v>
                      </c:pt>
                      <c:pt idx="105">
                        <c:v>0.33098984661565334</c:v>
                      </c:pt>
                      <c:pt idx="106">
                        <c:v>0.32396307294726495</c:v>
                      </c:pt>
                      <c:pt idx="107">
                        <c:v>0.32374766589576048</c:v>
                      </c:pt>
                      <c:pt idx="108">
                        <c:v>0.30602149706206061</c:v>
                      </c:pt>
                      <c:pt idx="109">
                        <c:v>0.26951753417286756</c:v>
                      </c:pt>
                      <c:pt idx="110">
                        <c:v>0.26042951490098948</c:v>
                      </c:pt>
                      <c:pt idx="111">
                        <c:v>0.2625376085777264</c:v>
                      </c:pt>
                      <c:pt idx="112">
                        <c:v>0.26834702078041972</c:v>
                      </c:pt>
                      <c:pt idx="113">
                        <c:v>0.26841484244367853</c:v>
                      </c:pt>
                      <c:pt idx="114">
                        <c:v>0.18556565268086431</c:v>
                      </c:pt>
                      <c:pt idx="115">
                        <c:v>0.18545904295625684</c:v>
                      </c:pt>
                      <c:pt idx="116">
                        <c:v>0.17749523188778843</c:v>
                      </c:pt>
                      <c:pt idx="117">
                        <c:v>0.17703727056955951</c:v>
                      </c:pt>
                      <c:pt idx="118">
                        <c:v>0.1770946890966964</c:v>
                      </c:pt>
                      <c:pt idx="119">
                        <c:v>0.17819561013116716</c:v>
                      </c:pt>
                      <c:pt idx="120">
                        <c:v>0.17370875760445245</c:v>
                      </c:pt>
                      <c:pt idx="121">
                        <c:v>0.17335792202871217</c:v>
                      </c:pt>
                      <c:pt idx="122">
                        <c:v>0.16331105265325885</c:v>
                      </c:pt>
                      <c:pt idx="123">
                        <c:v>0.1633159409941296</c:v>
                      </c:pt>
                      <c:pt idx="124">
                        <c:v>0.16586427302373796</c:v>
                      </c:pt>
                      <c:pt idx="125">
                        <c:v>0.18764586625127314</c:v>
                      </c:pt>
                      <c:pt idx="126">
                        <c:v>0.18737988809388895</c:v>
                      </c:pt>
                      <c:pt idx="127">
                        <c:v>0.18011452024083349</c:v>
                      </c:pt>
                      <c:pt idx="128">
                        <c:v>0.18409897778885692</c:v>
                      </c:pt>
                      <c:pt idx="129">
                        <c:v>0.18493098407136702</c:v>
                      </c:pt>
                      <c:pt idx="130">
                        <c:v>0.18507038971872683</c:v>
                      </c:pt>
                      <c:pt idx="131">
                        <c:v>0.18718573866979193</c:v>
                      </c:pt>
                      <c:pt idx="132">
                        <c:v>0.15933002671972893</c:v>
                      </c:pt>
                      <c:pt idx="133">
                        <c:v>0.16003918702830067</c:v>
                      </c:pt>
                      <c:pt idx="134">
                        <c:v>0.15596366614142157</c:v>
                      </c:pt>
                      <c:pt idx="135">
                        <c:v>0.16435464377223485</c:v>
                      </c:pt>
                      <c:pt idx="136">
                        <c:v>0.15206215345226493</c:v>
                      </c:pt>
                      <c:pt idx="137">
                        <c:v>0.15155923072607019</c:v>
                      </c:pt>
                      <c:pt idx="138">
                        <c:v>0.17783684495237551</c:v>
                      </c:pt>
                      <c:pt idx="139">
                        <c:v>0.17419725588213983</c:v>
                      </c:pt>
                      <c:pt idx="140">
                        <c:v>0.17265152491306879</c:v>
                      </c:pt>
                      <c:pt idx="141">
                        <c:v>0.17132398524488754</c:v>
                      </c:pt>
                      <c:pt idx="142">
                        <c:v>0.1715544763306423</c:v>
                      </c:pt>
                      <c:pt idx="143">
                        <c:v>0.17299926040928512</c:v>
                      </c:pt>
                      <c:pt idx="144">
                        <c:v>0.17065434705635582</c:v>
                      </c:pt>
                      <c:pt idx="145">
                        <c:v>0.16401016553900538</c:v>
                      </c:pt>
                      <c:pt idx="146">
                        <c:v>0.17114598135488551</c:v>
                      </c:pt>
                      <c:pt idx="147">
                        <c:v>0.16934464434420465</c:v>
                      </c:pt>
                      <c:pt idx="148">
                        <c:v>0.16589252923391037</c:v>
                      </c:pt>
                      <c:pt idx="149">
                        <c:v>0.15924018671393425</c:v>
                      </c:pt>
                      <c:pt idx="150">
                        <c:v>0.15994702375522779</c:v>
                      </c:pt>
                      <c:pt idx="151">
                        <c:v>0.15945501299557469</c:v>
                      </c:pt>
                      <c:pt idx="152">
                        <c:v>0.16043414331534633</c:v>
                      </c:pt>
                      <c:pt idx="153">
                        <c:v>0.16074320402132658</c:v>
                      </c:pt>
                      <c:pt idx="154">
                        <c:v>0.15629939073072097</c:v>
                      </c:pt>
                      <c:pt idx="155">
                        <c:v>0.17352309382287073</c:v>
                      </c:pt>
                      <c:pt idx="156">
                        <c:v>0.17509434471010718</c:v>
                      </c:pt>
                      <c:pt idx="157">
                        <c:v>0.18006471625739071</c:v>
                      </c:pt>
                      <c:pt idx="158">
                        <c:v>0.14892915700863968</c:v>
                      </c:pt>
                      <c:pt idx="159">
                        <c:v>0.15390219413778328</c:v>
                      </c:pt>
                      <c:pt idx="160">
                        <c:v>0.15480574575762535</c:v>
                      </c:pt>
                      <c:pt idx="161">
                        <c:v>0.15428806191625119</c:v>
                      </c:pt>
                      <c:pt idx="162">
                        <c:v>0.1633564003919703</c:v>
                      </c:pt>
                      <c:pt idx="163">
                        <c:v>0.16649559981343404</c:v>
                      </c:pt>
                      <c:pt idx="164">
                        <c:v>0.16595014095415961</c:v>
                      </c:pt>
                      <c:pt idx="165">
                        <c:v>0.16521736446984375</c:v>
                      </c:pt>
                      <c:pt idx="166">
                        <c:v>0.15560620015138207</c:v>
                      </c:pt>
                      <c:pt idx="167">
                        <c:v>0.15587943846811092</c:v>
                      </c:pt>
                      <c:pt idx="168">
                        <c:v>0.15648403836347433</c:v>
                      </c:pt>
                      <c:pt idx="169">
                        <c:v>0.15735117910569643</c:v>
                      </c:pt>
                      <c:pt idx="170">
                        <c:v>0.15691335217116861</c:v>
                      </c:pt>
                      <c:pt idx="171">
                        <c:v>0.15689874612300342</c:v>
                      </c:pt>
                      <c:pt idx="172">
                        <c:v>0.1571624775190594</c:v>
                      </c:pt>
                      <c:pt idx="173">
                        <c:v>0.16790884032040759</c:v>
                      </c:pt>
                      <c:pt idx="174">
                        <c:v>0.16912920184213678</c:v>
                      </c:pt>
                      <c:pt idx="175">
                        <c:v>0.14206242590323315</c:v>
                      </c:pt>
                      <c:pt idx="176">
                        <c:v>0.14000615819290499</c:v>
                      </c:pt>
                      <c:pt idx="177">
                        <c:v>0.13259764632654999</c:v>
                      </c:pt>
                      <c:pt idx="178">
                        <c:v>0.13246987305338073</c:v>
                      </c:pt>
                      <c:pt idx="179">
                        <c:v>0.1267057025026368</c:v>
                      </c:pt>
                      <c:pt idx="180">
                        <c:v>0.1283545472718112</c:v>
                      </c:pt>
                      <c:pt idx="181">
                        <c:v>0.12885889357762342</c:v>
                      </c:pt>
                      <c:pt idx="182">
                        <c:v>0.11385672701961251</c:v>
                      </c:pt>
                      <c:pt idx="183">
                        <c:v>0.10880826189951381</c:v>
                      </c:pt>
                      <c:pt idx="184">
                        <c:v>0.10949665978519524</c:v>
                      </c:pt>
                      <c:pt idx="185">
                        <c:v>0.10028523090609059</c:v>
                      </c:pt>
                      <c:pt idx="186">
                        <c:v>9.4816698537609739E-2</c:v>
                      </c:pt>
                      <c:pt idx="187">
                        <c:v>9.5735868948060424E-2</c:v>
                      </c:pt>
                      <c:pt idx="188">
                        <c:v>9.4576821342239006E-2</c:v>
                      </c:pt>
                      <c:pt idx="189">
                        <c:v>9.1747360902346323E-2</c:v>
                      </c:pt>
                      <c:pt idx="190">
                        <c:v>8.9025702337105467E-2</c:v>
                      </c:pt>
                      <c:pt idx="191">
                        <c:v>9.0837248526682318E-2</c:v>
                      </c:pt>
                      <c:pt idx="192">
                        <c:v>9.0625045084558389E-2</c:v>
                      </c:pt>
                      <c:pt idx="193">
                        <c:v>7.3681115765817942E-2</c:v>
                      </c:pt>
                      <c:pt idx="194">
                        <c:v>8.0179478754971847E-2</c:v>
                      </c:pt>
                      <c:pt idx="195">
                        <c:v>8.0810542137183083E-2</c:v>
                      </c:pt>
                      <c:pt idx="196">
                        <c:v>7.9135960641185624E-2</c:v>
                      </c:pt>
                      <c:pt idx="197">
                        <c:v>7.7005165872878201E-2</c:v>
                      </c:pt>
                      <c:pt idx="198">
                        <c:v>7.8690988365008221E-2</c:v>
                      </c:pt>
                      <c:pt idx="199">
                        <c:v>7.9599557327962936E-2</c:v>
                      </c:pt>
                      <c:pt idx="200">
                        <c:v>7.8083216215896076E-2</c:v>
                      </c:pt>
                      <c:pt idx="201">
                        <c:v>7.8835044252644759E-2</c:v>
                      </c:pt>
                      <c:pt idx="202">
                        <c:v>7.9511228860305774E-2</c:v>
                      </c:pt>
                      <c:pt idx="203">
                        <c:v>9.2835344707384401E-2</c:v>
                      </c:pt>
                      <c:pt idx="204">
                        <c:v>9.9257704566918653E-2</c:v>
                      </c:pt>
                      <c:pt idx="205">
                        <c:v>9.9952484349443399E-2</c:v>
                      </c:pt>
                      <c:pt idx="206">
                        <c:v>0.10068264827338122</c:v>
                      </c:pt>
                      <c:pt idx="207">
                        <c:v>9.9157040562928123E-2</c:v>
                      </c:pt>
                      <c:pt idx="208">
                        <c:v>9.9340449926522578E-2</c:v>
                      </c:pt>
                      <c:pt idx="209">
                        <c:v>0.10243887418174531</c:v>
                      </c:pt>
                      <c:pt idx="210">
                        <c:v>0.11996260476982749</c:v>
                      </c:pt>
                      <c:pt idx="211">
                        <c:v>0.12058264246527742</c:v>
                      </c:pt>
                      <c:pt idx="212">
                        <c:v>0.13668484175255771</c:v>
                      </c:pt>
                      <c:pt idx="213">
                        <c:v>0.12932263039345573</c:v>
                      </c:pt>
                      <c:pt idx="214">
                        <c:v>0.1311307403486551</c:v>
                      </c:pt>
                      <c:pt idx="215">
                        <c:v>0.13102405459260447</c:v>
                      </c:pt>
                      <c:pt idx="216">
                        <c:v>0.1318171353506771</c:v>
                      </c:pt>
                      <c:pt idx="217">
                        <c:v>0.13630237834185055</c:v>
                      </c:pt>
                      <c:pt idx="218">
                        <c:v>0.13586692187841784</c:v>
                      </c:pt>
                      <c:pt idx="219">
                        <c:v>0.13829814264130413</c:v>
                      </c:pt>
                      <c:pt idx="220">
                        <c:v>0.1465276926862803</c:v>
                      </c:pt>
                      <c:pt idx="221">
                        <c:v>0.1468424463193034</c:v>
                      </c:pt>
                      <c:pt idx="222">
                        <c:v>0.15206228115251405</c:v>
                      </c:pt>
                      <c:pt idx="223">
                        <c:v>0.14393141267252949</c:v>
                      </c:pt>
                      <c:pt idx="224">
                        <c:v>0.14394803453098878</c:v>
                      </c:pt>
                      <c:pt idx="225">
                        <c:v>0.14326824059952922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28C-4D46-AF9F-C0D89E9EA5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Volatility!$F$1:$F$21</c15:sqref>
                        </c15:formulaRef>
                      </c:ext>
                    </c:extLst>
                    <c:strCache>
                      <c:ptCount val="21"/>
                      <c:pt idx="0">
                        <c:v>NIFTY IT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Volatility!$F$22:$F$247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0.18776799527504875</c:v>
                      </c:pt>
                      <c:pt idx="1">
                        <c:v>0.18780855181759656</c:v>
                      </c:pt>
                      <c:pt idx="2">
                        <c:v>0.17414811484901369</c:v>
                      </c:pt>
                      <c:pt idx="3">
                        <c:v>0.17387209189939848</c:v>
                      </c:pt>
                      <c:pt idx="4">
                        <c:v>0.17542940457392853</c:v>
                      </c:pt>
                      <c:pt idx="5">
                        <c:v>0.1787574470286945</c:v>
                      </c:pt>
                      <c:pt idx="6">
                        <c:v>0.17804071643029268</c:v>
                      </c:pt>
                      <c:pt idx="7">
                        <c:v>0.17651573545208152</c:v>
                      </c:pt>
                      <c:pt idx="8">
                        <c:v>0.17433748489800405</c:v>
                      </c:pt>
                      <c:pt idx="9">
                        <c:v>0.17394969765954765</c:v>
                      </c:pt>
                      <c:pt idx="10">
                        <c:v>0.16742230238884448</c:v>
                      </c:pt>
                      <c:pt idx="11">
                        <c:v>0.17139599063774047</c:v>
                      </c:pt>
                      <c:pt idx="12">
                        <c:v>0.16761550295357677</c:v>
                      </c:pt>
                      <c:pt idx="13">
                        <c:v>0.16421544783443848</c:v>
                      </c:pt>
                      <c:pt idx="14">
                        <c:v>0.17052167380019137</c:v>
                      </c:pt>
                      <c:pt idx="15">
                        <c:v>0.16179706605531607</c:v>
                      </c:pt>
                      <c:pt idx="16">
                        <c:v>0.16185203856458874</c:v>
                      </c:pt>
                      <c:pt idx="17">
                        <c:v>0.15541101429811763</c:v>
                      </c:pt>
                      <c:pt idx="18">
                        <c:v>0.15539289483486929</c:v>
                      </c:pt>
                      <c:pt idx="19">
                        <c:v>0.15263031075809488</c:v>
                      </c:pt>
                      <c:pt idx="20">
                        <c:v>0.11510508359372194</c:v>
                      </c:pt>
                      <c:pt idx="21">
                        <c:v>0.12082363554627139</c:v>
                      </c:pt>
                      <c:pt idx="22">
                        <c:v>0.11848627381284238</c:v>
                      </c:pt>
                      <c:pt idx="23">
                        <c:v>0.13489342554837244</c:v>
                      </c:pt>
                      <c:pt idx="24">
                        <c:v>0.13710177532086865</c:v>
                      </c:pt>
                      <c:pt idx="25">
                        <c:v>0.1329956064087609</c:v>
                      </c:pt>
                      <c:pt idx="26">
                        <c:v>0.14016821237296079</c:v>
                      </c:pt>
                      <c:pt idx="27">
                        <c:v>0.14356316509898734</c:v>
                      </c:pt>
                      <c:pt idx="28">
                        <c:v>0.14634840892233397</c:v>
                      </c:pt>
                      <c:pt idx="29">
                        <c:v>0.14689967919174848</c:v>
                      </c:pt>
                      <c:pt idx="30">
                        <c:v>0.14691413543027282</c:v>
                      </c:pt>
                      <c:pt idx="31">
                        <c:v>0.1385541143715891</c:v>
                      </c:pt>
                      <c:pt idx="32">
                        <c:v>0.14313894913867331</c:v>
                      </c:pt>
                      <c:pt idx="33">
                        <c:v>0.14486895645626033</c:v>
                      </c:pt>
                      <c:pt idx="34">
                        <c:v>0.15411511433694924</c:v>
                      </c:pt>
                      <c:pt idx="35">
                        <c:v>0.1675416863730797</c:v>
                      </c:pt>
                      <c:pt idx="36">
                        <c:v>0.16526563847985895</c:v>
                      </c:pt>
                      <c:pt idx="37">
                        <c:v>0.1643483272299455</c:v>
                      </c:pt>
                      <c:pt idx="38">
                        <c:v>0.16579190580557462</c:v>
                      </c:pt>
                      <c:pt idx="39">
                        <c:v>0.16758387535019836</c:v>
                      </c:pt>
                      <c:pt idx="40">
                        <c:v>0.20586571870913678</c:v>
                      </c:pt>
                      <c:pt idx="41">
                        <c:v>0.20276625293754189</c:v>
                      </c:pt>
                      <c:pt idx="42">
                        <c:v>0.21595771137664721</c:v>
                      </c:pt>
                      <c:pt idx="43">
                        <c:v>0.2008448757650759</c:v>
                      </c:pt>
                      <c:pt idx="44">
                        <c:v>0.2024796946484918</c:v>
                      </c:pt>
                      <c:pt idx="45">
                        <c:v>0.20193992531206981</c:v>
                      </c:pt>
                      <c:pt idx="46">
                        <c:v>0.20134886941389704</c:v>
                      </c:pt>
                      <c:pt idx="47">
                        <c:v>0.19977255945514943</c:v>
                      </c:pt>
                      <c:pt idx="48">
                        <c:v>0.19986640164381089</c:v>
                      </c:pt>
                      <c:pt idx="49">
                        <c:v>0.20326445558417949</c:v>
                      </c:pt>
                      <c:pt idx="50">
                        <c:v>0.20247296008907964</c:v>
                      </c:pt>
                      <c:pt idx="51">
                        <c:v>0.20267342314451292</c:v>
                      </c:pt>
                      <c:pt idx="52">
                        <c:v>0.20160659809436388</c:v>
                      </c:pt>
                      <c:pt idx="53">
                        <c:v>0.29190487402674481</c:v>
                      </c:pt>
                      <c:pt idx="54">
                        <c:v>0.28154120274895911</c:v>
                      </c:pt>
                      <c:pt idx="55">
                        <c:v>0.27808855623464313</c:v>
                      </c:pt>
                      <c:pt idx="56">
                        <c:v>0.2775112226304855</c:v>
                      </c:pt>
                      <c:pt idx="57">
                        <c:v>0.27827086178651705</c:v>
                      </c:pt>
                      <c:pt idx="58">
                        <c:v>0.28054017137111226</c:v>
                      </c:pt>
                      <c:pt idx="59">
                        <c:v>0.33363776329290956</c:v>
                      </c:pt>
                      <c:pt idx="60">
                        <c:v>0.29949558533480586</c:v>
                      </c:pt>
                      <c:pt idx="61">
                        <c:v>0.30150940060600478</c:v>
                      </c:pt>
                      <c:pt idx="62">
                        <c:v>0.30486974092396296</c:v>
                      </c:pt>
                      <c:pt idx="63">
                        <c:v>0.30506365757875353</c:v>
                      </c:pt>
                      <c:pt idx="64">
                        <c:v>0.29966059377597304</c:v>
                      </c:pt>
                      <c:pt idx="65">
                        <c:v>0.29866170697539401</c:v>
                      </c:pt>
                      <c:pt idx="66">
                        <c:v>0.29207296409725941</c:v>
                      </c:pt>
                      <c:pt idx="67">
                        <c:v>0.31580942643873827</c:v>
                      </c:pt>
                      <c:pt idx="68">
                        <c:v>0.33101002120696082</c:v>
                      </c:pt>
                      <c:pt idx="69">
                        <c:v>0.33381105170673681</c:v>
                      </c:pt>
                      <c:pt idx="70">
                        <c:v>0.33146481978023828</c:v>
                      </c:pt>
                      <c:pt idx="71">
                        <c:v>0.3306557186746773</c:v>
                      </c:pt>
                      <c:pt idx="72">
                        <c:v>0.32049594567885453</c:v>
                      </c:pt>
                      <c:pt idx="73">
                        <c:v>0.26875103905106573</c:v>
                      </c:pt>
                      <c:pt idx="74">
                        <c:v>0.27064192354978878</c:v>
                      </c:pt>
                      <c:pt idx="75">
                        <c:v>0.2718125792969398</c:v>
                      </c:pt>
                      <c:pt idx="76">
                        <c:v>0.2704148988412009</c:v>
                      </c:pt>
                      <c:pt idx="77">
                        <c:v>0.26736175051624766</c:v>
                      </c:pt>
                      <c:pt idx="78">
                        <c:v>0.26642890850637596</c:v>
                      </c:pt>
                      <c:pt idx="79">
                        <c:v>0.20508249678021084</c:v>
                      </c:pt>
                      <c:pt idx="80">
                        <c:v>0.20371228631052826</c:v>
                      </c:pt>
                      <c:pt idx="81">
                        <c:v>0.20213831534394885</c:v>
                      </c:pt>
                      <c:pt idx="82">
                        <c:v>0.22897014265473975</c:v>
                      </c:pt>
                      <c:pt idx="83">
                        <c:v>0.24831361382489284</c:v>
                      </c:pt>
                      <c:pt idx="84">
                        <c:v>0.2670483644084089</c:v>
                      </c:pt>
                      <c:pt idx="85">
                        <c:v>0.26663287418089121</c:v>
                      </c:pt>
                      <c:pt idx="86">
                        <c:v>0.2747344634640338</c:v>
                      </c:pt>
                      <c:pt idx="87">
                        <c:v>0.21879404738023708</c:v>
                      </c:pt>
                      <c:pt idx="88">
                        <c:v>0.21042769767609806</c:v>
                      </c:pt>
                      <c:pt idx="89">
                        <c:v>0.21646149520853836</c:v>
                      </c:pt>
                      <c:pt idx="90">
                        <c:v>0.23147541187903878</c:v>
                      </c:pt>
                      <c:pt idx="91">
                        <c:v>0.24806330973745977</c:v>
                      </c:pt>
                      <c:pt idx="92">
                        <c:v>0.24897877062355417</c:v>
                      </c:pt>
                      <c:pt idx="93">
                        <c:v>0.26203745621162461</c:v>
                      </c:pt>
                      <c:pt idx="94">
                        <c:v>0.2621472074064134</c:v>
                      </c:pt>
                      <c:pt idx="95">
                        <c:v>0.26207593254536965</c:v>
                      </c:pt>
                      <c:pt idx="96">
                        <c:v>0.27221005877652871</c:v>
                      </c:pt>
                      <c:pt idx="97">
                        <c:v>0.27168904852968884</c:v>
                      </c:pt>
                      <c:pt idx="98">
                        <c:v>0.28685246606637754</c:v>
                      </c:pt>
                      <c:pt idx="99">
                        <c:v>0.2768175990910946</c:v>
                      </c:pt>
                      <c:pt idx="100">
                        <c:v>0.27662788138363054</c:v>
                      </c:pt>
                      <c:pt idx="101">
                        <c:v>0.27495110955409946</c:v>
                      </c:pt>
                      <c:pt idx="102">
                        <c:v>0.26129092178723545</c:v>
                      </c:pt>
                      <c:pt idx="103">
                        <c:v>0.27251227828398417</c:v>
                      </c:pt>
                      <c:pt idx="104">
                        <c:v>0.26885113271349365</c:v>
                      </c:pt>
                      <c:pt idx="105">
                        <c:v>0.33155325178112222</c:v>
                      </c:pt>
                      <c:pt idx="106">
                        <c:v>0.33545074001133857</c:v>
                      </c:pt>
                      <c:pt idx="107">
                        <c:v>0.33611952504960468</c:v>
                      </c:pt>
                      <c:pt idx="108">
                        <c:v>0.33801251837386664</c:v>
                      </c:pt>
                      <c:pt idx="109">
                        <c:v>0.33292026106059469</c:v>
                      </c:pt>
                      <c:pt idx="110">
                        <c:v>0.32589876763136022</c:v>
                      </c:pt>
                      <c:pt idx="111">
                        <c:v>0.31030472561503769</c:v>
                      </c:pt>
                      <c:pt idx="112">
                        <c:v>0.30999877525351649</c:v>
                      </c:pt>
                      <c:pt idx="113">
                        <c:v>0.29332783913718952</c:v>
                      </c:pt>
                      <c:pt idx="114">
                        <c:v>0.29710623807514225</c:v>
                      </c:pt>
                      <c:pt idx="115">
                        <c:v>0.29641019059698948</c:v>
                      </c:pt>
                      <c:pt idx="116">
                        <c:v>0.31545351237005342</c:v>
                      </c:pt>
                      <c:pt idx="117">
                        <c:v>0.31534971061213196</c:v>
                      </c:pt>
                      <c:pt idx="118">
                        <c:v>0.29449653191159125</c:v>
                      </c:pt>
                      <c:pt idx="119">
                        <c:v>0.29785116735168837</c:v>
                      </c:pt>
                      <c:pt idx="120">
                        <c:v>0.31700744269549197</c:v>
                      </c:pt>
                      <c:pt idx="121">
                        <c:v>0.34409975736518544</c:v>
                      </c:pt>
                      <c:pt idx="122">
                        <c:v>0.34278458765018427</c:v>
                      </c:pt>
                      <c:pt idx="123">
                        <c:v>0.31724183474625312</c:v>
                      </c:pt>
                      <c:pt idx="124">
                        <c:v>0.31515084439727925</c:v>
                      </c:pt>
                      <c:pt idx="125">
                        <c:v>0.25094758291053587</c:v>
                      </c:pt>
                      <c:pt idx="126">
                        <c:v>0.23820459651535589</c:v>
                      </c:pt>
                      <c:pt idx="127">
                        <c:v>0.2370959692575805</c:v>
                      </c:pt>
                      <c:pt idx="128">
                        <c:v>0.23536442718352818</c:v>
                      </c:pt>
                      <c:pt idx="129">
                        <c:v>0.25371626328178015</c:v>
                      </c:pt>
                      <c:pt idx="130">
                        <c:v>0.28946990002778067</c:v>
                      </c:pt>
                      <c:pt idx="131">
                        <c:v>0.35789495301631591</c:v>
                      </c:pt>
                      <c:pt idx="132">
                        <c:v>0.35763888845266573</c:v>
                      </c:pt>
                      <c:pt idx="133">
                        <c:v>0.35838791861938452</c:v>
                      </c:pt>
                      <c:pt idx="134">
                        <c:v>0.35810684015587219</c:v>
                      </c:pt>
                      <c:pt idx="135">
                        <c:v>0.35833694357607143</c:v>
                      </c:pt>
                      <c:pt idx="136">
                        <c:v>0.3334368549589356</c:v>
                      </c:pt>
                      <c:pt idx="137">
                        <c:v>0.33616866023648984</c:v>
                      </c:pt>
                      <c:pt idx="138">
                        <c:v>0.32786025656843454</c:v>
                      </c:pt>
                      <c:pt idx="139">
                        <c:v>0.3264803488235854</c:v>
                      </c:pt>
                      <c:pt idx="140">
                        <c:v>0.32109170068547699</c:v>
                      </c:pt>
                      <c:pt idx="141">
                        <c:v>0.30019519606298589</c:v>
                      </c:pt>
                      <c:pt idx="142">
                        <c:v>0.3026305994051407</c:v>
                      </c:pt>
                      <c:pt idx="143">
                        <c:v>0.32763366937152077</c:v>
                      </c:pt>
                      <c:pt idx="144">
                        <c:v>0.32949043358495717</c:v>
                      </c:pt>
                      <c:pt idx="145">
                        <c:v>0.33666732397351534</c:v>
                      </c:pt>
                      <c:pt idx="146">
                        <c:v>0.34706542922966671</c:v>
                      </c:pt>
                      <c:pt idx="147">
                        <c:v>0.34778458167836251</c:v>
                      </c:pt>
                      <c:pt idx="148">
                        <c:v>0.34737781916967525</c:v>
                      </c:pt>
                      <c:pt idx="149">
                        <c:v>0.33821335245650958</c:v>
                      </c:pt>
                      <c:pt idx="150">
                        <c:v>0.28872726301425783</c:v>
                      </c:pt>
                      <c:pt idx="151">
                        <c:v>0.29809147322625945</c:v>
                      </c:pt>
                      <c:pt idx="152">
                        <c:v>0.30791599979942758</c:v>
                      </c:pt>
                      <c:pt idx="153">
                        <c:v>0.3070729852326981</c:v>
                      </c:pt>
                      <c:pt idx="154">
                        <c:v>0.319442876583099</c:v>
                      </c:pt>
                      <c:pt idx="155">
                        <c:v>0.32239233202637424</c:v>
                      </c:pt>
                      <c:pt idx="156">
                        <c:v>0.32146787303225238</c:v>
                      </c:pt>
                      <c:pt idx="157">
                        <c:v>0.32449733626481914</c:v>
                      </c:pt>
                      <c:pt idx="158">
                        <c:v>0.34778757318573544</c:v>
                      </c:pt>
                      <c:pt idx="159">
                        <c:v>0.34929866721108993</c:v>
                      </c:pt>
                      <c:pt idx="160">
                        <c:v>0.34481161866102589</c:v>
                      </c:pt>
                      <c:pt idx="161">
                        <c:v>0.34430133053454148</c:v>
                      </c:pt>
                      <c:pt idx="162">
                        <c:v>0.34657636046792989</c:v>
                      </c:pt>
                      <c:pt idx="163">
                        <c:v>0.31671064345041716</c:v>
                      </c:pt>
                      <c:pt idx="164">
                        <c:v>0.31799601672320427</c:v>
                      </c:pt>
                      <c:pt idx="165">
                        <c:v>0.31138543100903981</c:v>
                      </c:pt>
                      <c:pt idx="166">
                        <c:v>0.30451773217751965</c:v>
                      </c:pt>
                      <c:pt idx="167">
                        <c:v>0.30269527847218713</c:v>
                      </c:pt>
                      <c:pt idx="168">
                        <c:v>0.30681734705474512</c:v>
                      </c:pt>
                      <c:pt idx="169">
                        <c:v>0.29874083486504266</c:v>
                      </c:pt>
                      <c:pt idx="170">
                        <c:v>0.2849114647941256</c:v>
                      </c:pt>
                      <c:pt idx="171">
                        <c:v>0.25037585990421524</c:v>
                      </c:pt>
                      <c:pt idx="172">
                        <c:v>0.26000676115767601</c:v>
                      </c:pt>
                      <c:pt idx="173">
                        <c:v>0.27287394461952247</c:v>
                      </c:pt>
                      <c:pt idx="174">
                        <c:v>0.271067788410709</c:v>
                      </c:pt>
                      <c:pt idx="175">
                        <c:v>0.26258204262049206</c:v>
                      </c:pt>
                      <c:pt idx="176">
                        <c:v>0.26670921951746263</c:v>
                      </c:pt>
                      <c:pt idx="177">
                        <c:v>0.26380932717970179</c:v>
                      </c:pt>
                      <c:pt idx="178">
                        <c:v>0.23924519240586287</c:v>
                      </c:pt>
                      <c:pt idx="179">
                        <c:v>0.23308136822360465</c:v>
                      </c:pt>
                      <c:pt idx="180">
                        <c:v>0.24092241134886183</c:v>
                      </c:pt>
                      <c:pt idx="181">
                        <c:v>0.24083895674865236</c:v>
                      </c:pt>
                      <c:pt idx="182">
                        <c:v>0.23729580043540902</c:v>
                      </c:pt>
                      <c:pt idx="183">
                        <c:v>0.24828118518153436</c:v>
                      </c:pt>
                      <c:pt idx="184">
                        <c:v>0.25879845075291757</c:v>
                      </c:pt>
                      <c:pt idx="185">
                        <c:v>0.2511294912773081</c:v>
                      </c:pt>
                      <c:pt idx="186">
                        <c:v>0.25118720274640122</c:v>
                      </c:pt>
                      <c:pt idx="187">
                        <c:v>0.25227170236626856</c:v>
                      </c:pt>
                      <c:pt idx="188">
                        <c:v>0.24056641682288213</c:v>
                      </c:pt>
                      <c:pt idx="189">
                        <c:v>0.21141978441314369</c:v>
                      </c:pt>
                      <c:pt idx="190">
                        <c:v>0.20041348490694594</c:v>
                      </c:pt>
                      <c:pt idx="191">
                        <c:v>0.2000818432572832</c:v>
                      </c:pt>
                      <c:pt idx="192">
                        <c:v>0.2312516122333072</c:v>
                      </c:pt>
                      <c:pt idx="193">
                        <c:v>0.19867054915406179</c:v>
                      </c:pt>
                      <c:pt idx="194">
                        <c:v>0.19997122665065931</c:v>
                      </c:pt>
                      <c:pt idx="195">
                        <c:v>0.20491580413473701</c:v>
                      </c:pt>
                      <c:pt idx="196">
                        <c:v>0.20436069251016958</c:v>
                      </c:pt>
                      <c:pt idx="197">
                        <c:v>0.19740110284089524</c:v>
                      </c:pt>
                      <c:pt idx="198">
                        <c:v>0.21086631805850153</c:v>
                      </c:pt>
                      <c:pt idx="199">
                        <c:v>0.2084016056241462</c:v>
                      </c:pt>
                      <c:pt idx="200">
                        <c:v>0.22948958403666339</c:v>
                      </c:pt>
                      <c:pt idx="201">
                        <c:v>0.22798286028938461</c:v>
                      </c:pt>
                      <c:pt idx="202">
                        <c:v>0.22870991513475558</c:v>
                      </c:pt>
                      <c:pt idx="203">
                        <c:v>0.24017993690473496</c:v>
                      </c:pt>
                      <c:pt idx="204">
                        <c:v>0.23715695542952817</c:v>
                      </c:pt>
                      <c:pt idx="205">
                        <c:v>0.23529699462520931</c:v>
                      </c:pt>
                      <c:pt idx="206">
                        <c:v>0.23398634760890771</c:v>
                      </c:pt>
                      <c:pt idx="207">
                        <c:v>0.23401818311696998</c:v>
                      </c:pt>
                      <c:pt idx="208">
                        <c:v>0.23415686073325689</c:v>
                      </c:pt>
                      <c:pt idx="209">
                        <c:v>0.23237606497088417</c:v>
                      </c:pt>
                      <c:pt idx="210">
                        <c:v>0.22893469722517618</c:v>
                      </c:pt>
                      <c:pt idx="211">
                        <c:v>0.22902311451709417</c:v>
                      </c:pt>
                      <c:pt idx="212">
                        <c:v>0.17842971611883893</c:v>
                      </c:pt>
                      <c:pt idx="213">
                        <c:v>0.18128889783539501</c:v>
                      </c:pt>
                      <c:pt idx="214">
                        <c:v>0.17387128532592896</c:v>
                      </c:pt>
                      <c:pt idx="215">
                        <c:v>0.19835193132278847</c:v>
                      </c:pt>
                      <c:pt idx="216">
                        <c:v>0.19841915577509539</c:v>
                      </c:pt>
                      <c:pt idx="217">
                        <c:v>0.19850006743898452</c:v>
                      </c:pt>
                      <c:pt idx="218">
                        <c:v>0.18948649450111907</c:v>
                      </c:pt>
                      <c:pt idx="219">
                        <c:v>0.18979347702285501</c:v>
                      </c:pt>
                      <c:pt idx="220">
                        <c:v>0.19402213287628536</c:v>
                      </c:pt>
                      <c:pt idx="221">
                        <c:v>0.19577983503079197</c:v>
                      </c:pt>
                      <c:pt idx="222">
                        <c:v>0.2719124015963002</c:v>
                      </c:pt>
                      <c:pt idx="223">
                        <c:v>0.26399739946523026</c:v>
                      </c:pt>
                      <c:pt idx="224">
                        <c:v>0.26258015043616945</c:v>
                      </c:pt>
                      <c:pt idx="225">
                        <c:v>0.29250711912970778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28C-4D46-AF9F-C0D89E9EA5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Volatility!$G$1:$G$21</c15:sqref>
                        </c15:formulaRef>
                      </c:ext>
                    </c:extLst>
                    <c:strCache>
                      <c:ptCount val="21"/>
                      <c:pt idx="0">
                        <c:v>NIFTY FMCG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Volatility!$G$22:$G$247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6.9161641303635682E-2</c:v>
                      </c:pt>
                      <c:pt idx="1">
                        <c:v>6.9348470692703404E-2</c:v>
                      </c:pt>
                      <c:pt idx="2">
                        <c:v>6.8430059652810848E-2</c:v>
                      </c:pt>
                      <c:pt idx="3">
                        <c:v>6.7420031379921933E-2</c:v>
                      </c:pt>
                      <c:pt idx="4">
                        <c:v>6.6775716398213711E-2</c:v>
                      </c:pt>
                      <c:pt idx="5">
                        <c:v>7.0777632946759317E-2</c:v>
                      </c:pt>
                      <c:pt idx="6">
                        <c:v>6.1290445770478152E-2</c:v>
                      </c:pt>
                      <c:pt idx="7">
                        <c:v>6.0622914939956543E-2</c:v>
                      </c:pt>
                      <c:pt idx="8">
                        <c:v>6.0412009484192689E-2</c:v>
                      </c:pt>
                      <c:pt idx="9">
                        <c:v>6.0592166606872055E-2</c:v>
                      </c:pt>
                      <c:pt idx="10">
                        <c:v>6.3221056939000167E-2</c:v>
                      </c:pt>
                      <c:pt idx="11">
                        <c:v>6.5992720239868102E-2</c:v>
                      </c:pt>
                      <c:pt idx="12">
                        <c:v>6.3831930969900447E-2</c:v>
                      </c:pt>
                      <c:pt idx="13">
                        <c:v>7.6257341091707134E-2</c:v>
                      </c:pt>
                      <c:pt idx="14">
                        <c:v>7.471537192360593E-2</c:v>
                      </c:pt>
                      <c:pt idx="15">
                        <c:v>7.4658286099059987E-2</c:v>
                      </c:pt>
                      <c:pt idx="16">
                        <c:v>7.363426352499404E-2</c:v>
                      </c:pt>
                      <c:pt idx="17">
                        <c:v>6.9963678230812759E-2</c:v>
                      </c:pt>
                      <c:pt idx="18">
                        <c:v>7.4710144053272101E-2</c:v>
                      </c:pt>
                      <c:pt idx="19">
                        <c:v>7.2431310954283651E-2</c:v>
                      </c:pt>
                      <c:pt idx="20">
                        <c:v>7.3936325837626465E-2</c:v>
                      </c:pt>
                      <c:pt idx="21">
                        <c:v>7.3722474497958809E-2</c:v>
                      </c:pt>
                      <c:pt idx="22">
                        <c:v>7.5563712339881448E-2</c:v>
                      </c:pt>
                      <c:pt idx="23">
                        <c:v>7.4770248685706073E-2</c:v>
                      </c:pt>
                      <c:pt idx="24">
                        <c:v>7.6786932450749537E-2</c:v>
                      </c:pt>
                      <c:pt idx="25">
                        <c:v>7.3937109669982709E-2</c:v>
                      </c:pt>
                      <c:pt idx="26">
                        <c:v>7.3915205840632797E-2</c:v>
                      </c:pt>
                      <c:pt idx="27">
                        <c:v>7.3496550828396762E-2</c:v>
                      </c:pt>
                      <c:pt idx="28">
                        <c:v>7.3900940404949406E-2</c:v>
                      </c:pt>
                      <c:pt idx="29">
                        <c:v>7.9436784896621357E-2</c:v>
                      </c:pt>
                      <c:pt idx="30">
                        <c:v>0.13585188780384719</c:v>
                      </c:pt>
                      <c:pt idx="31">
                        <c:v>0.13918100382434465</c:v>
                      </c:pt>
                      <c:pt idx="32">
                        <c:v>0.1425213512104507</c:v>
                      </c:pt>
                      <c:pt idx="33">
                        <c:v>0.13760146511249843</c:v>
                      </c:pt>
                      <c:pt idx="34">
                        <c:v>0.13759451822898627</c:v>
                      </c:pt>
                      <c:pt idx="35">
                        <c:v>0.14054150349216363</c:v>
                      </c:pt>
                      <c:pt idx="36">
                        <c:v>0.14375878833177697</c:v>
                      </c:pt>
                      <c:pt idx="37">
                        <c:v>0.14642039527660003</c:v>
                      </c:pt>
                      <c:pt idx="38">
                        <c:v>0.14298098953078248</c:v>
                      </c:pt>
                      <c:pt idx="39">
                        <c:v>0.14344153456458841</c:v>
                      </c:pt>
                      <c:pt idx="40">
                        <c:v>0.14317259397041224</c:v>
                      </c:pt>
                      <c:pt idx="41">
                        <c:v>0.14661617764979912</c:v>
                      </c:pt>
                      <c:pt idx="42">
                        <c:v>0.15153166904110035</c:v>
                      </c:pt>
                      <c:pt idx="43">
                        <c:v>0.14889784829871969</c:v>
                      </c:pt>
                      <c:pt idx="44">
                        <c:v>0.15490068010215638</c:v>
                      </c:pt>
                      <c:pt idx="45">
                        <c:v>0.15522030777969598</c:v>
                      </c:pt>
                      <c:pt idx="46">
                        <c:v>0.15495547393085615</c:v>
                      </c:pt>
                      <c:pt idx="47">
                        <c:v>0.15445918748933241</c:v>
                      </c:pt>
                      <c:pt idx="48">
                        <c:v>0.15546418940149537</c:v>
                      </c:pt>
                      <c:pt idx="49">
                        <c:v>0.16249632463529198</c:v>
                      </c:pt>
                      <c:pt idx="50">
                        <c:v>0.14462035373572005</c:v>
                      </c:pt>
                      <c:pt idx="51">
                        <c:v>0.15044298664342076</c:v>
                      </c:pt>
                      <c:pt idx="52">
                        <c:v>0.14827423974275789</c:v>
                      </c:pt>
                      <c:pt idx="53">
                        <c:v>0.14828434901770235</c:v>
                      </c:pt>
                      <c:pt idx="54">
                        <c:v>0.14827743457398726</c:v>
                      </c:pt>
                      <c:pt idx="55">
                        <c:v>0.17104359572756794</c:v>
                      </c:pt>
                      <c:pt idx="56">
                        <c:v>0.16761040035644389</c:v>
                      </c:pt>
                      <c:pt idx="57">
                        <c:v>0.16620196697114784</c:v>
                      </c:pt>
                      <c:pt idx="58">
                        <c:v>0.16592997406503363</c:v>
                      </c:pt>
                      <c:pt idx="59">
                        <c:v>0.16553040638009825</c:v>
                      </c:pt>
                      <c:pt idx="60">
                        <c:v>0.17826793898418422</c:v>
                      </c:pt>
                      <c:pt idx="61">
                        <c:v>0.1792317569313682</c:v>
                      </c:pt>
                      <c:pt idx="62">
                        <c:v>0.17486940774127907</c:v>
                      </c:pt>
                      <c:pt idx="63">
                        <c:v>0.17826161139834731</c:v>
                      </c:pt>
                      <c:pt idx="64">
                        <c:v>0.1856353425027924</c:v>
                      </c:pt>
                      <c:pt idx="65">
                        <c:v>0.18553928784499008</c:v>
                      </c:pt>
                      <c:pt idx="66">
                        <c:v>0.18553062920191862</c:v>
                      </c:pt>
                      <c:pt idx="67">
                        <c:v>0.18317011659348453</c:v>
                      </c:pt>
                      <c:pt idx="68">
                        <c:v>0.17971048941942416</c:v>
                      </c:pt>
                      <c:pt idx="69">
                        <c:v>0.17418524888739245</c:v>
                      </c:pt>
                      <c:pt idx="70">
                        <c:v>0.16442575887873914</c:v>
                      </c:pt>
                      <c:pt idx="71">
                        <c:v>0.1623594217012154</c:v>
                      </c:pt>
                      <c:pt idx="72">
                        <c:v>0.17505948339964655</c:v>
                      </c:pt>
                      <c:pt idx="73">
                        <c:v>0.17561470517609251</c:v>
                      </c:pt>
                      <c:pt idx="74">
                        <c:v>0.17528093397869635</c:v>
                      </c:pt>
                      <c:pt idx="75">
                        <c:v>0.15947693089837042</c:v>
                      </c:pt>
                      <c:pt idx="76">
                        <c:v>0.1629948202846746</c:v>
                      </c:pt>
                      <c:pt idx="77">
                        <c:v>0.165044488392209</c:v>
                      </c:pt>
                      <c:pt idx="78">
                        <c:v>0.17251005112909229</c:v>
                      </c:pt>
                      <c:pt idx="79">
                        <c:v>0.17255241932902995</c:v>
                      </c:pt>
                      <c:pt idx="80">
                        <c:v>0.17103848469427499</c:v>
                      </c:pt>
                      <c:pt idx="81">
                        <c:v>0.16719893587324522</c:v>
                      </c:pt>
                      <c:pt idx="82">
                        <c:v>0.1613618560758675</c:v>
                      </c:pt>
                      <c:pt idx="83">
                        <c:v>0.16741706827158437</c:v>
                      </c:pt>
                      <c:pt idx="84">
                        <c:v>0.16368722181429832</c:v>
                      </c:pt>
                      <c:pt idx="85">
                        <c:v>0.17421103280082606</c:v>
                      </c:pt>
                      <c:pt idx="86">
                        <c:v>0.18056271713182465</c:v>
                      </c:pt>
                      <c:pt idx="87">
                        <c:v>0.19915367707423831</c:v>
                      </c:pt>
                      <c:pt idx="88">
                        <c:v>0.20430295668638554</c:v>
                      </c:pt>
                      <c:pt idx="89">
                        <c:v>0.20908772394574371</c:v>
                      </c:pt>
                      <c:pt idx="90">
                        <c:v>0.21638040390978622</c:v>
                      </c:pt>
                      <c:pt idx="91">
                        <c:v>0.21758687629507037</c:v>
                      </c:pt>
                      <c:pt idx="92">
                        <c:v>0.21508123377063598</c:v>
                      </c:pt>
                      <c:pt idx="93">
                        <c:v>0.21739019274710764</c:v>
                      </c:pt>
                      <c:pt idx="94">
                        <c:v>0.22697684589569686</c:v>
                      </c:pt>
                      <c:pt idx="95">
                        <c:v>0.22142656606340522</c:v>
                      </c:pt>
                      <c:pt idx="96">
                        <c:v>0.22364219751228825</c:v>
                      </c:pt>
                      <c:pt idx="97">
                        <c:v>0.22487624614330659</c:v>
                      </c:pt>
                      <c:pt idx="98">
                        <c:v>0.22354932872071107</c:v>
                      </c:pt>
                      <c:pt idx="99">
                        <c:v>0.22258167484520716</c:v>
                      </c:pt>
                      <c:pt idx="100">
                        <c:v>0.23819036297518043</c:v>
                      </c:pt>
                      <c:pt idx="101">
                        <c:v>0.23628341506905873</c:v>
                      </c:pt>
                      <c:pt idx="102">
                        <c:v>0.25081794583104428</c:v>
                      </c:pt>
                      <c:pt idx="103">
                        <c:v>0.227858814081247</c:v>
                      </c:pt>
                      <c:pt idx="104">
                        <c:v>0.22870937967778449</c:v>
                      </c:pt>
                      <c:pt idx="105">
                        <c:v>0.20633604467992084</c:v>
                      </c:pt>
                      <c:pt idx="106">
                        <c:v>0.20455904024173024</c:v>
                      </c:pt>
                      <c:pt idx="107">
                        <c:v>0.19945642722504245</c:v>
                      </c:pt>
                      <c:pt idx="108">
                        <c:v>0.18736346754322383</c:v>
                      </c:pt>
                      <c:pt idx="109">
                        <c:v>0.17839252715895298</c:v>
                      </c:pt>
                      <c:pt idx="110">
                        <c:v>0.17638600089931961</c:v>
                      </c:pt>
                      <c:pt idx="111">
                        <c:v>0.17599254618275709</c:v>
                      </c:pt>
                      <c:pt idx="112">
                        <c:v>0.17804950619864413</c:v>
                      </c:pt>
                      <c:pt idx="113">
                        <c:v>0.18311262086399854</c:v>
                      </c:pt>
                      <c:pt idx="114">
                        <c:v>0.17840031297928488</c:v>
                      </c:pt>
                      <c:pt idx="115">
                        <c:v>0.17778795702109823</c:v>
                      </c:pt>
                      <c:pt idx="116">
                        <c:v>0.18649905583865289</c:v>
                      </c:pt>
                      <c:pt idx="117">
                        <c:v>0.17752283810064137</c:v>
                      </c:pt>
                      <c:pt idx="118">
                        <c:v>0.17181772024649189</c:v>
                      </c:pt>
                      <c:pt idx="119">
                        <c:v>0.1720713109550602</c:v>
                      </c:pt>
                      <c:pt idx="120">
                        <c:v>0.14836838732318997</c:v>
                      </c:pt>
                      <c:pt idx="121">
                        <c:v>0.14798048494189919</c:v>
                      </c:pt>
                      <c:pt idx="122">
                        <c:v>0.12005472369217128</c:v>
                      </c:pt>
                      <c:pt idx="123">
                        <c:v>0.11758176960702392</c:v>
                      </c:pt>
                      <c:pt idx="124">
                        <c:v>0.11759801231197291</c:v>
                      </c:pt>
                      <c:pt idx="125">
                        <c:v>0.11518481147513926</c:v>
                      </c:pt>
                      <c:pt idx="126">
                        <c:v>0.11319992467997972</c:v>
                      </c:pt>
                      <c:pt idx="127">
                        <c:v>0.11289805200594065</c:v>
                      </c:pt>
                      <c:pt idx="128">
                        <c:v>0.10205038348146367</c:v>
                      </c:pt>
                      <c:pt idx="129">
                        <c:v>0.11982442126362439</c:v>
                      </c:pt>
                      <c:pt idx="130">
                        <c:v>0.12328074492601684</c:v>
                      </c:pt>
                      <c:pt idx="131">
                        <c:v>0.12113474555544283</c:v>
                      </c:pt>
                      <c:pt idx="132">
                        <c:v>0.1226019330506808</c:v>
                      </c:pt>
                      <c:pt idx="133">
                        <c:v>0.12267708300114843</c:v>
                      </c:pt>
                      <c:pt idx="134">
                        <c:v>0.12151262295688432</c:v>
                      </c:pt>
                      <c:pt idx="135">
                        <c:v>0.12630108751571711</c:v>
                      </c:pt>
                      <c:pt idx="136">
                        <c:v>0.12636259512853121</c:v>
                      </c:pt>
                      <c:pt idx="137">
                        <c:v>0.12782236599978522</c:v>
                      </c:pt>
                      <c:pt idx="138">
                        <c:v>0.1298438071040848</c:v>
                      </c:pt>
                      <c:pt idx="139">
                        <c:v>0.12918486513275326</c:v>
                      </c:pt>
                      <c:pt idx="140">
                        <c:v>0.13853599699364819</c:v>
                      </c:pt>
                      <c:pt idx="141">
                        <c:v>0.13850698604450121</c:v>
                      </c:pt>
                      <c:pt idx="142">
                        <c:v>0.137177790842684</c:v>
                      </c:pt>
                      <c:pt idx="143">
                        <c:v>0.13633296947519535</c:v>
                      </c:pt>
                      <c:pt idx="144">
                        <c:v>0.13686332696218423</c:v>
                      </c:pt>
                      <c:pt idx="145">
                        <c:v>0.13804873847922916</c:v>
                      </c:pt>
                      <c:pt idx="146">
                        <c:v>0.13787980067516187</c:v>
                      </c:pt>
                      <c:pt idx="147">
                        <c:v>0.14067844157596521</c:v>
                      </c:pt>
                      <c:pt idx="148">
                        <c:v>0.13163878799244663</c:v>
                      </c:pt>
                      <c:pt idx="149">
                        <c:v>0.1041579804058775</c:v>
                      </c:pt>
                      <c:pt idx="150">
                        <c:v>0.12442634970220921</c:v>
                      </c:pt>
                      <c:pt idx="151">
                        <c:v>0.11779617708582042</c:v>
                      </c:pt>
                      <c:pt idx="152">
                        <c:v>0.11796802998377658</c:v>
                      </c:pt>
                      <c:pt idx="153">
                        <c:v>0.11796685186648652</c:v>
                      </c:pt>
                      <c:pt idx="154">
                        <c:v>0.11584713336576029</c:v>
                      </c:pt>
                      <c:pt idx="155">
                        <c:v>0.14866294171139599</c:v>
                      </c:pt>
                      <c:pt idx="156">
                        <c:v>0.14642756922879319</c:v>
                      </c:pt>
                      <c:pt idx="157">
                        <c:v>0.14235019062050069</c:v>
                      </c:pt>
                      <c:pt idx="158">
                        <c:v>0.14592291144574435</c:v>
                      </c:pt>
                      <c:pt idx="159">
                        <c:v>0.14636493804408743</c:v>
                      </c:pt>
                      <c:pt idx="160">
                        <c:v>0.13909324367381481</c:v>
                      </c:pt>
                      <c:pt idx="161">
                        <c:v>0.13975278776477962</c:v>
                      </c:pt>
                      <c:pt idx="162">
                        <c:v>0.14237472562871986</c:v>
                      </c:pt>
                      <c:pt idx="163">
                        <c:v>0.14470232535712182</c:v>
                      </c:pt>
                      <c:pt idx="164">
                        <c:v>0.1443996796014973</c:v>
                      </c:pt>
                      <c:pt idx="165">
                        <c:v>0.14477857654712314</c:v>
                      </c:pt>
                      <c:pt idx="166">
                        <c:v>0.14556708430774215</c:v>
                      </c:pt>
                      <c:pt idx="167">
                        <c:v>0.14334583892304401</c:v>
                      </c:pt>
                      <c:pt idx="168">
                        <c:v>0.14661406715112862</c:v>
                      </c:pt>
                      <c:pt idx="169">
                        <c:v>0.15318264080793087</c:v>
                      </c:pt>
                      <c:pt idx="170">
                        <c:v>0.14626390128168051</c:v>
                      </c:pt>
                      <c:pt idx="171">
                        <c:v>0.14474509433029753</c:v>
                      </c:pt>
                      <c:pt idx="172">
                        <c:v>0.14906115953089624</c:v>
                      </c:pt>
                      <c:pt idx="173">
                        <c:v>0.16220857305771982</c:v>
                      </c:pt>
                      <c:pt idx="174">
                        <c:v>0.16500165341677214</c:v>
                      </c:pt>
                      <c:pt idx="175">
                        <c:v>0.13856580869488325</c:v>
                      </c:pt>
                      <c:pt idx="176">
                        <c:v>0.13596310407237133</c:v>
                      </c:pt>
                      <c:pt idx="177">
                        <c:v>0.13599487915911618</c:v>
                      </c:pt>
                      <c:pt idx="178">
                        <c:v>0.13064270892531199</c:v>
                      </c:pt>
                      <c:pt idx="179">
                        <c:v>0.13597568480620795</c:v>
                      </c:pt>
                      <c:pt idx="180">
                        <c:v>0.13748101518130737</c:v>
                      </c:pt>
                      <c:pt idx="181">
                        <c:v>0.14037917221211593</c:v>
                      </c:pt>
                      <c:pt idx="182">
                        <c:v>0.13921952988102779</c:v>
                      </c:pt>
                      <c:pt idx="183">
                        <c:v>0.14155146011766212</c:v>
                      </c:pt>
                      <c:pt idx="184">
                        <c:v>0.14341142281022246</c:v>
                      </c:pt>
                      <c:pt idx="185">
                        <c:v>0.14120207890205247</c:v>
                      </c:pt>
                      <c:pt idx="186">
                        <c:v>0.14522373481360829</c:v>
                      </c:pt>
                      <c:pt idx="187">
                        <c:v>0.1467162727143948</c:v>
                      </c:pt>
                      <c:pt idx="188">
                        <c:v>0.14000811846263331</c:v>
                      </c:pt>
                      <c:pt idx="189">
                        <c:v>0.13424813448723916</c:v>
                      </c:pt>
                      <c:pt idx="190">
                        <c:v>0.11966182073690237</c:v>
                      </c:pt>
                      <c:pt idx="191">
                        <c:v>0.11977113672543978</c:v>
                      </c:pt>
                      <c:pt idx="192">
                        <c:v>0.11644363882551918</c:v>
                      </c:pt>
                      <c:pt idx="193">
                        <c:v>0.1024509486372386</c:v>
                      </c:pt>
                      <c:pt idx="194">
                        <c:v>0.1112946102457969</c:v>
                      </c:pt>
                      <c:pt idx="195">
                        <c:v>0.11141342744092758</c:v>
                      </c:pt>
                      <c:pt idx="196">
                        <c:v>0.11128206292889024</c:v>
                      </c:pt>
                      <c:pt idx="197">
                        <c:v>0.1101213876229387</c:v>
                      </c:pt>
                      <c:pt idx="198">
                        <c:v>0.11023419738290587</c:v>
                      </c:pt>
                      <c:pt idx="199">
                        <c:v>0.10925228431926028</c:v>
                      </c:pt>
                      <c:pt idx="200">
                        <c:v>0.11069620129635166</c:v>
                      </c:pt>
                      <c:pt idx="201">
                        <c:v>0.10174597648824063</c:v>
                      </c:pt>
                      <c:pt idx="202">
                        <c:v>0.10176374452596532</c:v>
                      </c:pt>
                      <c:pt idx="203">
                        <c:v>9.8775673875339559E-2</c:v>
                      </c:pt>
                      <c:pt idx="204">
                        <c:v>0.11967862095876999</c:v>
                      </c:pt>
                      <c:pt idx="205">
                        <c:v>0.11940756719425594</c:v>
                      </c:pt>
                      <c:pt idx="206">
                        <c:v>0.11314481398284601</c:v>
                      </c:pt>
                      <c:pt idx="207">
                        <c:v>0.11934084171421437</c:v>
                      </c:pt>
                      <c:pt idx="208">
                        <c:v>0.11973876340626965</c:v>
                      </c:pt>
                      <c:pt idx="209">
                        <c:v>0.12994810863194037</c:v>
                      </c:pt>
                      <c:pt idx="210">
                        <c:v>0.13107953594110366</c:v>
                      </c:pt>
                      <c:pt idx="211">
                        <c:v>0.13194608986010459</c:v>
                      </c:pt>
                      <c:pt idx="212">
                        <c:v>0.14012941782547073</c:v>
                      </c:pt>
                      <c:pt idx="213">
                        <c:v>0.13255669064753497</c:v>
                      </c:pt>
                      <c:pt idx="214">
                        <c:v>0.12734219074669356</c:v>
                      </c:pt>
                      <c:pt idx="215">
                        <c:v>0.13658310318341377</c:v>
                      </c:pt>
                      <c:pt idx="216">
                        <c:v>0.15427387280222934</c:v>
                      </c:pt>
                      <c:pt idx="217">
                        <c:v>0.1638088507037761</c:v>
                      </c:pt>
                      <c:pt idx="218">
                        <c:v>0.16515954074703162</c:v>
                      </c:pt>
                      <c:pt idx="219">
                        <c:v>0.17781818505762173</c:v>
                      </c:pt>
                      <c:pt idx="220">
                        <c:v>0.19450628995442856</c:v>
                      </c:pt>
                      <c:pt idx="221">
                        <c:v>0.20288390863064318</c:v>
                      </c:pt>
                      <c:pt idx="222">
                        <c:v>0.20967567982483531</c:v>
                      </c:pt>
                      <c:pt idx="223">
                        <c:v>0.21332069332847028</c:v>
                      </c:pt>
                      <c:pt idx="224">
                        <c:v>0.20837756171908378</c:v>
                      </c:pt>
                      <c:pt idx="225">
                        <c:v>0.20862876338896502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28C-4D46-AF9F-C0D89E9EA5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Volatility!$H$1:$H$21</c15:sqref>
                        </c15:formulaRef>
                      </c:ext>
                    </c:extLst>
                    <c:strCache>
                      <c:ptCount val="21"/>
                      <c:pt idx="0">
                        <c:v>NIFTY AUTO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Volatility!$A$22:$A$247</c15:sqref>
                        </c15:formulaRef>
                      </c:ext>
                    </c:extLst>
                    <c:numCache>
                      <c:formatCode>m/d/yyyy</c:formatCode>
                      <c:ptCount val="226"/>
                      <c:pt idx="0">
                        <c:v>45980</c:v>
                      </c:pt>
                      <c:pt idx="1">
                        <c:v>45981</c:v>
                      </c:pt>
                      <c:pt idx="2">
                        <c:v>45982</c:v>
                      </c:pt>
                      <c:pt idx="3">
                        <c:v>45985</c:v>
                      </c:pt>
                      <c:pt idx="4">
                        <c:v>45986</c:v>
                      </c:pt>
                      <c:pt idx="5">
                        <c:v>45987</c:v>
                      </c:pt>
                      <c:pt idx="6">
                        <c:v>45988</c:v>
                      </c:pt>
                      <c:pt idx="7">
                        <c:v>45989</c:v>
                      </c:pt>
                      <c:pt idx="8">
                        <c:v>45992</c:v>
                      </c:pt>
                      <c:pt idx="9">
                        <c:v>45993</c:v>
                      </c:pt>
                      <c:pt idx="10">
                        <c:v>45994</c:v>
                      </c:pt>
                      <c:pt idx="11">
                        <c:v>45995</c:v>
                      </c:pt>
                      <c:pt idx="12">
                        <c:v>45996</c:v>
                      </c:pt>
                      <c:pt idx="13">
                        <c:v>45999</c:v>
                      </c:pt>
                      <c:pt idx="14">
                        <c:v>46000</c:v>
                      </c:pt>
                      <c:pt idx="15">
                        <c:v>46001</c:v>
                      </c:pt>
                      <c:pt idx="16">
                        <c:v>46002</c:v>
                      </c:pt>
                      <c:pt idx="17">
                        <c:v>46003</c:v>
                      </c:pt>
                      <c:pt idx="18">
                        <c:v>46006</c:v>
                      </c:pt>
                      <c:pt idx="19">
                        <c:v>46007</c:v>
                      </c:pt>
                      <c:pt idx="20">
                        <c:v>46008</c:v>
                      </c:pt>
                      <c:pt idx="21">
                        <c:v>46009</c:v>
                      </c:pt>
                      <c:pt idx="22">
                        <c:v>46010</c:v>
                      </c:pt>
                      <c:pt idx="23">
                        <c:v>46013</c:v>
                      </c:pt>
                      <c:pt idx="24">
                        <c:v>46014</c:v>
                      </c:pt>
                      <c:pt idx="25">
                        <c:v>46015</c:v>
                      </c:pt>
                      <c:pt idx="26">
                        <c:v>46017</c:v>
                      </c:pt>
                      <c:pt idx="27">
                        <c:v>46020</c:v>
                      </c:pt>
                      <c:pt idx="28">
                        <c:v>46021</c:v>
                      </c:pt>
                      <c:pt idx="29">
                        <c:v>46022</c:v>
                      </c:pt>
                      <c:pt idx="30">
                        <c:v>46023</c:v>
                      </c:pt>
                      <c:pt idx="31">
                        <c:v>46024</c:v>
                      </c:pt>
                      <c:pt idx="32">
                        <c:v>46027</c:v>
                      </c:pt>
                      <c:pt idx="33">
                        <c:v>46028</c:v>
                      </c:pt>
                      <c:pt idx="34">
                        <c:v>46029</c:v>
                      </c:pt>
                      <c:pt idx="35">
                        <c:v>46030</c:v>
                      </c:pt>
                      <c:pt idx="36">
                        <c:v>46031</c:v>
                      </c:pt>
                      <c:pt idx="37">
                        <c:v>46034</c:v>
                      </c:pt>
                      <c:pt idx="38">
                        <c:v>46035</c:v>
                      </c:pt>
                      <c:pt idx="39">
                        <c:v>46036</c:v>
                      </c:pt>
                      <c:pt idx="40">
                        <c:v>46038</c:v>
                      </c:pt>
                      <c:pt idx="41">
                        <c:v>46041</c:v>
                      </c:pt>
                      <c:pt idx="42">
                        <c:v>46042</c:v>
                      </c:pt>
                      <c:pt idx="43">
                        <c:v>46043</c:v>
                      </c:pt>
                      <c:pt idx="44">
                        <c:v>46044</c:v>
                      </c:pt>
                      <c:pt idx="45">
                        <c:v>46045</c:v>
                      </c:pt>
                      <c:pt idx="46">
                        <c:v>46049</c:v>
                      </c:pt>
                      <c:pt idx="47">
                        <c:v>46050</c:v>
                      </c:pt>
                      <c:pt idx="48">
                        <c:v>46051</c:v>
                      </c:pt>
                      <c:pt idx="49">
                        <c:v>46052</c:v>
                      </c:pt>
                      <c:pt idx="50">
                        <c:v>46054</c:v>
                      </c:pt>
                      <c:pt idx="51">
                        <c:v>46055</c:v>
                      </c:pt>
                      <c:pt idx="52">
                        <c:v>46056</c:v>
                      </c:pt>
                      <c:pt idx="53">
                        <c:v>46057</c:v>
                      </c:pt>
                      <c:pt idx="54">
                        <c:v>46058</c:v>
                      </c:pt>
                      <c:pt idx="55">
                        <c:v>46059</c:v>
                      </c:pt>
                      <c:pt idx="56">
                        <c:v>46062</c:v>
                      </c:pt>
                      <c:pt idx="57">
                        <c:v>46063</c:v>
                      </c:pt>
                      <c:pt idx="58">
                        <c:v>46064</c:v>
                      </c:pt>
                      <c:pt idx="59">
                        <c:v>46065</c:v>
                      </c:pt>
                      <c:pt idx="60">
                        <c:v>46066</c:v>
                      </c:pt>
                      <c:pt idx="61">
                        <c:v>46069</c:v>
                      </c:pt>
                      <c:pt idx="62">
                        <c:v>46070</c:v>
                      </c:pt>
                      <c:pt idx="63">
                        <c:v>46071</c:v>
                      </c:pt>
                      <c:pt idx="64">
                        <c:v>46072</c:v>
                      </c:pt>
                      <c:pt idx="65">
                        <c:v>46073</c:v>
                      </c:pt>
                      <c:pt idx="66">
                        <c:v>46076</c:v>
                      </c:pt>
                      <c:pt idx="67">
                        <c:v>46077</c:v>
                      </c:pt>
                      <c:pt idx="68">
                        <c:v>46078</c:v>
                      </c:pt>
                      <c:pt idx="69">
                        <c:v>46079</c:v>
                      </c:pt>
                      <c:pt idx="70">
                        <c:v>46080</c:v>
                      </c:pt>
                      <c:pt idx="71">
                        <c:v>46083</c:v>
                      </c:pt>
                      <c:pt idx="72">
                        <c:v>46085</c:v>
                      </c:pt>
                      <c:pt idx="73">
                        <c:v>46086</c:v>
                      </c:pt>
                      <c:pt idx="74">
                        <c:v>46087</c:v>
                      </c:pt>
                      <c:pt idx="75">
                        <c:v>46090</c:v>
                      </c:pt>
                      <c:pt idx="76">
                        <c:v>46091</c:v>
                      </c:pt>
                      <c:pt idx="77">
                        <c:v>46092</c:v>
                      </c:pt>
                      <c:pt idx="78">
                        <c:v>46093</c:v>
                      </c:pt>
                      <c:pt idx="79">
                        <c:v>46094</c:v>
                      </c:pt>
                      <c:pt idx="80">
                        <c:v>46097</c:v>
                      </c:pt>
                      <c:pt idx="81">
                        <c:v>46098</c:v>
                      </c:pt>
                      <c:pt idx="82">
                        <c:v>46099</c:v>
                      </c:pt>
                      <c:pt idx="83">
                        <c:v>46100</c:v>
                      </c:pt>
                      <c:pt idx="84">
                        <c:v>46101</c:v>
                      </c:pt>
                      <c:pt idx="85">
                        <c:v>46104</c:v>
                      </c:pt>
                      <c:pt idx="86">
                        <c:v>46105</c:v>
                      </c:pt>
                      <c:pt idx="87">
                        <c:v>46106</c:v>
                      </c:pt>
                      <c:pt idx="88">
                        <c:v>46108</c:v>
                      </c:pt>
                      <c:pt idx="89">
                        <c:v>46111</c:v>
                      </c:pt>
                      <c:pt idx="90">
                        <c:v>46113</c:v>
                      </c:pt>
                      <c:pt idx="91">
                        <c:v>46114</c:v>
                      </c:pt>
                      <c:pt idx="92">
                        <c:v>46118</c:v>
                      </c:pt>
                      <c:pt idx="93">
                        <c:v>46119</c:v>
                      </c:pt>
                      <c:pt idx="94">
                        <c:v>46120</c:v>
                      </c:pt>
                      <c:pt idx="95">
                        <c:v>46121</c:v>
                      </c:pt>
                      <c:pt idx="96">
                        <c:v>46122</c:v>
                      </c:pt>
                      <c:pt idx="97">
                        <c:v>46125</c:v>
                      </c:pt>
                      <c:pt idx="98">
                        <c:v>46127</c:v>
                      </c:pt>
                      <c:pt idx="99">
                        <c:v>46128</c:v>
                      </c:pt>
                      <c:pt idx="100">
                        <c:v>46129</c:v>
                      </c:pt>
                      <c:pt idx="101">
                        <c:v>46132</c:v>
                      </c:pt>
                      <c:pt idx="102">
                        <c:v>46133</c:v>
                      </c:pt>
                      <c:pt idx="103">
                        <c:v>46134</c:v>
                      </c:pt>
                      <c:pt idx="104">
                        <c:v>46135</c:v>
                      </c:pt>
                      <c:pt idx="105">
                        <c:v>46136</c:v>
                      </c:pt>
                      <c:pt idx="106">
                        <c:v>46139</c:v>
                      </c:pt>
                      <c:pt idx="107">
                        <c:v>46140</c:v>
                      </c:pt>
                      <c:pt idx="108">
                        <c:v>46141</c:v>
                      </c:pt>
                      <c:pt idx="109">
                        <c:v>46142</c:v>
                      </c:pt>
                      <c:pt idx="110">
                        <c:v>46146</c:v>
                      </c:pt>
                      <c:pt idx="111">
                        <c:v>46147</c:v>
                      </c:pt>
                      <c:pt idx="112">
                        <c:v>46148</c:v>
                      </c:pt>
                      <c:pt idx="113">
                        <c:v>46149</c:v>
                      </c:pt>
                      <c:pt idx="114">
                        <c:v>46150</c:v>
                      </c:pt>
                      <c:pt idx="115">
                        <c:v>46153</c:v>
                      </c:pt>
                      <c:pt idx="116">
                        <c:v>46154</c:v>
                      </c:pt>
                      <c:pt idx="117">
                        <c:v>46155</c:v>
                      </c:pt>
                      <c:pt idx="118">
                        <c:v>46156</c:v>
                      </c:pt>
                      <c:pt idx="119">
                        <c:v>46157</c:v>
                      </c:pt>
                      <c:pt idx="120">
                        <c:v>46160</c:v>
                      </c:pt>
                      <c:pt idx="121">
                        <c:v>46161</c:v>
                      </c:pt>
                      <c:pt idx="122">
                        <c:v>46162</c:v>
                      </c:pt>
                      <c:pt idx="123">
                        <c:v>46163</c:v>
                      </c:pt>
                      <c:pt idx="124">
                        <c:v>46164</c:v>
                      </c:pt>
                      <c:pt idx="125">
                        <c:v>46167</c:v>
                      </c:pt>
                      <c:pt idx="126">
                        <c:v>46168</c:v>
                      </c:pt>
                      <c:pt idx="127">
                        <c:v>46169</c:v>
                      </c:pt>
                      <c:pt idx="128">
                        <c:v>46171</c:v>
                      </c:pt>
                      <c:pt idx="129">
                        <c:v>46174</c:v>
                      </c:pt>
                      <c:pt idx="130">
                        <c:v>46175</c:v>
                      </c:pt>
                      <c:pt idx="131">
                        <c:v>46176</c:v>
                      </c:pt>
                      <c:pt idx="132">
                        <c:v>46177</c:v>
                      </c:pt>
                      <c:pt idx="133">
                        <c:v>46178</c:v>
                      </c:pt>
                      <c:pt idx="134">
                        <c:v>46181</c:v>
                      </c:pt>
                      <c:pt idx="135">
                        <c:v>46182</c:v>
                      </c:pt>
                      <c:pt idx="136">
                        <c:v>46183</c:v>
                      </c:pt>
                      <c:pt idx="137">
                        <c:v>46184</c:v>
                      </c:pt>
                      <c:pt idx="138">
                        <c:v>46185</c:v>
                      </c:pt>
                      <c:pt idx="139">
                        <c:v>46188</c:v>
                      </c:pt>
                      <c:pt idx="140">
                        <c:v>46189</c:v>
                      </c:pt>
                      <c:pt idx="141">
                        <c:v>46190</c:v>
                      </c:pt>
                      <c:pt idx="142">
                        <c:v>46191</c:v>
                      </c:pt>
                      <c:pt idx="143">
                        <c:v>46192</c:v>
                      </c:pt>
                      <c:pt idx="144">
                        <c:v>46195</c:v>
                      </c:pt>
                      <c:pt idx="145">
                        <c:v>46196</c:v>
                      </c:pt>
                      <c:pt idx="146">
                        <c:v>46197</c:v>
                      </c:pt>
                      <c:pt idx="147">
                        <c:v>46198</c:v>
                      </c:pt>
                      <c:pt idx="148">
                        <c:v>46202</c:v>
                      </c:pt>
                      <c:pt idx="149">
                        <c:v>46203</c:v>
                      </c:pt>
                      <c:pt idx="150">
                        <c:v>46204</c:v>
                      </c:pt>
                      <c:pt idx="151">
                        <c:v>46205</c:v>
                      </c:pt>
                      <c:pt idx="152">
                        <c:v>46206</c:v>
                      </c:pt>
                      <c:pt idx="153">
                        <c:v>46209</c:v>
                      </c:pt>
                      <c:pt idx="154">
                        <c:v>46210</c:v>
                      </c:pt>
                      <c:pt idx="155">
                        <c:v>46211</c:v>
                      </c:pt>
                      <c:pt idx="156">
                        <c:v>46212</c:v>
                      </c:pt>
                      <c:pt idx="157">
                        <c:v>46213</c:v>
                      </c:pt>
                      <c:pt idx="158">
                        <c:v>46216</c:v>
                      </c:pt>
                      <c:pt idx="159">
                        <c:v>46217</c:v>
                      </c:pt>
                      <c:pt idx="160">
                        <c:v>46218</c:v>
                      </c:pt>
                      <c:pt idx="161">
                        <c:v>46219</c:v>
                      </c:pt>
                      <c:pt idx="162">
                        <c:v>46220</c:v>
                      </c:pt>
                      <c:pt idx="163">
                        <c:v>46223</c:v>
                      </c:pt>
                      <c:pt idx="164">
                        <c:v>46224</c:v>
                      </c:pt>
                      <c:pt idx="165">
                        <c:v>46225</c:v>
                      </c:pt>
                      <c:pt idx="166">
                        <c:v>46226</c:v>
                      </c:pt>
                      <c:pt idx="167">
                        <c:v>46227</c:v>
                      </c:pt>
                      <c:pt idx="168">
                        <c:v>46230</c:v>
                      </c:pt>
                      <c:pt idx="169">
                        <c:v>46231</c:v>
                      </c:pt>
                      <c:pt idx="170">
                        <c:v>46232</c:v>
                      </c:pt>
                      <c:pt idx="171">
                        <c:v>46233</c:v>
                      </c:pt>
                      <c:pt idx="172">
                        <c:v>46234</c:v>
                      </c:pt>
                      <c:pt idx="173">
                        <c:v>46237</c:v>
                      </c:pt>
                      <c:pt idx="174">
                        <c:v>46238</c:v>
                      </c:pt>
                      <c:pt idx="175">
                        <c:v>46239</c:v>
                      </c:pt>
                      <c:pt idx="176">
                        <c:v>46240</c:v>
                      </c:pt>
                      <c:pt idx="177">
                        <c:v>46241</c:v>
                      </c:pt>
                      <c:pt idx="178">
                        <c:v>46244</c:v>
                      </c:pt>
                      <c:pt idx="179">
                        <c:v>46245</c:v>
                      </c:pt>
                      <c:pt idx="180">
                        <c:v>46246</c:v>
                      </c:pt>
                      <c:pt idx="181">
                        <c:v>46247</c:v>
                      </c:pt>
                      <c:pt idx="182">
                        <c:v>46248</c:v>
                      </c:pt>
                      <c:pt idx="183">
                        <c:v>46251</c:v>
                      </c:pt>
                      <c:pt idx="184">
                        <c:v>46252</c:v>
                      </c:pt>
                      <c:pt idx="185">
                        <c:v>46253</c:v>
                      </c:pt>
                      <c:pt idx="186">
                        <c:v>46254</c:v>
                      </c:pt>
                      <c:pt idx="187">
                        <c:v>46255</c:v>
                      </c:pt>
                      <c:pt idx="188">
                        <c:v>46258</c:v>
                      </c:pt>
                      <c:pt idx="189">
                        <c:v>46259</c:v>
                      </c:pt>
                      <c:pt idx="190">
                        <c:v>46260</c:v>
                      </c:pt>
                      <c:pt idx="191">
                        <c:v>46261</c:v>
                      </c:pt>
                      <c:pt idx="192">
                        <c:v>46262</c:v>
                      </c:pt>
                      <c:pt idx="193">
                        <c:v>46265</c:v>
                      </c:pt>
                      <c:pt idx="194">
                        <c:v>46266</c:v>
                      </c:pt>
                      <c:pt idx="195">
                        <c:v>46267</c:v>
                      </c:pt>
                      <c:pt idx="196">
                        <c:v>46268</c:v>
                      </c:pt>
                      <c:pt idx="197">
                        <c:v>46269</c:v>
                      </c:pt>
                      <c:pt idx="198">
                        <c:v>46272</c:v>
                      </c:pt>
                      <c:pt idx="199">
                        <c:v>46273</c:v>
                      </c:pt>
                      <c:pt idx="200">
                        <c:v>46274</c:v>
                      </c:pt>
                      <c:pt idx="201">
                        <c:v>46275</c:v>
                      </c:pt>
                      <c:pt idx="202">
                        <c:v>46276</c:v>
                      </c:pt>
                      <c:pt idx="203">
                        <c:v>46280</c:v>
                      </c:pt>
                      <c:pt idx="204">
                        <c:v>46281</c:v>
                      </c:pt>
                      <c:pt idx="205">
                        <c:v>46282</c:v>
                      </c:pt>
                      <c:pt idx="206">
                        <c:v>46283</c:v>
                      </c:pt>
                      <c:pt idx="207">
                        <c:v>46286</c:v>
                      </c:pt>
                      <c:pt idx="208">
                        <c:v>46287</c:v>
                      </c:pt>
                      <c:pt idx="209">
                        <c:v>46288</c:v>
                      </c:pt>
                      <c:pt idx="210">
                        <c:v>46289</c:v>
                      </c:pt>
                      <c:pt idx="211">
                        <c:v>46290</c:v>
                      </c:pt>
                      <c:pt idx="212">
                        <c:v>46293</c:v>
                      </c:pt>
                      <c:pt idx="213">
                        <c:v>46294</c:v>
                      </c:pt>
                      <c:pt idx="214">
                        <c:v>46295</c:v>
                      </c:pt>
                      <c:pt idx="215">
                        <c:v>46296</c:v>
                      </c:pt>
                      <c:pt idx="216">
                        <c:v>46300</c:v>
                      </c:pt>
                      <c:pt idx="217">
                        <c:v>46301</c:v>
                      </c:pt>
                      <c:pt idx="218">
                        <c:v>46302</c:v>
                      </c:pt>
                      <c:pt idx="219">
                        <c:v>46303</c:v>
                      </c:pt>
                      <c:pt idx="220">
                        <c:v>46304</c:v>
                      </c:pt>
                      <c:pt idx="221">
                        <c:v>46307</c:v>
                      </c:pt>
                      <c:pt idx="222">
                        <c:v>46308</c:v>
                      </c:pt>
                      <c:pt idx="223">
                        <c:v>46309</c:v>
                      </c:pt>
                      <c:pt idx="224">
                        <c:v>46310</c:v>
                      </c:pt>
                      <c:pt idx="225">
                        <c:v>46311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Volatility!$H$22:$H$247</c15:sqref>
                        </c15:formulaRef>
                      </c:ext>
                    </c:extLst>
                    <c:numCache>
                      <c:formatCode>0.0%</c:formatCode>
                      <c:ptCount val="226"/>
                      <c:pt idx="0">
                        <c:v>9.36720385809892E-2</c:v>
                      </c:pt>
                      <c:pt idx="1">
                        <c:v>9.4614271695493607E-2</c:v>
                      </c:pt>
                      <c:pt idx="2">
                        <c:v>9.4641817594985189E-2</c:v>
                      </c:pt>
                      <c:pt idx="3">
                        <c:v>9.4292052657016304E-2</c:v>
                      </c:pt>
                      <c:pt idx="4">
                        <c:v>9.2842595396670793E-2</c:v>
                      </c:pt>
                      <c:pt idx="5">
                        <c:v>9.9533612931298698E-2</c:v>
                      </c:pt>
                      <c:pt idx="6">
                        <c:v>9.6027172373024355E-2</c:v>
                      </c:pt>
                      <c:pt idx="7">
                        <c:v>9.5140292837460075E-2</c:v>
                      </c:pt>
                      <c:pt idx="8">
                        <c:v>9.7039227606681308E-2</c:v>
                      </c:pt>
                      <c:pt idx="9">
                        <c:v>9.7446254651271019E-2</c:v>
                      </c:pt>
                      <c:pt idx="10">
                        <c:v>0.10293618527687806</c:v>
                      </c:pt>
                      <c:pt idx="11">
                        <c:v>0.1029109856011928</c:v>
                      </c:pt>
                      <c:pt idx="12">
                        <c:v>0.1038881005352208</c:v>
                      </c:pt>
                      <c:pt idx="13">
                        <c:v>0.11565723541414673</c:v>
                      </c:pt>
                      <c:pt idx="14">
                        <c:v>0.11388429305193398</c:v>
                      </c:pt>
                      <c:pt idx="15">
                        <c:v>0.10491601352677168</c:v>
                      </c:pt>
                      <c:pt idx="16">
                        <c:v>0.11128886023532211</c:v>
                      </c:pt>
                      <c:pt idx="17">
                        <c:v>0.11059759502268764</c:v>
                      </c:pt>
                      <c:pt idx="18">
                        <c:v>0.11249816812885166</c:v>
                      </c:pt>
                      <c:pt idx="19">
                        <c:v>0.11160471115960729</c:v>
                      </c:pt>
                      <c:pt idx="20">
                        <c:v>0.11159626024142849</c:v>
                      </c:pt>
                      <c:pt idx="21">
                        <c:v>0.11249543253837976</c:v>
                      </c:pt>
                      <c:pt idx="22">
                        <c:v>0.12114134968834117</c:v>
                      </c:pt>
                      <c:pt idx="23">
                        <c:v>0.12349107307389701</c:v>
                      </c:pt>
                      <c:pt idx="24">
                        <c:v>0.1229601635358466</c:v>
                      </c:pt>
                      <c:pt idx="25">
                        <c:v>0.11636914448516569</c:v>
                      </c:pt>
                      <c:pt idx="26">
                        <c:v>0.1173521405288644</c:v>
                      </c:pt>
                      <c:pt idx="27">
                        <c:v>0.11675756116554005</c:v>
                      </c:pt>
                      <c:pt idx="28">
                        <c:v>0.11986754184732749</c:v>
                      </c:pt>
                      <c:pt idx="29">
                        <c:v>0.12594670814151263</c:v>
                      </c:pt>
                      <c:pt idx="30">
                        <c:v>0.12164141008531611</c:v>
                      </c:pt>
                      <c:pt idx="31">
                        <c:v>0.1264708161353412</c:v>
                      </c:pt>
                      <c:pt idx="32">
                        <c:v>0.12489451862851567</c:v>
                      </c:pt>
                      <c:pt idx="33">
                        <c:v>0.11359540364715434</c:v>
                      </c:pt>
                      <c:pt idx="34">
                        <c:v>0.11450808845667985</c:v>
                      </c:pt>
                      <c:pt idx="35">
                        <c:v>0.12158999629107255</c:v>
                      </c:pt>
                      <c:pt idx="36">
                        <c:v>0.12543657736517402</c:v>
                      </c:pt>
                      <c:pt idx="37">
                        <c:v>0.1245771300823761</c:v>
                      </c:pt>
                      <c:pt idx="38">
                        <c:v>0.1204414400262681</c:v>
                      </c:pt>
                      <c:pt idx="39">
                        <c:v>0.12332864448243712</c:v>
                      </c:pt>
                      <c:pt idx="40">
                        <c:v>0.12431072229824607</c:v>
                      </c:pt>
                      <c:pt idx="41">
                        <c:v>0.12208306229070351</c:v>
                      </c:pt>
                      <c:pt idx="42">
                        <c:v>0.14392501360455437</c:v>
                      </c:pt>
                      <c:pt idx="43">
                        <c:v>0.13952894224042373</c:v>
                      </c:pt>
                      <c:pt idx="44">
                        <c:v>0.14450899594940067</c:v>
                      </c:pt>
                      <c:pt idx="45">
                        <c:v>0.14860191432063036</c:v>
                      </c:pt>
                      <c:pt idx="46">
                        <c:v>0.15052011393587991</c:v>
                      </c:pt>
                      <c:pt idx="47">
                        <c:v>0.15333228167328317</c:v>
                      </c:pt>
                      <c:pt idx="48">
                        <c:v>0.14720990513812693</c:v>
                      </c:pt>
                      <c:pt idx="49">
                        <c:v>0.14361668016547083</c:v>
                      </c:pt>
                      <c:pt idx="50">
                        <c:v>0.14911513385787584</c:v>
                      </c:pt>
                      <c:pt idx="51">
                        <c:v>0.1661007019606886</c:v>
                      </c:pt>
                      <c:pt idx="52">
                        <c:v>0.19978365863107053</c:v>
                      </c:pt>
                      <c:pt idx="53">
                        <c:v>0.20582804845275499</c:v>
                      </c:pt>
                      <c:pt idx="54">
                        <c:v>0.20511864302340191</c:v>
                      </c:pt>
                      <c:pt idx="55">
                        <c:v>0.20344399044872638</c:v>
                      </c:pt>
                      <c:pt idx="56">
                        <c:v>0.20367780827633308</c:v>
                      </c:pt>
                      <c:pt idx="57">
                        <c:v>0.20954283264231191</c:v>
                      </c:pt>
                      <c:pt idx="58">
                        <c:v>0.2136410609404997</c:v>
                      </c:pt>
                      <c:pt idx="59">
                        <c:v>0.21171779524133477</c:v>
                      </c:pt>
                      <c:pt idx="60">
                        <c:v>0.2142827221196888</c:v>
                      </c:pt>
                      <c:pt idx="61">
                        <c:v>0.21640881432252662</c:v>
                      </c:pt>
                      <c:pt idx="62">
                        <c:v>0.19449160178987671</c:v>
                      </c:pt>
                      <c:pt idx="63">
                        <c:v>0.19380361461402154</c:v>
                      </c:pt>
                      <c:pt idx="64">
                        <c:v>0.20950463036483113</c:v>
                      </c:pt>
                      <c:pt idx="65">
                        <c:v>0.20438410885620972</c:v>
                      </c:pt>
                      <c:pt idx="66">
                        <c:v>0.20096251010826699</c:v>
                      </c:pt>
                      <c:pt idx="67">
                        <c:v>0.20200679485399703</c:v>
                      </c:pt>
                      <c:pt idx="68">
                        <c:v>0.20677267389865264</c:v>
                      </c:pt>
                      <c:pt idx="69">
                        <c:v>0.20693731760205869</c:v>
                      </c:pt>
                      <c:pt idx="70">
                        <c:v>0.20346476898398658</c:v>
                      </c:pt>
                      <c:pt idx="71">
                        <c:v>0.21162592650808704</c:v>
                      </c:pt>
                      <c:pt idx="72">
                        <c:v>0.20631478276929324</c:v>
                      </c:pt>
                      <c:pt idx="73">
                        <c:v>0.21322186735035925</c:v>
                      </c:pt>
                      <c:pt idx="74">
                        <c:v>0.21541285820610909</c:v>
                      </c:pt>
                      <c:pt idx="75">
                        <c:v>0.25799703761266196</c:v>
                      </c:pt>
                      <c:pt idx="76">
                        <c:v>0.28153284320018718</c:v>
                      </c:pt>
                      <c:pt idx="77">
                        <c:v>0.29416547133236559</c:v>
                      </c:pt>
                      <c:pt idx="78">
                        <c:v>0.30289604977105045</c:v>
                      </c:pt>
                      <c:pt idx="79">
                        <c:v>0.31991670182776205</c:v>
                      </c:pt>
                      <c:pt idx="80">
                        <c:v>0.33155949729465783</c:v>
                      </c:pt>
                      <c:pt idx="81">
                        <c:v>0.34580621029777536</c:v>
                      </c:pt>
                      <c:pt idx="82">
                        <c:v>0.35483937670039345</c:v>
                      </c:pt>
                      <c:pt idx="83">
                        <c:v>0.37711123485798875</c:v>
                      </c:pt>
                      <c:pt idx="84">
                        <c:v>0.37704177892819224</c:v>
                      </c:pt>
                      <c:pt idx="85">
                        <c:v>0.38622014839731422</c:v>
                      </c:pt>
                      <c:pt idx="86">
                        <c:v>0.39870988099262489</c:v>
                      </c:pt>
                      <c:pt idx="87">
                        <c:v>0.41147650185791884</c:v>
                      </c:pt>
                      <c:pt idx="88">
                        <c:v>0.40931854860584865</c:v>
                      </c:pt>
                      <c:pt idx="89">
                        <c:v>0.40902581946269834</c:v>
                      </c:pt>
                      <c:pt idx="90">
                        <c:v>0.41964874094355309</c:v>
                      </c:pt>
                      <c:pt idx="91">
                        <c:v>0.41596977035062516</c:v>
                      </c:pt>
                      <c:pt idx="92">
                        <c:v>0.41445534221375419</c:v>
                      </c:pt>
                      <c:pt idx="93">
                        <c:v>0.40601266372991501</c:v>
                      </c:pt>
                      <c:pt idx="94">
                        <c:v>0.47946995191209013</c:v>
                      </c:pt>
                      <c:pt idx="95">
                        <c:v>0.45654578181629024</c:v>
                      </c:pt>
                      <c:pt idx="96">
                        <c:v>0.45443232805506095</c:v>
                      </c:pt>
                      <c:pt idx="97">
                        <c:v>0.44606758462585744</c:v>
                      </c:pt>
                      <c:pt idx="98">
                        <c:v>0.43152846538257511</c:v>
                      </c:pt>
                      <c:pt idx="99">
                        <c:v>0.40738260863192061</c:v>
                      </c:pt>
                      <c:pt idx="100">
                        <c:v>0.40495146206206595</c:v>
                      </c:pt>
                      <c:pt idx="101">
                        <c:v>0.39985332097452925</c:v>
                      </c:pt>
                      <c:pt idx="102">
                        <c:v>0.39531683753933194</c:v>
                      </c:pt>
                      <c:pt idx="103">
                        <c:v>0.36032442923741037</c:v>
                      </c:pt>
                      <c:pt idx="104">
                        <c:v>0.37282094287377449</c:v>
                      </c:pt>
                      <c:pt idx="105">
                        <c:v>0.3526024429570539</c:v>
                      </c:pt>
                      <c:pt idx="106">
                        <c:v>0.34721197781454288</c:v>
                      </c:pt>
                      <c:pt idx="107">
                        <c:v>0.34278017639425923</c:v>
                      </c:pt>
                      <c:pt idx="108">
                        <c:v>0.32542980821293072</c:v>
                      </c:pt>
                      <c:pt idx="109">
                        <c:v>0.31141882046089392</c:v>
                      </c:pt>
                      <c:pt idx="110">
                        <c:v>0.30618271705573691</c:v>
                      </c:pt>
                      <c:pt idx="111">
                        <c:v>0.30403016166213359</c:v>
                      </c:pt>
                      <c:pt idx="112">
                        <c:v>0.31132649124009082</c:v>
                      </c:pt>
                      <c:pt idx="113">
                        <c:v>0.31491587440019603</c:v>
                      </c:pt>
                      <c:pt idx="114">
                        <c:v>0.21854862446507403</c:v>
                      </c:pt>
                      <c:pt idx="115">
                        <c:v>0.23011731038875652</c:v>
                      </c:pt>
                      <c:pt idx="116">
                        <c:v>0.22285099297651093</c:v>
                      </c:pt>
                      <c:pt idx="117">
                        <c:v>0.21282877367063124</c:v>
                      </c:pt>
                      <c:pt idx="118">
                        <c:v>0.20636518477510321</c:v>
                      </c:pt>
                      <c:pt idx="119">
                        <c:v>0.20611041933620283</c:v>
                      </c:pt>
                      <c:pt idx="120">
                        <c:v>0.21404507538108966</c:v>
                      </c:pt>
                      <c:pt idx="121">
                        <c:v>0.21393282316629791</c:v>
                      </c:pt>
                      <c:pt idx="122">
                        <c:v>0.21602156322628227</c:v>
                      </c:pt>
                      <c:pt idx="123">
                        <c:v>0.21552311889649509</c:v>
                      </c:pt>
                      <c:pt idx="124">
                        <c:v>0.19811184395025874</c:v>
                      </c:pt>
                      <c:pt idx="125">
                        <c:v>0.20463728892565541</c:v>
                      </c:pt>
                      <c:pt idx="126">
                        <c:v>0.19787020732151014</c:v>
                      </c:pt>
                      <c:pt idx="127">
                        <c:v>0.19901896291006566</c:v>
                      </c:pt>
                      <c:pt idx="128">
                        <c:v>0.20988559551620375</c:v>
                      </c:pt>
                      <c:pt idx="129">
                        <c:v>0.21771005734374568</c:v>
                      </c:pt>
                      <c:pt idx="130">
                        <c:v>0.21873525674542468</c:v>
                      </c:pt>
                      <c:pt idx="131">
                        <c:v>0.21754607028307607</c:v>
                      </c:pt>
                      <c:pt idx="132">
                        <c:v>0.19824099008104643</c:v>
                      </c:pt>
                      <c:pt idx="133">
                        <c:v>0.18321105306022262</c:v>
                      </c:pt>
                      <c:pt idx="134">
                        <c:v>0.19223198976754402</c:v>
                      </c:pt>
                      <c:pt idx="135">
                        <c:v>0.19115507287902847</c:v>
                      </c:pt>
                      <c:pt idx="136">
                        <c:v>0.17529294832546932</c:v>
                      </c:pt>
                      <c:pt idx="137">
                        <c:v>0.17201045718808458</c:v>
                      </c:pt>
                      <c:pt idx="138">
                        <c:v>0.18455737435253902</c:v>
                      </c:pt>
                      <c:pt idx="139">
                        <c:v>0.20553157334182953</c:v>
                      </c:pt>
                      <c:pt idx="140">
                        <c:v>0.19416106145291029</c:v>
                      </c:pt>
                      <c:pt idx="141">
                        <c:v>0.19658482862333942</c:v>
                      </c:pt>
                      <c:pt idx="142">
                        <c:v>0.19516952533926488</c:v>
                      </c:pt>
                      <c:pt idx="143">
                        <c:v>0.19702470362147104</c:v>
                      </c:pt>
                      <c:pt idx="144">
                        <c:v>0.19737410574611597</c:v>
                      </c:pt>
                      <c:pt idx="145">
                        <c:v>0.19066750298689267</c:v>
                      </c:pt>
                      <c:pt idx="146">
                        <c:v>0.19127764845048603</c:v>
                      </c:pt>
                      <c:pt idx="147">
                        <c:v>0.20122836888522977</c:v>
                      </c:pt>
                      <c:pt idx="148">
                        <c:v>0.20282766822491055</c:v>
                      </c:pt>
                      <c:pt idx="149">
                        <c:v>0.19244853815267718</c:v>
                      </c:pt>
                      <c:pt idx="150">
                        <c:v>0.19477324378287267</c:v>
                      </c:pt>
                      <c:pt idx="151">
                        <c:v>0.19840313004618462</c:v>
                      </c:pt>
                      <c:pt idx="152">
                        <c:v>0.19970576913665286</c:v>
                      </c:pt>
                      <c:pt idx="153">
                        <c:v>0.20406171522093716</c:v>
                      </c:pt>
                      <c:pt idx="154">
                        <c:v>0.18915229307816978</c:v>
                      </c:pt>
                      <c:pt idx="155">
                        <c:v>0.20541594858625351</c:v>
                      </c:pt>
                      <c:pt idx="156">
                        <c:v>0.20326672426992895</c:v>
                      </c:pt>
                      <c:pt idx="157">
                        <c:v>0.20367040303517603</c:v>
                      </c:pt>
                      <c:pt idx="158">
                        <c:v>0.19335775883996417</c:v>
                      </c:pt>
                      <c:pt idx="159">
                        <c:v>0.17943960240940407</c:v>
                      </c:pt>
                      <c:pt idx="160">
                        <c:v>0.17985299346381073</c:v>
                      </c:pt>
                      <c:pt idx="161">
                        <c:v>0.17930907926563741</c:v>
                      </c:pt>
                      <c:pt idx="162">
                        <c:v>0.18453473121260808</c:v>
                      </c:pt>
                      <c:pt idx="163">
                        <c:v>0.18324330842163986</c:v>
                      </c:pt>
                      <c:pt idx="164">
                        <c:v>0.18529190522477015</c:v>
                      </c:pt>
                      <c:pt idx="165">
                        <c:v>0.18229521605577684</c:v>
                      </c:pt>
                      <c:pt idx="166">
                        <c:v>0.18187663149038535</c:v>
                      </c:pt>
                      <c:pt idx="167">
                        <c:v>0.17077285587155697</c:v>
                      </c:pt>
                      <c:pt idx="168">
                        <c:v>0.1595547946807804</c:v>
                      </c:pt>
                      <c:pt idx="169">
                        <c:v>0.16037124008818193</c:v>
                      </c:pt>
                      <c:pt idx="170">
                        <c:v>0.15719113577428845</c:v>
                      </c:pt>
                      <c:pt idx="171">
                        <c:v>0.16138944036369221</c:v>
                      </c:pt>
                      <c:pt idx="172">
                        <c:v>0.16698734871720622</c:v>
                      </c:pt>
                      <c:pt idx="173">
                        <c:v>0.16804516897558983</c:v>
                      </c:pt>
                      <c:pt idx="174">
                        <c:v>0.16978577244901663</c:v>
                      </c:pt>
                      <c:pt idx="175">
                        <c:v>0.14390472632611184</c:v>
                      </c:pt>
                      <c:pt idx="176">
                        <c:v>0.15163366788276661</c:v>
                      </c:pt>
                      <c:pt idx="177">
                        <c:v>0.15937173899667648</c:v>
                      </c:pt>
                      <c:pt idx="178">
                        <c:v>0.16075981900657638</c:v>
                      </c:pt>
                      <c:pt idx="179">
                        <c:v>0.14628370683995681</c:v>
                      </c:pt>
                      <c:pt idx="180">
                        <c:v>0.14930471314077493</c:v>
                      </c:pt>
                      <c:pt idx="181">
                        <c:v>0.1499523012952606</c:v>
                      </c:pt>
                      <c:pt idx="182">
                        <c:v>0.15190908979686671</c:v>
                      </c:pt>
                      <c:pt idx="183">
                        <c:v>0.15110861597970943</c:v>
                      </c:pt>
                      <c:pt idx="184">
                        <c:v>0.14974366672626643</c:v>
                      </c:pt>
                      <c:pt idx="185">
                        <c:v>0.15129064681625531</c:v>
                      </c:pt>
                      <c:pt idx="186">
                        <c:v>0.15070086587237744</c:v>
                      </c:pt>
                      <c:pt idx="187">
                        <c:v>0.14544568128096111</c:v>
                      </c:pt>
                      <c:pt idx="188">
                        <c:v>0.13823802283579087</c:v>
                      </c:pt>
                      <c:pt idx="189">
                        <c:v>0.13742055761575653</c:v>
                      </c:pt>
                      <c:pt idx="190">
                        <c:v>0.14148411143394415</c:v>
                      </c:pt>
                      <c:pt idx="191">
                        <c:v>0.1325744799684474</c:v>
                      </c:pt>
                      <c:pt idx="192">
                        <c:v>0.119618759819507</c:v>
                      </c:pt>
                      <c:pt idx="193">
                        <c:v>0.10652438202605266</c:v>
                      </c:pt>
                      <c:pt idx="194">
                        <c:v>0.11357635168148937</c:v>
                      </c:pt>
                      <c:pt idx="195">
                        <c:v>0.11661986961065786</c:v>
                      </c:pt>
                      <c:pt idx="196">
                        <c:v>0.11357616321673795</c:v>
                      </c:pt>
                      <c:pt idx="197">
                        <c:v>8.3725093869479392E-2</c:v>
                      </c:pt>
                      <c:pt idx="198">
                        <c:v>8.3935727451451198E-2</c:v>
                      </c:pt>
                      <c:pt idx="199">
                        <c:v>8.6222891037633476E-2</c:v>
                      </c:pt>
                      <c:pt idx="200">
                        <c:v>8.6375846968596473E-2</c:v>
                      </c:pt>
                      <c:pt idx="201">
                        <c:v>8.5147959911118176E-2</c:v>
                      </c:pt>
                      <c:pt idx="202">
                        <c:v>8.6627459062076514E-2</c:v>
                      </c:pt>
                      <c:pt idx="203">
                        <c:v>0.1043945098020778</c:v>
                      </c:pt>
                      <c:pt idx="204">
                        <c:v>0.10664453811051149</c:v>
                      </c:pt>
                      <c:pt idx="205">
                        <c:v>0.11774084992347349</c:v>
                      </c:pt>
                      <c:pt idx="206">
                        <c:v>0.11475741489212891</c:v>
                      </c:pt>
                      <c:pt idx="207">
                        <c:v>0.11557337349122429</c:v>
                      </c:pt>
                      <c:pt idx="208">
                        <c:v>0.11522267537475955</c:v>
                      </c:pt>
                      <c:pt idx="209">
                        <c:v>0.11415332529658966</c:v>
                      </c:pt>
                      <c:pt idx="210">
                        <c:v>0.12141309183964336</c:v>
                      </c:pt>
                      <c:pt idx="211">
                        <c:v>0.12980670186751897</c:v>
                      </c:pt>
                      <c:pt idx="212">
                        <c:v>0.13738742885760147</c:v>
                      </c:pt>
                      <c:pt idx="213">
                        <c:v>0.14025467546585374</c:v>
                      </c:pt>
                      <c:pt idx="214">
                        <c:v>0.14122451287169169</c:v>
                      </c:pt>
                      <c:pt idx="215">
                        <c:v>0.17209987020054124</c:v>
                      </c:pt>
                      <c:pt idx="216">
                        <c:v>0.17351325349417301</c:v>
                      </c:pt>
                      <c:pt idx="217">
                        <c:v>0.17655233179481297</c:v>
                      </c:pt>
                      <c:pt idx="218">
                        <c:v>0.18078683698457265</c:v>
                      </c:pt>
                      <c:pt idx="219">
                        <c:v>0.19183101918262613</c:v>
                      </c:pt>
                      <c:pt idx="220">
                        <c:v>0.20495624765209022</c:v>
                      </c:pt>
                      <c:pt idx="221">
                        <c:v>0.2111225434490375</c:v>
                      </c:pt>
                      <c:pt idx="222">
                        <c:v>0.21869886971387828</c:v>
                      </c:pt>
                      <c:pt idx="223">
                        <c:v>0.21109536758881187</c:v>
                      </c:pt>
                      <c:pt idx="224">
                        <c:v>0.22075594223553216</c:v>
                      </c:pt>
                      <c:pt idx="225">
                        <c:v>0.21916608920735506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28C-4D46-AF9F-C0D89E9EA572}"/>
                  </c:ext>
                </c:extLst>
              </c15:ser>
            </c15:filteredLineSeries>
          </c:ext>
        </c:extLst>
      </c:lineChart>
      <c:dateAx>
        <c:axId val="538813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08864"/>
        <c:crosses val="autoZero"/>
        <c:auto val="1"/>
        <c:lblOffset val="100"/>
        <c:baseTimeUnit val="days"/>
      </c:dateAx>
      <c:valAx>
        <c:axId val="5388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Annualised volatility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1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</xdr:colOff>
      <xdr:row>66</xdr:row>
      <xdr:rowOff>158750</xdr:rowOff>
    </xdr:from>
    <xdr:to>
      <xdr:col>7</xdr:col>
      <xdr:colOff>497417</xdr:colOff>
      <xdr:row>85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F35FE-84CC-4B17-9194-03CE27E5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69</xdr:row>
      <xdr:rowOff>0</xdr:rowOff>
    </xdr:from>
    <xdr:to>
      <xdr:col>8</xdr:col>
      <xdr:colOff>9525</xdr:colOff>
      <xdr:row>89</xdr:row>
      <xdr:rowOff>38106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A986D-8605-4537-8690-D2925D1FF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266706</xdr:colOff>
      <xdr:row>158</xdr:row>
      <xdr:rowOff>114300</xdr:rowOff>
    </xdr:from>
    <xdr:to>
      <xdr:col>23</xdr:col>
      <xdr:colOff>390525</xdr:colOff>
      <xdr:row>176</xdr:row>
      <xdr:rowOff>123831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7E910-B148-4544-B105-1852C2385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63507</xdr:colOff>
      <xdr:row>1</xdr:row>
      <xdr:rowOff>31750</xdr:rowOff>
    </xdr:from>
    <xdr:to>
      <xdr:col>16</xdr:col>
      <xdr:colOff>518583</xdr:colOff>
      <xdr:row>19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C279C-F7AA-4D8E-A844-CC9258856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opLeftCell="A3" zoomScaleNormal="100" workbookViewId="0">
      <selection activeCell="B14" sqref="B14"/>
    </sheetView>
  </sheetViews>
  <sheetFormatPr defaultColWidth="8.7109375" defaultRowHeight="15" x14ac:dyDescent="0.25"/>
  <cols>
    <col min="1" max="1" width="48" customWidth="1"/>
    <col min="2" max="2" width="18" customWidth="1"/>
    <col min="3" max="3" width="90" customWidth="1"/>
  </cols>
  <sheetData>
    <row r="1" spans="1:3" ht="18" x14ac:dyDescent="0.25">
      <c r="A1" s="2" t="s">
        <v>0</v>
      </c>
    </row>
    <row r="2" spans="1:3" x14ac:dyDescent="0.25">
      <c r="A2" s="1" t="s">
        <v>1</v>
      </c>
    </row>
    <row r="4" spans="1:3" x14ac:dyDescent="0.25">
      <c r="A4" s="15" t="s">
        <v>2</v>
      </c>
      <c r="B4" s="15" t="s">
        <v>3</v>
      </c>
      <c r="C4" s="15" t="s">
        <v>4</v>
      </c>
    </row>
    <row r="5" spans="1:3" x14ac:dyDescent="0.25">
      <c r="A5" s="3" t="s">
        <v>5</v>
      </c>
      <c r="B5" s="22">
        <f>MAX(Prices!$A$2:$A$247)</f>
        <v>46311</v>
      </c>
      <c r="C5" s="4" t="s">
        <v>6</v>
      </c>
    </row>
    <row r="6" spans="1:3" x14ac:dyDescent="0.25">
      <c r="A6" s="3" t="s">
        <v>7</v>
      </c>
      <c r="B6" s="22">
        <f>EDATE(B5,-3)</f>
        <v>46219</v>
      </c>
      <c r="C6" s="4" t="s">
        <v>8</v>
      </c>
    </row>
    <row r="7" spans="1:3" ht="51" x14ac:dyDescent="0.25">
      <c r="A7" s="3" t="s">
        <v>9</v>
      </c>
      <c r="B7" s="23">
        <v>46303</v>
      </c>
      <c r="C7" s="4" t="s">
        <v>10</v>
      </c>
    </row>
    <row r="8" spans="1:3" x14ac:dyDescent="0.25">
      <c r="A8" s="3" t="s">
        <v>11</v>
      </c>
      <c r="B8" s="22">
        <f>INDEX(Prices!$A$2:$A$247,MATCH(MIN(Prices!$B$2:$B$247),Prices!$B$2:$B$247,0))</f>
        <v>46303</v>
      </c>
      <c r="C8" s="4" t="s">
        <v>12</v>
      </c>
    </row>
    <row r="9" spans="1:3" x14ac:dyDescent="0.25">
      <c r="A9" s="3" t="s">
        <v>13</v>
      </c>
      <c r="B9" s="5">
        <v>5</v>
      </c>
      <c r="C9" s="4" t="s">
        <v>14</v>
      </c>
    </row>
    <row r="10" spans="1:3" x14ac:dyDescent="0.25">
      <c r="A10" s="3" t="s">
        <v>15</v>
      </c>
      <c r="B10" s="5">
        <v>21</v>
      </c>
      <c r="C10" s="4" t="s">
        <v>14</v>
      </c>
    </row>
    <row r="11" spans="1:3" x14ac:dyDescent="0.25">
      <c r="A11" s="3" t="s">
        <v>16</v>
      </c>
      <c r="B11" s="5">
        <v>63</v>
      </c>
      <c r="C11" s="4" t="s">
        <v>14</v>
      </c>
    </row>
    <row r="12" spans="1:3" x14ac:dyDescent="0.25">
      <c r="A12" s="3" t="s">
        <v>17</v>
      </c>
      <c r="B12" s="4">
        <f>COUNT(Prices!$A$2:$A$247)</f>
        <v>246</v>
      </c>
      <c r="C12" s="4" t="s">
        <v>18</v>
      </c>
    </row>
    <row r="13" spans="1:3" x14ac:dyDescent="0.25">
      <c r="A13" s="3" t="s">
        <v>19</v>
      </c>
      <c r="B13" s="4">
        <f>MATCH(B6,Prices!$A$2:$A$247,1)</f>
        <v>182</v>
      </c>
      <c r="C13" s="4" t="s">
        <v>20</v>
      </c>
    </row>
    <row r="14" spans="1:3" x14ac:dyDescent="0.25">
      <c r="A14" s="3" t="s">
        <v>21</v>
      </c>
      <c r="B14" s="4">
        <f>MATCH(B7,Prices!$A$2:$A$247,0)</f>
        <v>240</v>
      </c>
      <c r="C14" s="4" t="s">
        <v>22</v>
      </c>
    </row>
    <row r="15" spans="1:3" ht="51" x14ac:dyDescent="0.25">
      <c r="A15" s="3" t="s">
        <v>23</v>
      </c>
      <c r="B15" s="5">
        <v>0.02</v>
      </c>
      <c r="C15" s="4" t="s">
        <v>24</v>
      </c>
    </row>
    <row r="16" spans="1:3" x14ac:dyDescent="0.25">
      <c r="A16" s="3" t="s">
        <v>25</v>
      </c>
      <c r="B16" s="5">
        <v>252</v>
      </c>
      <c r="C16" s="4" t="s">
        <v>26</v>
      </c>
    </row>
    <row r="17" spans="1:3" x14ac:dyDescent="0.25">
      <c r="A17" s="3" t="s">
        <v>27</v>
      </c>
      <c r="B17" s="4">
        <f>B12-B13+1</f>
        <v>65</v>
      </c>
      <c r="C17" s="4" t="s">
        <v>28</v>
      </c>
    </row>
    <row r="18" spans="1:3" x14ac:dyDescent="0.25">
      <c r="A18" s="3" t="s">
        <v>29</v>
      </c>
      <c r="B18" s="4">
        <f>COUNTBLANK(Prices!$B$2:$H$247)</f>
        <v>0</v>
      </c>
      <c r="C18" s="4" t="s">
        <v>30</v>
      </c>
    </row>
    <row r="20" spans="1:3" x14ac:dyDescent="0.25">
      <c r="A20" s="6" t="s">
        <v>31</v>
      </c>
    </row>
    <row r="21" spans="1:3" x14ac:dyDescent="0.25">
      <c r="A21" s="7" t="s">
        <v>32</v>
      </c>
    </row>
    <row r="22" spans="1:3" x14ac:dyDescent="0.25">
      <c r="A22" s="1" t="s">
        <v>33</v>
      </c>
    </row>
    <row r="23" spans="1:3" x14ac:dyDescent="0.25">
      <c r="A23" s="1" t="s">
        <v>34</v>
      </c>
    </row>
    <row r="25" spans="1:3" x14ac:dyDescent="0.25">
      <c r="A25" s="6" t="s">
        <v>35</v>
      </c>
    </row>
    <row r="26" spans="1:3" x14ac:dyDescent="0.25">
      <c r="A26" s="24" t="s">
        <v>36</v>
      </c>
      <c r="B26" s="24"/>
      <c r="C26" s="24"/>
    </row>
    <row r="27" spans="1:3" x14ac:dyDescent="0.25">
      <c r="A27" s="24" t="s">
        <v>37</v>
      </c>
      <c r="B27" s="24"/>
      <c r="C27" s="24"/>
    </row>
    <row r="28" spans="1:3" x14ac:dyDescent="0.25">
      <c r="A28" s="24" t="s">
        <v>38</v>
      </c>
      <c r="B28" s="24"/>
      <c r="C28" s="24"/>
    </row>
  </sheetData>
  <mergeCells count="3">
    <mergeCell ref="A26:C26"/>
    <mergeCell ref="A27:C27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selection activeCell="B15" sqref="B15"/>
    </sheetView>
  </sheetViews>
  <sheetFormatPr defaultColWidth="8.7109375" defaultRowHeight="15" x14ac:dyDescent="0.25"/>
  <cols>
    <col min="1" max="1" width="28" customWidth="1"/>
    <col min="2" max="3" width="16" customWidth="1"/>
    <col min="4" max="4" width="22" customWidth="1"/>
    <col min="5" max="6" width="20" customWidth="1"/>
  </cols>
  <sheetData>
    <row r="1" spans="1:6" ht="18" x14ac:dyDescent="0.25">
      <c r="A1" s="2" t="s">
        <v>39</v>
      </c>
    </row>
    <row r="3" spans="1:6" ht="31.5" customHeight="1" x14ac:dyDescent="0.25">
      <c r="A3" s="15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</row>
    <row r="4" spans="1:6" x14ac:dyDescent="0.25">
      <c r="A4" s="8" t="str">
        <f>Prices!B1</f>
        <v>NIFTY 50</v>
      </c>
      <c r="B4" s="8">
        <f>Returns!E4</f>
        <v>4.1128023821732862E-2</v>
      </c>
      <c r="C4" s="8">
        <f>Returns!D4</f>
        <v>-4.8826142523105132E-2</v>
      </c>
      <c r="D4" s="9">
        <f>STDEV(INDEX(Daily!B$2:B$247,Inputs!$B$13+1):INDEX(Daily!B$2:B$247,Inputs!$B$12))*SQRT(Inputs!$B$16)</f>
        <v>0.11469342685439003</v>
      </c>
      <c r="E4" s="8">
        <f>Drawdown!B68</f>
        <v>-0.1026265121517056</v>
      </c>
      <c r="F4" s="8">
        <f>Volatility!B247</f>
        <v>0.16078298800571325</v>
      </c>
    </row>
    <row r="5" spans="1:6" x14ac:dyDescent="0.25">
      <c r="A5" s="8" t="str">
        <f>Prices!C1</f>
        <v>NIFTY MIDCAP 100</v>
      </c>
      <c r="B5" s="8">
        <f>Returns!E5</f>
        <v>2.1547963546840521E-2</v>
      </c>
      <c r="C5" s="8">
        <f>Returns!D5</f>
        <v>-5.2833622065722063E-2</v>
      </c>
      <c r="D5" s="9">
        <f>STDEV(INDEX(Daily!C$2:C$247,Inputs!$B$13+1):INDEX(Daily!C$2:C$247,Inputs!$B$12))*SQRT(Inputs!$B$16)</f>
        <v>0.12705069966207219</v>
      </c>
      <c r="E5" s="8">
        <f>Drawdown!C68</f>
        <v>-9.875087096485391E-2</v>
      </c>
      <c r="F5" s="8">
        <f>Volatility!C247</f>
        <v>0.17577217170869844</v>
      </c>
    </row>
    <row r="6" spans="1:6" x14ac:dyDescent="0.25">
      <c r="A6" s="8" t="str">
        <f>Prices!D1</f>
        <v>NIFTY SMALLCAP 100</v>
      </c>
      <c r="B6" s="8">
        <f>Returns!E6</f>
        <v>4.1837050724142788E-3</v>
      </c>
      <c r="C6" s="8">
        <f>Returns!D6</f>
        <v>-8.6285971922078764E-3</v>
      </c>
      <c r="D6" s="9">
        <f>STDEV(INDEX(Daily!D$2:D$247,Inputs!$B$13+1):INDEX(Daily!D$2:D$247,Inputs!$B$12))*SQRT(Inputs!$B$16)</f>
        <v>0.13666052477697621</v>
      </c>
      <c r="E6" s="8">
        <f>Drawdown!D68</f>
        <v>-5.3822561619171871E-2</v>
      </c>
      <c r="F6" s="8">
        <f>Volatility!D247</f>
        <v>0.17667639071884403</v>
      </c>
    </row>
    <row r="7" spans="1:6" x14ac:dyDescent="0.25">
      <c r="A7" s="8" t="str">
        <f>Prices!E1</f>
        <v>NIFTY BANK</v>
      </c>
      <c r="B7" s="8">
        <f>Returns!E7</f>
        <v>2.4377671853919258E-2</v>
      </c>
      <c r="C7" s="8">
        <f>Returns!D7</f>
        <v>-4.5750785182856246E-2</v>
      </c>
      <c r="D7" s="9">
        <f>STDEV(INDEX(Daily!E$2:E$247,Inputs!$B$13+1):INDEX(Daily!E$2:E$247,Inputs!$B$12))*SQRT(Inputs!$B$16)</f>
        <v>0.11974237686769923</v>
      </c>
      <c r="E7" s="8">
        <f>Drawdown!E68</f>
        <v>-7.281866120769509E-2</v>
      </c>
      <c r="F7" s="8">
        <f>Volatility!E247</f>
        <v>0.14326824059952922</v>
      </c>
    </row>
    <row r="8" spans="1:6" x14ac:dyDescent="0.25">
      <c r="A8" s="8" t="str">
        <f>Prices!F1</f>
        <v>NIFTY IT</v>
      </c>
      <c r="B8" s="8">
        <f>Returns!E8</f>
        <v>0.15097380356640677</v>
      </c>
      <c r="C8" s="8">
        <f>Returns!D8</f>
        <v>9.2296059069477909E-2</v>
      </c>
      <c r="D8" s="9">
        <f>STDEV(INDEX(Daily!F$2:F$247,Inputs!$B$13+1):INDEX(Daily!F$2:F$247,Inputs!$B$12))*SQRT(Inputs!$B$16)</f>
        <v>0.25688732788760493</v>
      </c>
      <c r="E8" s="8">
        <f>Drawdown!F68</f>
        <v>-0.13050719366247532</v>
      </c>
      <c r="F8" s="8">
        <f>Volatility!F247</f>
        <v>0.29250711912970778</v>
      </c>
    </row>
    <row r="9" spans="1:6" x14ac:dyDescent="0.25">
      <c r="A9" s="8" t="str">
        <f>Prices!G1</f>
        <v>NIFTY FMCG</v>
      </c>
      <c r="B9" s="8">
        <f>Returns!E9</f>
        <v>1.6358357603583729E-2</v>
      </c>
      <c r="C9" s="8">
        <f>Returns!D9</f>
        <v>-8.477251701070998E-2</v>
      </c>
      <c r="D9" s="9">
        <f>STDEV(INDEX(Daily!G$2:G$247,Inputs!$B$13+1):INDEX(Daily!G$2:G$247,Inputs!$B$12))*SQRT(Inputs!$B$16)</f>
        <v>0.15583384306885636</v>
      </c>
      <c r="E9" s="8">
        <f>Drawdown!G68</f>
        <v>-0.12360003682533582</v>
      </c>
      <c r="F9" s="8">
        <f>Volatility!G247</f>
        <v>0.20862876338896502</v>
      </c>
    </row>
    <row r="10" spans="1:6" x14ac:dyDescent="0.25">
      <c r="A10" s="8" t="str">
        <f>Prices!H1</f>
        <v>NIFTY AUTO</v>
      </c>
      <c r="B10" s="8">
        <f>Returns!E10</f>
        <v>5.1230586593888017E-2</v>
      </c>
      <c r="C10" s="8">
        <f>Returns!D10</f>
        <v>-4.9124069410234394E-2</v>
      </c>
      <c r="D10" s="9">
        <f>STDEV(INDEX(Daily!H$2:H$247,Inputs!$B$13+1):INDEX(Daily!H$2:H$247,Inputs!$B$12))*SQRT(Inputs!$B$16)</f>
        <v>0.17006000461577506</v>
      </c>
      <c r="E10" s="8">
        <f>Drawdown!H68</f>
        <v>-0.173206196728942</v>
      </c>
      <c r="F10" s="8">
        <f>Volatility!H247</f>
        <v>0.21916608920735506</v>
      </c>
    </row>
    <row r="12" spans="1:6" x14ac:dyDescent="0.25">
      <c r="A12" s="1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7"/>
  <sheetViews>
    <sheetView showGridLines="0" zoomScaleNormal="100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E254" sqref="E254"/>
    </sheetView>
  </sheetViews>
  <sheetFormatPr defaultColWidth="8.7109375" defaultRowHeight="15" x14ac:dyDescent="0.25"/>
  <cols>
    <col min="1" max="1" width="14" customWidth="1"/>
    <col min="2" max="8" width="15" customWidth="1"/>
  </cols>
  <sheetData>
    <row r="1" spans="1:8" ht="30" customHeight="1" x14ac:dyDescent="0.25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4" t="s">
        <v>65</v>
      </c>
      <c r="G1" s="14" t="s">
        <v>66</v>
      </c>
      <c r="H1" s="14" t="s">
        <v>67</v>
      </c>
    </row>
    <row r="2" spans="1:8" x14ac:dyDescent="0.25">
      <c r="A2" s="21">
        <v>45950</v>
      </c>
      <c r="B2" s="1">
        <f>IF(COUNTIFS(Data!$A$2:$A$1723,B$1,Data!$B$2:$B$1723,$A2)=0,"",SUMIFS(Data!$F$2:$F$1723,Data!$A$2:$A$1723,B$1,Data!$B$2:$B$1723,$A2))</f>
        <v>25843.15</v>
      </c>
      <c r="C2" s="1">
        <f>IF(COUNTIFS(Data!$A$2:$A$1723,C$1,Data!$B$2:$B$1723,$A2)=0,"",SUMIFS(Data!$F$2:$F$1723,Data!$A$2:$A$1723,C$1,Data!$B$2:$B$1723,$A2))</f>
        <v>59344.5</v>
      </c>
      <c r="D2" s="1">
        <f>IF(COUNTIFS(Data!$A$2:$A$1723,D$1,Data!$B$2:$B$1723,$A2)=0,"",SUMIFS(Data!$F$2:$F$1723,Data!$A$2:$A$1723,D$1,Data!$B$2:$B$1723,$A2))</f>
        <v>18206.150000000001</v>
      </c>
      <c r="E2" s="1">
        <f>IF(COUNTIFS(Data!$A$2:$A$1723,E$1,Data!$B$2:$B$1723,$A2)=0,"",SUMIFS(Data!$F$2:$F$1723,Data!$A$2:$A$1723,E$1,Data!$B$2:$B$1723,$A2))</f>
        <v>58033.2</v>
      </c>
      <c r="F2" s="1">
        <f>IF(COUNTIFS(Data!$A$2:$A$1723,F$1,Data!$B$2:$B$1723,$A2)=0,"",SUMIFS(Data!$F$2:$F$1723,Data!$A$2:$A$1723,F$1,Data!$B$2:$B$1723,$A2))</f>
        <v>35292.6</v>
      </c>
      <c r="G2" s="1">
        <f>IF(COUNTIFS(Data!$A$2:$A$1723,G$1,Data!$B$2:$B$1723,$A2)=0,"",SUMIFS(Data!$F$2:$F$1723,Data!$A$2:$A$1723,G$1,Data!$B$2:$B$1723,$A2))</f>
        <v>56597.15</v>
      </c>
      <c r="H2" s="1">
        <f>IF(COUNTIFS(Data!$A$2:$A$1723,H$1,Data!$B$2:$B$1723,$A2)=0,"",SUMIFS(Data!$F$2:$F$1723,Data!$A$2:$A$1723,H$1,Data!$B$2:$B$1723,$A2))</f>
        <v>27185.45</v>
      </c>
    </row>
    <row r="3" spans="1:8" x14ac:dyDescent="0.25">
      <c r="A3" s="21">
        <v>45951</v>
      </c>
      <c r="B3" s="1">
        <f>IF(COUNTIFS(Data!$A$2:$A$1723,B$1,Data!$B$2:$B$1723,$A3)=0,"",SUMIFS(Data!$F$2:$F$1723,Data!$A$2:$A$1723,B$1,Data!$B$2:$B$1723,$A3))</f>
        <v>25868.6</v>
      </c>
      <c r="C3" s="1">
        <f>IF(COUNTIFS(Data!$A$2:$A$1723,C$1,Data!$B$2:$B$1723,$A3)=0,"",SUMIFS(Data!$F$2:$F$1723,Data!$A$2:$A$1723,C$1,Data!$B$2:$B$1723,$A3))</f>
        <v>59409.55</v>
      </c>
      <c r="D3" s="1">
        <f>IF(COUNTIFS(Data!$A$2:$A$1723,D$1,Data!$B$2:$B$1723,$A3)=0,"",SUMIFS(Data!$F$2:$F$1723,Data!$A$2:$A$1723,D$1,Data!$B$2:$B$1723,$A3))</f>
        <v>18300.650000000001</v>
      </c>
      <c r="E3" s="1">
        <f>IF(COUNTIFS(Data!$A$2:$A$1723,E$1,Data!$B$2:$B$1723,$A3)=0,"",SUMIFS(Data!$F$2:$F$1723,Data!$A$2:$A$1723,E$1,Data!$B$2:$B$1723,$A3))</f>
        <v>58007.199999999997</v>
      </c>
      <c r="F3" s="1">
        <f>IF(COUNTIFS(Data!$A$2:$A$1723,F$1,Data!$B$2:$B$1723,$A3)=0,"",SUMIFS(Data!$F$2:$F$1723,Data!$A$2:$A$1723,F$1,Data!$B$2:$B$1723,$A3))</f>
        <v>35299.75</v>
      </c>
      <c r="G3" s="1">
        <f>IF(COUNTIFS(Data!$A$2:$A$1723,G$1,Data!$B$2:$B$1723,$A3)=0,"",SUMIFS(Data!$F$2:$F$1723,Data!$A$2:$A$1723,G$1,Data!$B$2:$B$1723,$A3))</f>
        <v>56609.15</v>
      </c>
      <c r="H3" s="1">
        <f>IF(COUNTIFS(Data!$A$2:$A$1723,H$1,Data!$B$2:$B$1723,$A3)=0,"",SUMIFS(Data!$F$2:$F$1723,Data!$A$2:$A$1723,H$1,Data!$B$2:$B$1723,$A3))</f>
        <v>27229.85</v>
      </c>
    </row>
    <row r="4" spans="1:8" x14ac:dyDescent="0.25">
      <c r="A4" s="21">
        <v>45953</v>
      </c>
      <c r="B4" s="1">
        <f>IF(COUNTIFS(Data!$A$2:$A$1723,B$1,Data!$B$2:$B$1723,$A4)=0,"",SUMIFS(Data!$F$2:$F$1723,Data!$A$2:$A$1723,B$1,Data!$B$2:$B$1723,$A4))</f>
        <v>25891.4</v>
      </c>
      <c r="C4" s="1">
        <f>IF(COUNTIFS(Data!$A$2:$A$1723,C$1,Data!$B$2:$B$1723,$A4)=0,"",SUMIFS(Data!$F$2:$F$1723,Data!$A$2:$A$1723,C$1,Data!$B$2:$B$1723,$A4))</f>
        <v>59371.25</v>
      </c>
      <c r="D4" s="1">
        <f>IF(COUNTIFS(Data!$A$2:$A$1723,D$1,Data!$B$2:$B$1723,$A4)=0,"",SUMIFS(Data!$F$2:$F$1723,Data!$A$2:$A$1723,D$1,Data!$B$2:$B$1723,$A4))</f>
        <v>18291.45</v>
      </c>
      <c r="E4" s="1">
        <f>IF(COUNTIFS(Data!$A$2:$A$1723,E$1,Data!$B$2:$B$1723,$A4)=0,"",SUMIFS(Data!$F$2:$F$1723,Data!$A$2:$A$1723,E$1,Data!$B$2:$B$1723,$A4))</f>
        <v>58078.05</v>
      </c>
      <c r="F4" s="1">
        <f>IF(COUNTIFS(Data!$A$2:$A$1723,F$1,Data!$B$2:$B$1723,$A4)=0,"",SUMIFS(Data!$F$2:$F$1723,Data!$A$2:$A$1723,F$1,Data!$B$2:$B$1723,$A4))</f>
        <v>36078.65</v>
      </c>
      <c r="G4" s="1">
        <f>IF(COUNTIFS(Data!$A$2:$A$1723,G$1,Data!$B$2:$B$1723,$A4)=0,"",SUMIFS(Data!$F$2:$F$1723,Data!$A$2:$A$1723,G$1,Data!$B$2:$B$1723,$A4))</f>
        <v>56772.45</v>
      </c>
      <c r="H4" s="1">
        <f>IF(COUNTIFS(Data!$A$2:$A$1723,H$1,Data!$B$2:$B$1723,$A4)=0,"",SUMIFS(Data!$F$2:$F$1723,Data!$A$2:$A$1723,H$1,Data!$B$2:$B$1723,$A4))</f>
        <v>27218.75</v>
      </c>
    </row>
    <row r="5" spans="1:8" x14ac:dyDescent="0.25">
      <c r="A5" s="21">
        <v>45954</v>
      </c>
      <c r="B5" s="1">
        <f>IF(COUNTIFS(Data!$A$2:$A$1723,B$1,Data!$B$2:$B$1723,$A5)=0,"",SUMIFS(Data!$F$2:$F$1723,Data!$A$2:$A$1723,B$1,Data!$B$2:$B$1723,$A5))</f>
        <v>25795.15</v>
      </c>
      <c r="C5" s="1">
        <f>IF(COUNTIFS(Data!$A$2:$A$1723,C$1,Data!$B$2:$B$1723,$A5)=0,"",SUMIFS(Data!$F$2:$F$1723,Data!$A$2:$A$1723,C$1,Data!$B$2:$B$1723,$A5))</f>
        <v>59231.199999999997</v>
      </c>
      <c r="D5" s="1">
        <f>IF(COUNTIFS(Data!$A$2:$A$1723,D$1,Data!$B$2:$B$1723,$A5)=0,"",SUMIFS(Data!$F$2:$F$1723,Data!$A$2:$A$1723,D$1,Data!$B$2:$B$1723,$A5))</f>
        <v>18253.349999999999</v>
      </c>
      <c r="E5" s="1">
        <f>IF(COUNTIFS(Data!$A$2:$A$1723,E$1,Data!$B$2:$B$1723,$A5)=0,"",SUMIFS(Data!$F$2:$F$1723,Data!$A$2:$A$1723,E$1,Data!$B$2:$B$1723,$A5))</f>
        <v>57699.6</v>
      </c>
      <c r="F5" s="1">
        <f>IF(COUNTIFS(Data!$A$2:$A$1723,F$1,Data!$B$2:$B$1723,$A5)=0,"",SUMIFS(Data!$F$2:$F$1723,Data!$A$2:$A$1723,F$1,Data!$B$2:$B$1723,$A5))</f>
        <v>35986.35</v>
      </c>
      <c r="G5" s="1">
        <f>IF(COUNTIFS(Data!$A$2:$A$1723,G$1,Data!$B$2:$B$1723,$A5)=0,"",SUMIFS(Data!$F$2:$F$1723,Data!$A$2:$A$1723,G$1,Data!$B$2:$B$1723,$A5))</f>
        <v>56348.1</v>
      </c>
      <c r="H5" s="1">
        <f>IF(COUNTIFS(Data!$A$2:$A$1723,H$1,Data!$B$2:$B$1723,$A5)=0,"",SUMIFS(Data!$F$2:$F$1723,Data!$A$2:$A$1723,H$1,Data!$B$2:$B$1723,$A5))</f>
        <v>27108.7</v>
      </c>
    </row>
    <row r="6" spans="1:8" x14ac:dyDescent="0.25">
      <c r="A6" s="21">
        <v>45957</v>
      </c>
      <c r="B6" s="1">
        <f>IF(COUNTIFS(Data!$A$2:$A$1723,B$1,Data!$B$2:$B$1723,$A6)=0,"",SUMIFS(Data!$F$2:$F$1723,Data!$A$2:$A$1723,B$1,Data!$B$2:$B$1723,$A6))</f>
        <v>25966.05</v>
      </c>
      <c r="C6" s="1">
        <f>IF(COUNTIFS(Data!$A$2:$A$1723,C$1,Data!$B$2:$B$1723,$A6)=0,"",SUMIFS(Data!$F$2:$F$1723,Data!$A$2:$A$1723,C$1,Data!$B$2:$B$1723,$A6))</f>
        <v>59780.15</v>
      </c>
      <c r="D6" s="1">
        <f>IF(COUNTIFS(Data!$A$2:$A$1723,D$1,Data!$B$2:$B$1723,$A6)=0,"",SUMIFS(Data!$F$2:$F$1723,Data!$A$2:$A$1723,D$1,Data!$B$2:$B$1723,$A6))</f>
        <v>18403.05</v>
      </c>
      <c r="E6" s="1">
        <f>IF(COUNTIFS(Data!$A$2:$A$1723,E$1,Data!$B$2:$B$1723,$A6)=0,"",SUMIFS(Data!$F$2:$F$1723,Data!$A$2:$A$1723,E$1,Data!$B$2:$B$1723,$A6))</f>
        <v>58114.25</v>
      </c>
      <c r="F6" s="1">
        <f>IF(COUNTIFS(Data!$A$2:$A$1723,F$1,Data!$B$2:$B$1723,$A6)=0,"",SUMIFS(Data!$F$2:$F$1723,Data!$A$2:$A$1723,F$1,Data!$B$2:$B$1723,$A6))</f>
        <v>36129.1</v>
      </c>
      <c r="G6" s="1">
        <f>IF(COUNTIFS(Data!$A$2:$A$1723,G$1,Data!$B$2:$B$1723,$A6)=0,"",SUMIFS(Data!$F$2:$F$1723,Data!$A$2:$A$1723,G$1,Data!$B$2:$B$1723,$A6))</f>
        <v>56428.95</v>
      </c>
      <c r="H6" s="1">
        <f>IF(COUNTIFS(Data!$A$2:$A$1723,H$1,Data!$B$2:$B$1723,$A6)=0,"",SUMIFS(Data!$F$2:$F$1723,Data!$A$2:$A$1723,H$1,Data!$B$2:$B$1723,$A6))</f>
        <v>27263.65</v>
      </c>
    </row>
    <row r="7" spans="1:8" x14ac:dyDescent="0.25">
      <c r="A7" s="21">
        <v>45958</v>
      </c>
      <c r="B7" s="1">
        <f>IF(COUNTIFS(Data!$A$2:$A$1723,B$1,Data!$B$2:$B$1723,$A7)=0,"",SUMIFS(Data!$F$2:$F$1723,Data!$A$2:$A$1723,B$1,Data!$B$2:$B$1723,$A7))</f>
        <v>25936.2</v>
      </c>
      <c r="C7" s="1">
        <f>IF(COUNTIFS(Data!$A$2:$A$1723,C$1,Data!$B$2:$B$1723,$A7)=0,"",SUMIFS(Data!$F$2:$F$1723,Data!$A$2:$A$1723,C$1,Data!$B$2:$B$1723,$A7))</f>
        <v>59765.35</v>
      </c>
      <c r="D7" s="1">
        <f>IF(COUNTIFS(Data!$A$2:$A$1723,D$1,Data!$B$2:$B$1723,$A7)=0,"",SUMIFS(Data!$F$2:$F$1723,Data!$A$2:$A$1723,D$1,Data!$B$2:$B$1723,$A7))</f>
        <v>18407.599999999999</v>
      </c>
      <c r="E7" s="1">
        <f>IF(COUNTIFS(Data!$A$2:$A$1723,E$1,Data!$B$2:$B$1723,$A7)=0,"",SUMIFS(Data!$F$2:$F$1723,Data!$A$2:$A$1723,E$1,Data!$B$2:$B$1723,$A7))</f>
        <v>58214.1</v>
      </c>
      <c r="F7" s="1">
        <f>IF(COUNTIFS(Data!$A$2:$A$1723,F$1,Data!$B$2:$B$1723,$A7)=0,"",SUMIFS(Data!$F$2:$F$1723,Data!$A$2:$A$1723,F$1,Data!$B$2:$B$1723,$A7))</f>
        <v>35860.400000000001</v>
      </c>
      <c r="G7" s="1">
        <f>IF(COUNTIFS(Data!$A$2:$A$1723,G$1,Data!$B$2:$B$1723,$A7)=0,"",SUMIFS(Data!$F$2:$F$1723,Data!$A$2:$A$1723,G$1,Data!$B$2:$B$1723,$A7))</f>
        <v>56110.05</v>
      </c>
      <c r="H7" s="1">
        <f>IF(COUNTIFS(Data!$A$2:$A$1723,H$1,Data!$B$2:$B$1723,$A7)=0,"",SUMIFS(Data!$F$2:$F$1723,Data!$A$2:$A$1723,H$1,Data!$B$2:$B$1723,$A7))</f>
        <v>27148.35</v>
      </c>
    </row>
    <row r="8" spans="1:8" x14ac:dyDescent="0.25">
      <c r="A8" s="21">
        <v>45959</v>
      </c>
      <c r="B8" s="1">
        <f>IF(COUNTIFS(Data!$A$2:$A$1723,B$1,Data!$B$2:$B$1723,$A8)=0,"",SUMIFS(Data!$F$2:$F$1723,Data!$A$2:$A$1723,B$1,Data!$B$2:$B$1723,$A8))</f>
        <v>26053.9</v>
      </c>
      <c r="C8" s="1">
        <f>IF(COUNTIFS(Data!$A$2:$A$1723,C$1,Data!$B$2:$B$1723,$A8)=0,"",SUMIFS(Data!$F$2:$F$1723,Data!$A$2:$A$1723,C$1,Data!$B$2:$B$1723,$A8))</f>
        <v>60149.05</v>
      </c>
      <c r="D8" s="1">
        <f>IF(COUNTIFS(Data!$A$2:$A$1723,D$1,Data!$B$2:$B$1723,$A8)=0,"",SUMIFS(Data!$F$2:$F$1723,Data!$A$2:$A$1723,D$1,Data!$B$2:$B$1723,$A8))</f>
        <v>18487.55</v>
      </c>
      <c r="E8" s="1">
        <f>IF(COUNTIFS(Data!$A$2:$A$1723,E$1,Data!$B$2:$B$1723,$A8)=0,"",SUMIFS(Data!$F$2:$F$1723,Data!$A$2:$A$1723,E$1,Data!$B$2:$B$1723,$A8))</f>
        <v>58385.25</v>
      </c>
      <c r="F8" s="1">
        <f>IF(COUNTIFS(Data!$A$2:$A$1723,F$1,Data!$B$2:$B$1723,$A8)=0,"",SUMIFS(Data!$F$2:$F$1723,Data!$A$2:$A$1723,F$1,Data!$B$2:$B$1723,$A8))</f>
        <v>36090.1</v>
      </c>
      <c r="G8" s="1">
        <f>IF(COUNTIFS(Data!$A$2:$A$1723,G$1,Data!$B$2:$B$1723,$A8)=0,"",SUMIFS(Data!$F$2:$F$1723,Data!$A$2:$A$1723,G$1,Data!$B$2:$B$1723,$A8))</f>
        <v>56615.35</v>
      </c>
      <c r="H8" s="1">
        <f>IF(COUNTIFS(Data!$A$2:$A$1723,H$1,Data!$B$2:$B$1723,$A8)=0,"",SUMIFS(Data!$F$2:$F$1723,Data!$A$2:$A$1723,H$1,Data!$B$2:$B$1723,$A8))</f>
        <v>26948.9</v>
      </c>
    </row>
    <row r="9" spans="1:8" x14ac:dyDescent="0.25">
      <c r="A9" s="21">
        <v>45960</v>
      </c>
      <c r="B9" s="1">
        <f>IF(COUNTIFS(Data!$A$2:$A$1723,B$1,Data!$B$2:$B$1723,$A9)=0,"",SUMIFS(Data!$F$2:$F$1723,Data!$A$2:$A$1723,B$1,Data!$B$2:$B$1723,$A9))</f>
        <v>25877.85</v>
      </c>
      <c r="C9" s="1">
        <f>IF(COUNTIFS(Data!$A$2:$A$1723,C$1,Data!$B$2:$B$1723,$A9)=0,"",SUMIFS(Data!$F$2:$F$1723,Data!$A$2:$A$1723,C$1,Data!$B$2:$B$1723,$A9))</f>
        <v>60096.25</v>
      </c>
      <c r="D9" s="1">
        <f>IF(COUNTIFS(Data!$A$2:$A$1723,D$1,Data!$B$2:$B$1723,$A9)=0,"",SUMIFS(Data!$F$2:$F$1723,Data!$A$2:$A$1723,D$1,Data!$B$2:$B$1723,$A9))</f>
        <v>18469.7</v>
      </c>
      <c r="E9" s="1">
        <f>IF(COUNTIFS(Data!$A$2:$A$1723,E$1,Data!$B$2:$B$1723,$A9)=0,"",SUMIFS(Data!$F$2:$F$1723,Data!$A$2:$A$1723,E$1,Data!$B$2:$B$1723,$A9))</f>
        <v>58031.1</v>
      </c>
      <c r="F9" s="1">
        <f>IF(COUNTIFS(Data!$A$2:$A$1723,F$1,Data!$B$2:$B$1723,$A9)=0,"",SUMIFS(Data!$F$2:$F$1723,Data!$A$2:$A$1723,F$1,Data!$B$2:$B$1723,$A9))</f>
        <v>35906.400000000001</v>
      </c>
      <c r="G9" s="1">
        <f>IF(COUNTIFS(Data!$A$2:$A$1723,G$1,Data!$B$2:$B$1723,$A9)=0,"",SUMIFS(Data!$F$2:$F$1723,Data!$A$2:$A$1723,G$1,Data!$B$2:$B$1723,$A9))</f>
        <v>56343.5</v>
      </c>
      <c r="H9" s="1">
        <f>IF(COUNTIFS(Data!$A$2:$A$1723,H$1,Data!$B$2:$B$1723,$A9)=0,"",SUMIFS(Data!$F$2:$F$1723,Data!$A$2:$A$1723,H$1,Data!$B$2:$B$1723,$A9))</f>
        <v>26829.55</v>
      </c>
    </row>
    <row r="10" spans="1:8" x14ac:dyDescent="0.25">
      <c r="A10" s="21">
        <v>45961</v>
      </c>
      <c r="B10" s="1">
        <f>IF(COUNTIFS(Data!$A$2:$A$1723,B$1,Data!$B$2:$B$1723,$A10)=0,"",SUMIFS(Data!$F$2:$F$1723,Data!$A$2:$A$1723,B$1,Data!$B$2:$B$1723,$A10))</f>
        <v>25722.1</v>
      </c>
      <c r="C10" s="1">
        <f>IF(COUNTIFS(Data!$A$2:$A$1723,C$1,Data!$B$2:$B$1723,$A10)=0,"",SUMIFS(Data!$F$2:$F$1723,Data!$A$2:$A$1723,C$1,Data!$B$2:$B$1723,$A10))</f>
        <v>59825.9</v>
      </c>
      <c r="D10" s="1">
        <f>IF(COUNTIFS(Data!$A$2:$A$1723,D$1,Data!$B$2:$B$1723,$A10)=0,"",SUMIFS(Data!$F$2:$F$1723,Data!$A$2:$A$1723,D$1,Data!$B$2:$B$1723,$A10))</f>
        <v>18380.8</v>
      </c>
      <c r="E10" s="1">
        <f>IF(COUNTIFS(Data!$A$2:$A$1723,E$1,Data!$B$2:$B$1723,$A10)=0,"",SUMIFS(Data!$F$2:$F$1723,Data!$A$2:$A$1723,E$1,Data!$B$2:$B$1723,$A10))</f>
        <v>57776.35</v>
      </c>
      <c r="F10" s="1">
        <f>IF(COUNTIFS(Data!$A$2:$A$1723,F$1,Data!$B$2:$B$1723,$A10)=0,"",SUMIFS(Data!$F$2:$F$1723,Data!$A$2:$A$1723,F$1,Data!$B$2:$B$1723,$A10))</f>
        <v>35712.35</v>
      </c>
      <c r="G10" s="1">
        <f>IF(COUNTIFS(Data!$A$2:$A$1723,G$1,Data!$B$2:$B$1723,$A10)=0,"",SUMIFS(Data!$F$2:$F$1723,Data!$A$2:$A$1723,G$1,Data!$B$2:$B$1723,$A10))</f>
        <v>56208.5</v>
      </c>
      <c r="H10" s="1">
        <f>IF(COUNTIFS(Data!$A$2:$A$1723,H$1,Data!$B$2:$B$1723,$A10)=0,"",SUMIFS(Data!$F$2:$F$1723,Data!$A$2:$A$1723,H$1,Data!$B$2:$B$1723,$A10))</f>
        <v>26809.85</v>
      </c>
    </row>
    <row r="11" spans="1:8" x14ac:dyDescent="0.25">
      <c r="A11" s="21">
        <v>45964</v>
      </c>
      <c r="B11" s="1">
        <f>IF(COUNTIFS(Data!$A$2:$A$1723,B$1,Data!$B$2:$B$1723,$A11)=0,"",SUMIFS(Data!$F$2:$F$1723,Data!$A$2:$A$1723,B$1,Data!$B$2:$B$1723,$A11))</f>
        <v>25763.35</v>
      </c>
      <c r="C11" s="1">
        <f>IF(COUNTIFS(Data!$A$2:$A$1723,C$1,Data!$B$2:$B$1723,$A11)=0,"",SUMIFS(Data!$F$2:$F$1723,Data!$A$2:$A$1723,C$1,Data!$B$2:$B$1723,$A11))</f>
        <v>60287.4</v>
      </c>
      <c r="D11" s="1">
        <f>IF(COUNTIFS(Data!$A$2:$A$1723,D$1,Data!$B$2:$B$1723,$A11)=0,"",SUMIFS(Data!$F$2:$F$1723,Data!$A$2:$A$1723,D$1,Data!$B$2:$B$1723,$A11))</f>
        <v>18513.400000000001</v>
      </c>
      <c r="E11" s="1">
        <f>IF(COUNTIFS(Data!$A$2:$A$1723,E$1,Data!$B$2:$B$1723,$A11)=0,"",SUMIFS(Data!$F$2:$F$1723,Data!$A$2:$A$1723,E$1,Data!$B$2:$B$1723,$A11))</f>
        <v>58101.45</v>
      </c>
      <c r="F11" s="1">
        <f>IF(COUNTIFS(Data!$A$2:$A$1723,F$1,Data!$B$2:$B$1723,$A11)=0,"",SUMIFS(Data!$F$2:$F$1723,Data!$A$2:$A$1723,F$1,Data!$B$2:$B$1723,$A11))</f>
        <v>35653.050000000003</v>
      </c>
      <c r="G11" s="1">
        <f>IF(COUNTIFS(Data!$A$2:$A$1723,G$1,Data!$B$2:$B$1723,$A11)=0,"",SUMIFS(Data!$F$2:$F$1723,Data!$A$2:$A$1723,G$1,Data!$B$2:$B$1723,$A11))</f>
        <v>56153.7</v>
      </c>
      <c r="H11" s="1">
        <f>IF(COUNTIFS(Data!$A$2:$A$1723,H$1,Data!$B$2:$B$1723,$A11)=0,"",SUMIFS(Data!$F$2:$F$1723,Data!$A$2:$A$1723,H$1,Data!$B$2:$B$1723,$A11))</f>
        <v>26841.8</v>
      </c>
    </row>
    <row r="12" spans="1:8" x14ac:dyDescent="0.25">
      <c r="A12" s="21">
        <v>45965</v>
      </c>
      <c r="B12" s="1">
        <f>IF(COUNTIFS(Data!$A$2:$A$1723,B$1,Data!$B$2:$B$1723,$A12)=0,"",SUMIFS(Data!$F$2:$F$1723,Data!$A$2:$A$1723,B$1,Data!$B$2:$B$1723,$A12))</f>
        <v>25597.65</v>
      </c>
      <c r="C12" s="1">
        <f>IF(COUNTIFS(Data!$A$2:$A$1723,C$1,Data!$B$2:$B$1723,$A12)=0,"",SUMIFS(Data!$F$2:$F$1723,Data!$A$2:$A$1723,C$1,Data!$B$2:$B$1723,$A12))</f>
        <v>60037.2</v>
      </c>
      <c r="D12" s="1">
        <f>IF(COUNTIFS(Data!$A$2:$A$1723,D$1,Data!$B$2:$B$1723,$A12)=0,"",SUMIFS(Data!$F$2:$F$1723,Data!$A$2:$A$1723,D$1,Data!$B$2:$B$1723,$A12))</f>
        <v>18360.900000000001</v>
      </c>
      <c r="E12" s="1">
        <f>IF(COUNTIFS(Data!$A$2:$A$1723,E$1,Data!$B$2:$B$1723,$A12)=0,"",SUMIFS(Data!$F$2:$F$1723,Data!$A$2:$A$1723,E$1,Data!$B$2:$B$1723,$A12))</f>
        <v>57827.05</v>
      </c>
      <c r="F12" s="1">
        <f>IF(COUNTIFS(Data!$A$2:$A$1723,F$1,Data!$B$2:$B$1723,$A12)=0,"",SUMIFS(Data!$F$2:$F$1723,Data!$A$2:$A$1723,F$1,Data!$B$2:$B$1723,$A12))</f>
        <v>35274.550000000003</v>
      </c>
      <c r="G12" s="1">
        <f>IF(COUNTIFS(Data!$A$2:$A$1723,G$1,Data!$B$2:$B$1723,$A12)=0,"",SUMIFS(Data!$F$2:$F$1723,Data!$A$2:$A$1723,G$1,Data!$B$2:$B$1723,$A12))</f>
        <v>55815.6</v>
      </c>
      <c r="H12" s="1">
        <f>IF(COUNTIFS(Data!$A$2:$A$1723,H$1,Data!$B$2:$B$1723,$A12)=0,"",SUMIFS(Data!$F$2:$F$1723,Data!$A$2:$A$1723,H$1,Data!$B$2:$B$1723,$A12))</f>
        <v>26610.05</v>
      </c>
    </row>
    <row r="13" spans="1:8" x14ac:dyDescent="0.25">
      <c r="A13" s="21">
        <v>45967</v>
      </c>
      <c r="B13" s="1">
        <f>IF(COUNTIFS(Data!$A$2:$A$1723,B$1,Data!$B$2:$B$1723,$A13)=0,"",SUMIFS(Data!$F$2:$F$1723,Data!$A$2:$A$1723,B$1,Data!$B$2:$B$1723,$A13))</f>
        <v>25509.7</v>
      </c>
      <c r="C13" s="1">
        <f>IF(COUNTIFS(Data!$A$2:$A$1723,C$1,Data!$B$2:$B$1723,$A13)=0,"",SUMIFS(Data!$F$2:$F$1723,Data!$A$2:$A$1723,C$1,Data!$B$2:$B$1723,$A13))</f>
        <v>59468.6</v>
      </c>
      <c r="D13" s="1">
        <f>IF(COUNTIFS(Data!$A$2:$A$1723,D$1,Data!$B$2:$B$1723,$A13)=0,"",SUMIFS(Data!$F$2:$F$1723,Data!$A$2:$A$1723,D$1,Data!$B$2:$B$1723,$A13))</f>
        <v>18105</v>
      </c>
      <c r="E13" s="1">
        <f>IF(COUNTIFS(Data!$A$2:$A$1723,E$1,Data!$B$2:$B$1723,$A13)=0,"",SUMIFS(Data!$F$2:$F$1723,Data!$A$2:$A$1723,E$1,Data!$B$2:$B$1723,$A13))</f>
        <v>57554.25</v>
      </c>
      <c r="F13" s="1">
        <f>IF(COUNTIFS(Data!$A$2:$A$1723,F$1,Data!$B$2:$B$1723,$A13)=0,"",SUMIFS(Data!$F$2:$F$1723,Data!$A$2:$A$1723,F$1,Data!$B$2:$B$1723,$A13))</f>
        <v>35337.599999999999</v>
      </c>
      <c r="G13" s="1">
        <f>IF(COUNTIFS(Data!$A$2:$A$1723,G$1,Data!$B$2:$B$1723,$A13)=0,"",SUMIFS(Data!$F$2:$F$1723,Data!$A$2:$A$1723,G$1,Data!$B$2:$B$1723,$A13))</f>
        <v>55711.75</v>
      </c>
      <c r="H13" s="1">
        <f>IF(COUNTIFS(Data!$A$2:$A$1723,H$1,Data!$B$2:$B$1723,$A13)=0,"",SUMIFS(Data!$F$2:$F$1723,Data!$A$2:$A$1723,H$1,Data!$B$2:$B$1723,$A13))</f>
        <v>26626.5</v>
      </c>
    </row>
    <row r="14" spans="1:8" x14ac:dyDescent="0.25">
      <c r="A14" s="21">
        <v>45968</v>
      </c>
      <c r="B14" s="1">
        <f>IF(COUNTIFS(Data!$A$2:$A$1723,B$1,Data!$B$2:$B$1723,$A14)=0,"",SUMIFS(Data!$F$2:$F$1723,Data!$A$2:$A$1723,B$1,Data!$B$2:$B$1723,$A14))</f>
        <v>25492.3</v>
      </c>
      <c r="C14" s="1">
        <f>IF(COUNTIFS(Data!$A$2:$A$1723,C$1,Data!$B$2:$B$1723,$A14)=0,"",SUMIFS(Data!$F$2:$F$1723,Data!$A$2:$A$1723,C$1,Data!$B$2:$B$1723,$A14))</f>
        <v>59843.15</v>
      </c>
      <c r="D14" s="1">
        <f>IF(COUNTIFS(Data!$A$2:$A$1723,D$1,Data!$B$2:$B$1723,$A14)=0,"",SUMIFS(Data!$F$2:$F$1723,Data!$A$2:$A$1723,D$1,Data!$B$2:$B$1723,$A14))</f>
        <v>18075.95</v>
      </c>
      <c r="E14" s="1">
        <f>IF(COUNTIFS(Data!$A$2:$A$1723,E$1,Data!$B$2:$B$1723,$A14)=0,"",SUMIFS(Data!$F$2:$F$1723,Data!$A$2:$A$1723,E$1,Data!$B$2:$B$1723,$A14))</f>
        <v>57876.800000000003</v>
      </c>
      <c r="F14" s="1">
        <f>IF(COUNTIFS(Data!$A$2:$A$1723,F$1,Data!$B$2:$B$1723,$A14)=0,"",SUMIFS(Data!$F$2:$F$1723,Data!$A$2:$A$1723,F$1,Data!$B$2:$B$1723,$A14))</f>
        <v>35117.599999999999</v>
      </c>
      <c r="G14" s="1">
        <f>IF(COUNTIFS(Data!$A$2:$A$1723,G$1,Data!$B$2:$B$1723,$A14)=0,"",SUMIFS(Data!$F$2:$F$1723,Data!$A$2:$A$1723,G$1,Data!$B$2:$B$1723,$A14))</f>
        <v>55437.2</v>
      </c>
      <c r="H14" s="1">
        <f>IF(COUNTIFS(Data!$A$2:$A$1723,H$1,Data!$B$2:$B$1723,$A14)=0,"",SUMIFS(Data!$F$2:$F$1723,Data!$A$2:$A$1723,H$1,Data!$B$2:$B$1723,$A14))</f>
        <v>26779.55</v>
      </c>
    </row>
    <row r="15" spans="1:8" x14ac:dyDescent="0.25">
      <c r="A15" s="21">
        <v>45971</v>
      </c>
      <c r="B15" s="1">
        <f>IF(COUNTIFS(Data!$A$2:$A$1723,B$1,Data!$B$2:$B$1723,$A15)=0,"",SUMIFS(Data!$F$2:$F$1723,Data!$A$2:$A$1723,B$1,Data!$B$2:$B$1723,$A15))</f>
        <v>25574.35</v>
      </c>
      <c r="C15" s="1">
        <f>IF(COUNTIFS(Data!$A$2:$A$1723,C$1,Data!$B$2:$B$1723,$A15)=0,"",SUMIFS(Data!$F$2:$F$1723,Data!$A$2:$A$1723,C$1,Data!$B$2:$B$1723,$A15))</f>
        <v>60124.25</v>
      </c>
      <c r="D15" s="1">
        <f>IF(COUNTIFS(Data!$A$2:$A$1723,D$1,Data!$B$2:$B$1723,$A15)=0,"",SUMIFS(Data!$F$2:$F$1723,Data!$A$2:$A$1723,D$1,Data!$B$2:$B$1723,$A15))</f>
        <v>18138.599999999999</v>
      </c>
      <c r="E15" s="1">
        <f>IF(COUNTIFS(Data!$A$2:$A$1723,E$1,Data!$B$2:$B$1723,$A15)=0,"",SUMIFS(Data!$F$2:$F$1723,Data!$A$2:$A$1723,E$1,Data!$B$2:$B$1723,$A15))</f>
        <v>57937.55</v>
      </c>
      <c r="F15" s="1">
        <f>IF(COUNTIFS(Data!$A$2:$A$1723,F$1,Data!$B$2:$B$1723,$A15)=0,"",SUMIFS(Data!$F$2:$F$1723,Data!$A$2:$A$1723,F$1,Data!$B$2:$B$1723,$A15))</f>
        <v>35688.25</v>
      </c>
      <c r="G15" s="1">
        <f>IF(COUNTIFS(Data!$A$2:$A$1723,G$1,Data!$B$2:$B$1723,$A15)=0,"",SUMIFS(Data!$F$2:$F$1723,Data!$A$2:$A$1723,G$1,Data!$B$2:$B$1723,$A15))</f>
        <v>55334.45</v>
      </c>
      <c r="H15" s="1">
        <f>IF(COUNTIFS(Data!$A$2:$A$1723,H$1,Data!$B$2:$B$1723,$A15)=0,"",SUMIFS(Data!$F$2:$F$1723,Data!$A$2:$A$1723,H$1,Data!$B$2:$B$1723,$A15))</f>
        <v>26859.85</v>
      </c>
    </row>
    <row r="16" spans="1:8" x14ac:dyDescent="0.25">
      <c r="A16" s="21">
        <v>45972</v>
      </c>
      <c r="B16" s="1">
        <f>IF(COUNTIFS(Data!$A$2:$A$1723,B$1,Data!$B$2:$B$1723,$A16)=0,"",SUMIFS(Data!$F$2:$F$1723,Data!$A$2:$A$1723,B$1,Data!$B$2:$B$1723,$A16))</f>
        <v>25694.95</v>
      </c>
      <c r="C16" s="1">
        <f>IF(COUNTIFS(Data!$A$2:$A$1723,C$1,Data!$B$2:$B$1723,$A16)=0,"",SUMIFS(Data!$F$2:$F$1723,Data!$A$2:$A$1723,C$1,Data!$B$2:$B$1723,$A16))</f>
        <v>60427</v>
      </c>
      <c r="D16" s="1">
        <f>IF(COUNTIFS(Data!$A$2:$A$1723,D$1,Data!$B$2:$B$1723,$A16)=0,"",SUMIFS(Data!$F$2:$F$1723,Data!$A$2:$A$1723,D$1,Data!$B$2:$B$1723,$A16))</f>
        <v>18101.400000000001</v>
      </c>
      <c r="E16" s="1">
        <f>IF(COUNTIFS(Data!$A$2:$A$1723,E$1,Data!$B$2:$B$1723,$A16)=0,"",SUMIFS(Data!$F$2:$F$1723,Data!$A$2:$A$1723,E$1,Data!$B$2:$B$1723,$A16))</f>
        <v>58138.15</v>
      </c>
      <c r="F16" s="1">
        <f>IF(COUNTIFS(Data!$A$2:$A$1723,F$1,Data!$B$2:$B$1723,$A16)=0,"",SUMIFS(Data!$F$2:$F$1723,Data!$A$2:$A$1723,F$1,Data!$B$2:$B$1723,$A16))</f>
        <v>36116.9</v>
      </c>
      <c r="G16" s="1">
        <f>IF(COUNTIFS(Data!$A$2:$A$1723,G$1,Data!$B$2:$B$1723,$A16)=0,"",SUMIFS(Data!$F$2:$F$1723,Data!$A$2:$A$1723,G$1,Data!$B$2:$B$1723,$A16))</f>
        <v>55523.05</v>
      </c>
      <c r="H16" s="1">
        <f>IF(COUNTIFS(Data!$A$2:$A$1723,H$1,Data!$B$2:$B$1723,$A16)=0,"",SUMIFS(Data!$F$2:$F$1723,Data!$A$2:$A$1723,H$1,Data!$B$2:$B$1723,$A16))</f>
        <v>27148.25</v>
      </c>
    </row>
    <row r="17" spans="1:8" x14ac:dyDescent="0.25">
      <c r="A17" s="21">
        <v>45973</v>
      </c>
      <c r="B17" s="1">
        <f>IF(COUNTIFS(Data!$A$2:$A$1723,B$1,Data!$B$2:$B$1723,$A17)=0,"",SUMIFS(Data!$F$2:$F$1723,Data!$A$2:$A$1723,B$1,Data!$B$2:$B$1723,$A17))</f>
        <v>25875.8</v>
      </c>
      <c r="C17" s="1">
        <f>IF(COUNTIFS(Data!$A$2:$A$1723,C$1,Data!$B$2:$B$1723,$A17)=0,"",SUMIFS(Data!$F$2:$F$1723,Data!$A$2:$A$1723,C$1,Data!$B$2:$B$1723,$A17))</f>
        <v>60902.3</v>
      </c>
      <c r="D17" s="1">
        <f>IF(COUNTIFS(Data!$A$2:$A$1723,D$1,Data!$B$2:$B$1723,$A17)=0,"",SUMIFS(Data!$F$2:$F$1723,Data!$A$2:$A$1723,D$1,Data!$B$2:$B$1723,$A17))</f>
        <v>18250.45</v>
      </c>
      <c r="E17" s="1">
        <f>IF(COUNTIFS(Data!$A$2:$A$1723,E$1,Data!$B$2:$B$1723,$A17)=0,"",SUMIFS(Data!$F$2:$F$1723,Data!$A$2:$A$1723,E$1,Data!$B$2:$B$1723,$A17))</f>
        <v>58274.65</v>
      </c>
      <c r="F17" s="1">
        <f>IF(COUNTIFS(Data!$A$2:$A$1723,F$1,Data!$B$2:$B$1723,$A17)=0,"",SUMIFS(Data!$F$2:$F$1723,Data!$A$2:$A$1723,F$1,Data!$B$2:$B$1723,$A17))</f>
        <v>36855.4</v>
      </c>
      <c r="G17" s="1">
        <f>IF(COUNTIFS(Data!$A$2:$A$1723,G$1,Data!$B$2:$B$1723,$A17)=0,"",SUMIFS(Data!$F$2:$F$1723,Data!$A$2:$A$1723,G$1,Data!$B$2:$B$1723,$A17))</f>
        <v>55529.2</v>
      </c>
      <c r="H17" s="1">
        <f>IF(COUNTIFS(Data!$A$2:$A$1723,H$1,Data!$B$2:$B$1723,$A17)=0,"",SUMIFS(Data!$F$2:$F$1723,Data!$A$2:$A$1723,H$1,Data!$B$2:$B$1723,$A17))</f>
        <v>27485.15</v>
      </c>
    </row>
    <row r="18" spans="1:8" x14ac:dyDescent="0.25">
      <c r="A18" s="21">
        <v>45974</v>
      </c>
      <c r="B18" s="1">
        <f>IF(COUNTIFS(Data!$A$2:$A$1723,B$1,Data!$B$2:$B$1723,$A18)=0,"",SUMIFS(Data!$F$2:$F$1723,Data!$A$2:$A$1723,B$1,Data!$B$2:$B$1723,$A18))</f>
        <v>25879.15</v>
      </c>
      <c r="C18" s="1">
        <f>IF(COUNTIFS(Data!$A$2:$A$1723,C$1,Data!$B$2:$B$1723,$A18)=0,"",SUMIFS(Data!$F$2:$F$1723,Data!$A$2:$A$1723,C$1,Data!$B$2:$B$1723,$A18))</f>
        <v>60692.05</v>
      </c>
      <c r="D18" s="1">
        <f>IF(COUNTIFS(Data!$A$2:$A$1723,D$1,Data!$B$2:$B$1723,$A18)=0,"",SUMIFS(Data!$F$2:$F$1723,Data!$A$2:$A$1723,D$1,Data!$B$2:$B$1723,$A18))</f>
        <v>18183.650000000001</v>
      </c>
      <c r="E18" s="1">
        <f>IF(COUNTIFS(Data!$A$2:$A$1723,E$1,Data!$B$2:$B$1723,$A18)=0,"",SUMIFS(Data!$F$2:$F$1723,Data!$A$2:$A$1723,E$1,Data!$B$2:$B$1723,$A18))</f>
        <v>58381.95</v>
      </c>
      <c r="F18" s="1">
        <f>IF(COUNTIFS(Data!$A$2:$A$1723,F$1,Data!$B$2:$B$1723,$A18)=0,"",SUMIFS(Data!$F$2:$F$1723,Data!$A$2:$A$1723,F$1,Data!$B$2:$B$1723,$A18))</f>
        <v>36679.449999999997</v>
      </c>
      <c r="G18" s="1">
        <f>IF(COUNTIFS(Data!$A$2:$A$1723,G$1,Data!$B$2:$B$1723,$A18)=0,"",SUMIFS(Data!$F$2:$F$1723,Data!$A$2:$A$1723,G$1,Data!$B$2:$B$1723,$A18))</f>
        <v>55243.5</v>
      </c>
      <c r="H18" s="1">
        <f>IF(COUNTIFS(Data!$A$2:$A$1723,H$1,Data!$B$2:$B$1723,$A18)=0,"",SUMIFS(Data!$F$2:$F$1723,Data!$A$2:$A$1723,H$1,Data!$B$2:$B$1723,$A18))</f>
        <v>27382.799999999999</v>
      </c>
    </row>
    <row r="19" spans="1:8" x14ac:dyDescent="0.25">
      <c r="A19" s="21">
        <v>45975</v>
      </c>
      <c r="B19" s="1">
        <f>IF(COUNTIFS(Data!$A$2:$A$1723,B$1,Data!$B$2:$B$1723,$A19)=0,"",SUMIFS(Data!$F$2:$F$1723,Data!$A$2:$A$1723,B$1,Data!$B$2:$B$1723,$A19))</f>
        <v>25910.05</v>
      </c>
      <c r="C19" s="1">
        <f>IF(COUNTIFS(Data!$A$2:$A$1723,C$1,Data!$B$2:$B$1723,$A19)=0,"",SUMIFS(Data!$F$2:$F$1723,Data!$A$2:$A$1723,C$1,Data!$B$2:$B$1723,$A19))</f>
        <v>60739.199999999997</v>
      </c>
      <c r="D19" s="1">
        <f>IF(COUNTIFS(Data!$A$2:$A$1723,D$1,Data!$B$2:$B$1723,$A19)=0,"",SUMIFS(Data!$F$2:$F$1723,Data!$A$2:$A$1723,D$1,Data!$B$2:$B$1723,$A19))</f>
        <v>18252.5</v>
      </c>
      <c r="E19" s="1">
        <f>IF(COUNTIFS(Data!$A$2:$A$1723,E$1,Data!$B$2:$B$1723,$A19)=0,"",SUMIFS(Data!$F$2:$F$1723,Data!$A$2:$A$1723,E$1,Data!$B$2:$B$1723,$A19))</f>
        <v>58517.55</v>
      </c>
      <c r="F19" s="1">
        <f>IF(COUNTIFS(Data!$A$2:$A$1723,F$1,Data!$B$2:$B$1723,$A19)=0,"",SUMIFS(Data!$F$2:$F$1723,Data!$A$2:$A$1723,F$1,Data!$B$2:$B$1723,$A19))</f>
        <v>36301.25</v>
      </c>
      <c r="G19" s="1">
        <f>IF(COUNTIFS(Data!$A$2:$A$1723,G$1,Data!$B$2:$B$1723,$A19)=0,"",SUMIFS(Data!$F$2:$F$1723,Data!$A$2:$A$1723,G$1,Data!$B$2:$B$1723,$A19))</f>
        <v>55560.800000000003</v>
      </c>
      <c r="H19" s="1">
        <f>IF(COUNTIFS(Data!$A$2:$A$1723,H$1,Data!$B$2:$B$1723,$A19)=0,"",SUMIFS(Data!$F$2:$F$1723,Data!$A$2:$A$1723,H$1,Data!$B$2:$B$1723,$A19))</f>
        <v>27239.8</v>
      </c>
    </row>
    <row r="20" spans="1:8" x14ac:dyDescent="0.25">
      <c r="A20" s="21">
        <v>45978</v>
      </c>
      <c r="B20" s="1">
        <f>IF(COUNTIFS(Data!$A$2:$A$1723,B$1,Data!$B$2:$B$1723,$A20)=0,"",SUMIFS(Data!$F$2:$F$1723,Data!$A$2:$A$1723,B$1,Data!$B$2:$B$1723,$A20))</f>
        <v>26013.45</v>
      </c>
      <c r="C20" s="1">
        <f>IF(COUNTIFS(Data!$A$2:$A$1723,C$1,Data!$B$2:$B$1723,$A20)=0,"",SUMIFS(Data!$F$2:$F$1723,Data!$A$2:$A$1723,C$1,Data!$B$2:$B$1723,$A20))</f>
        <v>61180.5</v>
      </c>
      <c r="D20" s="1">
        <f>IF(COUNTIFS(Data!$A$2:$A$1723,D$1,Data!$B$2:$B$1723,$A20)=0,"",SUMIFS(Data!$F$2:$F$1723,Data!$A$2:$A$1723,D$1,Data!$B$2:$B$1723,$A20))</f>
        <v>18347.599999999999</v>
      </c>
      <c r="E20" s="1">
        <f>IF(COUNTIFS(Data!$A$2:$A$1723,E$1,Data!$B$2:$B$1723,$A20)=0,"",SUMIFS(Data!$F$2:$F$1723,Data!$A$2:$A$1723,E$1,Data!$B$2:$B$1723,$A20))</f>
        <v>58962.7</v>
      </c>
      <c r="F20" s="1">
        <f>IF(COUNTIFS(Data!$A$2:$A$1723,F$1,Data!$B$2:$B$1723,$A20)=0,"",SUMIFS(Data!$F$2:$F$1723,Data!$A$2:$A$1723,F$1,Data!$B$2:$B$1723,$A20))</f>
        <v>36375.199999999997</v>
      </c>
      <c r="G20" s="1">
        <f>IF(COUNTIFS(Data!$A$2:$A$1723,G$1,Data!$B$2:$B$1723,$A20)=0,"",SUMIFS(Data!$F$2:$F$1723,Data!$A$2:$A$1723,G$1,Data!$B$2:$B$1723,$A20))</f>
        <v>55677.15</v>
      </c>
      <c r="H20" s="1">
        <f>IF(COUNTIFS(Data!$A$2:$A$1723,H$1,Data!$B$2:$B$1723,$A20)=0,"",SUMIFS(Data!$F$2:$F$1723,Data!$A$2:$A$1723,H$1,Data!$B$2:$B$1723,$A20))</f>
        <v>27472.65</v>
      </c>
    </row>
    <row r="21" spans="1:8" x14ac:dyDescent="0.25">
      <c r="A21" s="21">
        <v>45979</v>
      </c>
      <c r="B21" s="1">
        <f>IF(COUNTIFS(Data!$A$2:$A$1723,B$1,Data!$B$2:$B$1723,$A21)=0,"",SUMIFS(Data!$F$2:$F$1723,Data!$A$2:$A$1723,B$1,Data!$B$2:$B$1723,$A21))</f>
        <v>25910.05</v>
      </c>
      <c r="C21" s="1">
        <f>IF(COUNTIFS(Data!$A$2:$A$1723,C$1,Data!$B$2:$B$1723,$A21)=0,"",SUMIFS(Data!$F$2:$F$1723,Data!$A$2:$A$1723,C$1,Data!$B$2:$B$1723,$A21))</f>
        <v>60822</v>
      </c>
      <c r="D21" s="1">
        <f>IF(COUNTIFS(Data!$A$2:$A$1723,D$1,Data!$B$2:$B$1723,$A21)=0,"",SUMIFS(Data!$F$2:$F$1723,Data!$A$2:$A$1723,D$1,Data!$B$2:$B$1723,$A21))</f>
        <v>18154.75</v>
      </c>
      <c r="E21" s="1">
        <f>IF(COUNTIFS(Data!$A$2:$A$1723,E$1,Data!$B$2:$B$1723,$A21)=0,"",SUMIFS(Data!$F$2:$F$1723,Data!$A$2:$A$1723,E$1,Data!$B$2:$B$1723,$A21))</f>
        <v>58899.25</v>
      </c>
      <c r="F21" s="1">
        <f>IF(COUNTIFS(Data!$A$2:$A$1723,F$1,Data!$B$2:$B$1723,$A21)=0,"",SUMIFS(Data!$F$2:$F$1723,Data!$A$2:$A$1723,F$1,Data!$B$2:$B$1723,$A21))</f>
        <v>35975.199999999997</v>
      </c>
      <c r="G21" s="1">
        <f>IF(COUNTIFS(Data!$A$2:$A$1723,G$1,Data!$B$2:$B$1723,$A21)=0,"",SUMIFS(Data!$F$2:$F$1723,Data!$A$2:$A$1723,G$1,Data!$B$2:$B$1723,$A21))</f>
        <v>55363.45</v>
      </c>
      <c r="H21" s="1">
        <f>IF(COUNTIFS(Data!$A$2:$A$1723,H$1,Data!$B$2:$B$1723,$A21)=0,"",SUMIFS(Data!$F$2:$F$1723,Data!$A$2:$A$1723,H$1,Data!$B$2:$B$1723,$A21))</f>
        <v>27368.25</v>
      </c>
    </row>
    <row r="22" spans="1:8" x14ac:dyDescent="0.25">
      <c r="A22" s="21">
        <v>45980</v>
      </c>
      <c r="B22" s="1">
        <f>IF(COUNTIFS(Data!$A$2:$A$1723,B$1,Data!$B$2:$B$1723,$A22)=0,"",SUMIFS(Data!$F$2:$F$1723,Data!$A$2:$A$1723,B$1,Data!$B$2:$B$1723,$A22))</f>
        <v>26052.65</v>
      </c>
      <c r="C22" s="1">
        <f>IF(COUNTIFS(Data!$A$2:$A$1723,C$1,Data!$B$2:$B$1723,$A22)=0,"",SUMIFS(Data!$F$2:$F$1723,Data!$A$2:$A$1723,C$1,Data!$B$2:$B$1723,$A22))</f>
        <v>60949.05</v>
      </c>
      <c r="D22" s="1">
        <f>IF(COUNTIFS(Data!$A$2:$A$1723,D$1,Data!$B$2:$B$1723,$A22)=0,"",SUMIFS(Data!$F$2:$F$1723,Data!$A$2:$A$1723,D$1,Data!$B$2:$B$1723,$A22))</f>
        <v>18075.95</v>
      </c>
      <c r="E22" s="1">
        <f>IF(COUNTIFS(Data!$A$2:$A$1723,E$1,Data!$B$2:$B$1723,$A22)=0,"",SUMIFS(Data!$F$2:$F$1723,Data!$A$2:$A$1723,E$1,Data!$B$2:$B$1723,$A22))</f>
        <v>59216.05</v>
      </c>
      <c r="F22" s="1">
        <f>IF(COUNTIFS(Data!$A$2:$A$1723,F$1,Data!$B$2:$B$1723,$A22)=0,"",SUMIFS(Data!$F$2:$F$1723,Data!$A$2:$A$1723,F$1,Data!$B$2:$B$1723,$A22))</f>
        <v>37044.65</v>
      </c>
      <c r="G22" s="1">
        <f>IF(COUNTIFS(Data!$A$2:$A$1723,G$1,Data!$B$2:$B$1723,$A22)=0,"",SUMIFS(Data!$F$2:$F$1723,Data!$A$2:$A$1723,G$1,Data!$B$2:$B$1723,$A22))</f>
        <v>55380.800000000003</v>
      </c>
      <c r="H22" s="1">
        <f>IF(COUNTIFS(Data!$A$2:$A$1723,H$1,Data!$B$2:$B$1723,$A22)=0,"",SUMIFS(Data!$F$2:$F$1723,Data!$A$2:$A$1723,H$1,Data!$B$2:$B$1723,$A22))</f>
        <v>27434.45</v>
      </c>
    </row>
    <row r="23" spans="1:8" x14ac:dyDescent="0.25">
      <c r="A23" s="21">
        <v>45981</v>
      </c>
      <c r="B23" s="1">
        <f>IF(COUNTIFS(Data!$A$2:$A$1723,B$1,Data!$B$2:$B$1723,$A23)=0,"",SUMIFS(Data!$F$2:$F$1723,Data!$A$2:$A$1723,B$1,Data!$B$2:$B$1723,$A23))</f>
        <v>26192.15</v>
      </c>
      <c r="C23" s="1">
        <f>IF(COUNTIFS(Data!$A$2:$A$1723,C$1,Data!$B$2:$B$1723,$A23)=0,"",SUMIFS(Data!$F$2:$F$1723,Data!$A$2:$A$1723,C$1,Data!$B$2:$B$1723,$A23))</f>
        <v>60963.55</v>
      </c>
      <c r="D23" s="1">
        <f>IF(COUNTIFS(Data!$A$2:$A$1723,D$1,Data!$B$2:$B$1723,$A23)=0,"",SUMIFS(Data!$F$2:$F$1723,Data!$A$2:$A$1723,D$1,Data!$B$2:$B$1723,$A23))</f>
        <v>18067.25</v>
      </c>
      <c r="E23" s="1">
        <f>IF(COUNTIFS(Data!$A$2:$A$1723,E$1,Data!$B$2:$B$1723,$A23)=0,"",SUMIFS(Data!$F$2:$F$1723,Data!$A$2:$A$1723,E$1,Data!$B$2:$B$1723,$A23))</f>
        <v>59347.7</v>
      </c>
      <c r="F23" s="1">
        <f>IF(COUNTIFS(Data!$A$2:$A$1723,F$1,Data!$B$2:$B$1723,$A23)=0,"",SUMIFS(Data!$F$2:$F$1723,Data!$A$2:$A$1723,F$1,Data!$B$2:$B$1723,$A23))</f>
        <v>37043.300000000003</v>
      </c>
      <c r="G23" s="1">
        <f>IF(COUNTIFS(Data!$A$2:$A$1723,G$1,Data!$B$2:$B$1723,$A23)=0,"",SUMIFS(Data!$F$2:$F$1723,Data!$A$2:$A$1723,G$1,Data!$B$2:$B$1723,$A23))</f>
        <v>55426.7</v>
      </c>
      <c r="H23" s="1">
        <f>IF(COUNTIFS(Data!$A$2:$A$1723,H$1,Data!$B$2:$B$1723,$A23)=0,"",SUMIFS(Data!$F$2:$F$1723,Data!$A$2:$A$1723,H$1,Data!$B$2:$B$1723,$A23))</f>
        <v>27554</v>
      </c>
    </row>
    <row r="24" spans="1:8" x14ac:dyDescent="0.25">
      <c r="A24" s="21">
        <v>45982</v>
      </c>
      <c r="B24" s="1">
        <f>IF(COUNTIFS(Data!$A$2:$A$1723,B$1,Data!$B$2:$B$1723,$A24)=0,"",SUMIFS(Data!$F$2:$F$1723,Data!$A$2:$A$1723,B$1,Data!$B$2:$B$1723,$A24))</f>
        <v>26068.15</v>
      </c>
      <c r="C24" s="1">
        <f>IF(COUNTIFS(Data!$A$2:$A$1723,C$1,Data!$B$2:$B$1723,$A24)=0,"",SUMIFS(Data!$F$2:$F$1723,Data!$A$2:$A$1723,C$1,Data!$B$2:$B$1723,$A24))</f>
        <v>60276.3</v>
      </c>
      <c r="D24" s="1">
        <f>IF(COUNTIFS(Data!$A$2:$A$1723,D$1,Data!$B$2:$B$1723,$A24)=0,"",SUMIFS(Data!$F$2:$F$1723,Data!$A$2:$A$1723,D$1,Data!$B$2:$B$1723,$A24))</f>
        <v>17847.5</v>
      </c>
      <c r="E24" s="1">
        <f>IF(COUNTIFS(Data!$A$2:$A$1723,E$1,Data!$B$2:$B$1723,$A24)=0,"",SUMIFS(Data!$F$2:$F$1723,Data!$A$2:$A$1723,E$1,Data!$B$2:$B$1723,$A24))</f>
        <v>58867.7</v>
      </c>
      <c r="F24" s="1">
        <f>IF(COUNTIFS(Data!$A$2:$A$1723,F$1,Data!$B$2:$B$1723,$A24)=0,"",SUMIFS(Data!$F$2:$F$1723,Data!$A$2:$A$1723,F$1,Data!$B$2:$B$1723,$A24))</f>
        <v>36885.35</v>
      </c>
      <c r="G24" s="1">
        <f>IF(COUNTIFS(Data!$A$2:$A$1723,G$1,Data!$B$2:$B$1723,$A24)=0,"",SUMIFS(Data!$F$2:$F$1723,Data!$A$2:$A$1723,G$1,Data!$B$2:$B$1723,$A24))</f>
        <v>55504.7</v>
      </c>
      <c r="H24" s="1">
        <f>IF(COUNTIFS(Data!$A$2:$A$1723,H$1,Data!$B$2:$B$1723,$A24)=0,"",SUMIFS(Data!$F$2:$F$1723,Data!$A$2:$A$1723,H$1,Data!$B$2:$B$1723,$A24))</f>
        <v>27537.85</v>
      </c>
    </row>
    <row r="25" spans="1:8" x14ac:dyDescent="0.25">
      <c r="A25" s="21">
        <v>45985</v>
      </c>
      <c r="B25" s="1">
        <f>IF(COUNTIFS(Data!$A$2:$A$1723,B$1,Data!$B$2:$B$1723,$A25)=0,"",SUMIFS(Data!$F$2:$F$1723,Data!$A$2:$A$1723,B$1,Data!$B$2:$B$1723,$A25))</f>
        <v>25959.5</v>
      </c>
      <c r="C25" s="1">
        <f>IF(COUNTIFS(Data!$A$2:$A$1723,C$1,Data!$B$2:$B$1723,$A25)=0,"",SUMIFS(Data!$F$2:$F$1723,Data!$A$2:$A$1723,C$1,Data!$B$2:$B$1723,$A25))</f>
        <v>60081.599999999999</v>
      </c>
      <c r="D25" s="1">
        <f>IF(COUNTIFS(Data!$A$2:$A$1723,D$1,Data!$B$2:$B$1723,$A25)=0,"",SUMIFS(Data!$F$2:$F$1723,Data!$A$2:$A$1723,D$1,Data!$B$2:$B$1723,$A25))</f>
        <v>17696.5</v>
      </c>
      <c r="E25" s="1">
        <f>IF(COUNTIFS(Data!$A$2:$A$1723,E$1,Data!$B$2:$B$1723,$A25)=0,"",SUMIFS(Data!$F$2:$F$1723,Data!$A$2:$A$1723,E$1,Data!$B$2:$B$1723,$A25))</f>
        <v>58835.35</v>
      </c>
      <c r="F25" s="1">
        <f>IF(COUNTIFS(Data!$A$2:$A$1723,F$1,Data!$B$2:$B$1723,$A25)=0,"",SUMIFS(Data!$F$2:$F$1723,Data!$A$2:$A$1723,F$1,Data!$B$2:$B$1723,$A25))</f>
        <v>37037.949999999997</v>
      </c>
      <c r="G25" s="1">
        <f>IF(COUNTIFS(Data!$A$2:$A$1723,G$1,Data!$B$2:$B$1723,$A25)=0,"",SUMIFS(Data!$F$2:$F$1723,Data!$A$2:$A$1723,G$1,Data!$B$2:$B$1723,$A25))</f>
        <v>55138.15</v>
      </c>
      <c r="H25" s="1">
        <f>IF(COUNTIFS(Data!$A$2:$A$1723,H$1,Data!$B$2:$B$1723,$A25)=0,"",SUMIFS(Data!$F$2:$F$1723,Data!$A$2:$A$1723,H$1,Data!$B$2:$B$1723,$A25))</f>
        <v>27442.2</v>
      </c>
    </row>
    <row r="26" spans="1:8" x14ac:dyDescent="0.25">
      <c r="A26" s="21">
        <v>45986</v>
      </c>
      <c r="B26" s="1">
        <f>IF(COUNTIFS(Data!$A$2:$A$1723,B$1,Data!$B$2:$B$1723,$A26)=0,"",SUMIFS(Data!$F$2:$F$1723,Data!$A$2:$A$1723,B$1,Data!$B$2:$B$1723,$A26))</f>
        <v>25884.799999999999</v>
      </c>
      <c r="C26" s="1">
        <f>IF(COUNTIFS(Data!$A$2:$A$1723,C$1,Data!$B$2:$B$1723,$A26)=0,"",SUMIFS(Data!$F$2:$F$1723,Data!$A$2:$A$1723,C$1,Data!$B$2:$B$1723,$A26))</f>
        <v>60298</v>
      </c>
      <c r="D26" s="1">
        <f>IF(COUNTIFS(Data!$A$2:$A$1723,D$1,Data!$B$2:$B$1723,$A26)=0,"",SUMIFS(Data!$F$2:$F$1723,Data!$A$2:$A$1723,D$1,Data!$B$2:$B$1723,$A26))</f>
        <v>17730.3</v>
      </c>
      <c r="E26" s="1">
        <f>IF(COUNTIFS(Data!$A$2:$A$1723,E$1,Data!$B$2:$B$1723,$A26)=0,"",SUMIFS(Data!$F$2:$F$1723,Data!$A$2:$A$1723,E$1,Data!$B$2:$B$1723,$A26))</f>
        <v>58820.3</v>
      </c>
      <c r="F26" s="1">
        <f>IF(COUNTIFS(Data!$A$2:$A$1723,F$1,Data!$B$2:$B$1723,$A26)=0,"",SUMIFS(Data!$F$2:$F$1723,Data!$A$2:$A$1723,F$1,Data!$B$2:$B$1723,$A26))</f>
        <v>36826.9</v>
      </c>
      <c r="G26" s="1">
        <f>IF(COUNTIFS(Data!$A$2:$A$1723,G$1,Data!$B$2:$B$1723,$A26)=0,"",SUMIFS(Data!$F$2:$F$1723,Data!$A$2:$A$1723,G$1,Data!$B$2:$B$1723,$A26))</f>
        <v>55052.1</v>
      </c>
      <c r="H26" s="1">
        <f>IF(COUNTIFS(Data!$A$2:$A$1723,H$1,Data!$B$2:$B$1723,$A26)=0,"",SUMIFS(Data!$F$2:$F$1723,Data!$A$2:$A$1723,H$1,Data!$B$2:$B$1723,$A26))</f>
        <v>27378.7</v>
      </c>
    </row>
    <row r="27" spans="1:8" x14ac:dyDescent="0.25">
      <c r="A27" s="21">
        <v>45987</v>
      </c>
      <c r="B27" s="1">
        <f>IF(COUNTIFS(Data!$A$2:$A$1723,B$1,Data!$B$2:$B$1723,$A27)=0,"",SUMIFS(Data!$F$2:$F$1723,Data!$A$2:$A$1723,B$1,Data!$B$2:$B$1723,$A27))</f>
        <v>26205.3</v>
      </c>
      <c r="C27" s="1">
        <f>IF(COUNTIFS(Data!$A$2:$A$1723,C$1,Data!$B$2:$B$1723,$A27)=0,"",SUMIFS(Data!$F$2:$F$1723,Data!$A$2:$A$1723,C$1,Data!$B$2:$B$1723,$A27))</f>
        <v>61061.7</v>
      </c>
      <c r="D27" s="1">
        <f>IF(COUNTIFS(Data!$A$2:$A$1723,D$1,Data!$B$2:$B$1723,$A27)=0,"",SUMIFS(Data!$F$2:$F$1723,Data!$A$2:$A$1723,D$1,Data!$B$2:$B$1723,$A27))</f>
        <v>17971.849999999999</v>
      </c>
      <c r="E27" s="1">
        <f>IF(COUNTIFS(Data!$A$2:$A$1723,E$1,Data!$B$2:$B$1723,$A27)=0,"",SUMIFS(Data!$F$2:$F$1723,Data!$A$2:$A$1723,E$1,Data!$B$2:$B$1723,$A27))</f>
        <v>59528.05</v>
      </c>
      <c r="F27" s="1">
        <f>IF(COUNTIFS(Data!$A$2:$A$1723,F$1,Data!$B$2:$B$1723,$A27)=0,"",SUMIFS(Data!$F$2:$F$1723,Data!$A$2:$A$1723,F$1,Data!$B$2:$B$1723,$A27))</f>
        <v>37364.6</v>
      </c>
      <c r="G27" s="1">
        <f>IF(COUNTIFS(Data!$A$2:$A$1723,G$1,Data!$B$2:$B$1723,$A27)=0,"",SUMIFS(Data!$F$2:$F$1723,Data!$A$2:$A$1723,G$1,Data!$B$2:$B$1723,$A27))</f>
        <v>55442.6</v>
      </c>
      <c r="H27" s="1">
        <f>IF(COUNTIFS(Data!$A$2:$A$1723,H$1,Data!$B$2:$B$1723,$A27)=0,"",SUMIFS(Data!$F$2:$F$1723,Data!$A$2:$A$1723,H$1,Data!$B$2:$B$1723,$A27))</f>
        <v>27696.400000000001</v>
      </c>
    </row>
    <row r="28" spans="1:8" x14ac:dyDescent="0.25">
      <c r="A28" s="21">
        <v>45988</v>
      </c>
      <c r="B28" s="1">
        <f>IF(COUNTIFS(Data!$A$2:$A$1723,B$1,Data!$B$2:$B$1723,$A28)=0,"",SUMIFS(Data!$F$2:$F$1723,Data!$A$2:$A$1723,B$1,Data!$B$2:$B$1723,$A28))</f>
        <v>26215.55</v>
      </c>
      <c r="C28" s="1">
        <f>IF(COUNTIFS(Data!$A$2:$A$1723,C$1,Data!$B$2:$B$1723,$A28)=0,"",SUMIFS(Data!$F$2:$F$1723,Data!$A$2:$A$1723,C$1,Data!$B$2:$B$1723,$A28))</f>
        <v>61113.15</v>
      </c>
      <c r="D28" s="1">
        <f>IF(COUNTIFS(Data!$A$2:$A$1723,D$1,Data!$B$2:$B$1723,$A28)=0,"",SUMIFS(Data!$F$2:$F$1723,Data!$A$2:$A$1723,D$1,Data!$B$2:$B$1723,$A28))</f>
        <v>17876.8</v>
      </c>
      <c r="E28" s="1">
        <f>IF(COUNTIFS(Data!$A$2:$A$1723,E$1,Data!$B$2:$B$1723,$A28)=0,"",SUMIFS(Data!$F$2:$F$1723,Data!$A$2:$A$1723,E$1,Data!$B$2:$B$1723,$A28))</f>
        <v>59737.3</v>
      </c>
      <c r="F28" s="1">
        <f>IF(COUNTIFS(Data!$A$2:$A$1723,F$1,Data!$B$2:$B$1723,$A28)=0,"",SUMIFS(Data!$F$2:$F$1723,Data!$A$2:$A$1723,F$1,Data!$B$2:$B$1723,$A28))</f>
        <v>37446.300000000003</v>
      </c>
      <c r="G28" s="1">
        <f>IF(COUNTIFS(Data!$A$2:$A$1723,G$1,Data!$B$2:$B$1723,$A28)=0,"",SUMIFS(Data!$F$2:$F$1723,Data!$A$2:$A$1723,G$1,Data!$B$2:$B$1723,$A28))</f>
        <v>55470.55</v>
      </c>
      <c r="H28" s="1">
        <f>IF(COUNTIFS(Data!$A$2:$A$1723,H$1,Data!$B$2:$B$1723,$A28)=0,"",SUMIFS(Data!$F$2:$F$1723,Data!$A$2:$A$1723,H$1,Data!$B$2:$B$1723,$A28))</f>
        <v>27603.65</v>
      </c>
    </row>
    <row r="29" spans="1:8" x14ac:dyDescent="0.25">
      <c r="A29" s="21">
        <v>45989</v>
      </c>
      <c r="B29" s="1">
        <f>IF(COUNTIFS(Data!$A$2:$A$1723,B$1,Data!$B$2:$B$1723,$A29)=0,"",SUMIFS(Data!$F$2:$F$1723,Data!$A$2:$A$1723,B$1,Data!$B$2:$B$1723,$A29))</f>
        <v>26202.95</v>
      </c>
      <c r="C29" s="1">
        <f>IF(COUNTIFS(Data!$A$2:$A$1723,C$1,Data!$B$2:$B$1723,$A29)=0,"",SUMIFS(Data!$F$2:$F$1723,Data!$A$2:$A$1723,C$1,Data!$B$2:$B$1723,$A29))</f>
        <v>61043.25</v>
      </c>
      <c r="D29" s="1">
        <f>IF(COUNTIFS(Data!$A$2:$A$1723,D$1,Data!$B$2:$B$1723,$A29)=0,"",SUMIFS(Data!$F$2:$F$1723,Data!$A$2:$A$1723,D$1,Data!$B$2:$B$1723,$A29))</f>
        <v>17829.25</v>
      </c>
      <c r="E29" s="1">
        <f>IF(COUNTIFS(Data!$A$2:$A$1723,E$1,Data!$B$2:$B$1723,$A29)=0,"",SUMIFS(Data!$F$2:$F$1723,Data!$A$2:$A$1723,E$1,Data!$B$2:$B$1723,$A29))</f>
        <v>59752.7</v>
      </c>
      <c r="F29" s="1">
        <f>IF(COUNTIFS(Data!$A$2:$A$1723,F$1,Data!$B$2:$B$1723,$A29)=0,"",SUMIFS(Data!$F$2:$F$1723,Data!$A$2:$A$1723,F$1,Data!$B$2:$B$1723,$A29))</f>
        <v>37405.5</v>
      </c>
      <c r="G29" s="1">
        <f>IF(COUNTIFS(Data!$A$2:$A$1723,G$1,Data!$B$2:$B$1723,$A29)=0,"",SUMIFS(Data!$F$2:$F$1723,Data!$A$2:$A$1723,G$1,Data!$B$2:$B$1723,$A29))</f>
        <v>55595.8</v>
      </c>
      <c r="H29" s="1">
        <f>IF(COUNTIFS(Data!$A$2:$A$1723,H$1,Data!$B$2:$B$1723,$A29)=0,"",SUMIFS(Data!$F$2:$F$1723,Data!$A$2:$A$1723,H$1,Data!$B$2:$B$1723,$A29))</f>
        <v>27774.6</v>
      </c>
    </row>
    <row r="30" spans="1:8" x14ac:dyDescent="0.25">
      <c r="A30" s="21">
        <v>45992</v>
      </c>
      <c r="B30" s="1">
        <f>IF(COUNTIFS(Data!$A$2:$A$1723,B$1,Data!$B$2:$B$1723,$A30)=0,"",SUMIFS(Data!$F$2:$F$1723,Data!$A$2:$A$1723,B$1,Data!$B$2:$B$1723,$A30))</f>
        <v>26175.75</v>
      </c>
      <c r="C30" s="1">
        <f>IF(COUNTIFS(Data!$A$2:$A$1723,C$1,Data!$B$2:$B$1723,$A30)=0,"",SUMIFS(Data!$F$2:$F$1723,Data!$A$2:$A$1723,C$1,Data!$B$2:$B$1723,$A30))</f>
        <v>61043.4</v>
      </c>
      <c r="D30" s="1">
        <f>IF(COUNTIFS(Data!$A$2:$A$1723,D$1,Data!$B$2:$B$1723,$A30)=0,"",SUMIFS(Data!$F$2:$F$1723,Data!$A$2:$A$1723,D$1,Data!$B$2:$B$1723,$A30))</f>
        <v>17874.7</v>
      </c>
      <c r="E30" s="1">
        <f>IF(COUNTIFS(Data!$A$2:$A$1723,E$1,Data!$B$2:$B$1723,$A30)=0,"",SUMIFS(Data!$F$2:$F$1723,Data!$A$2:$A$1723,E$1,Data!$B$2:$B$1723,$A30))</f>
        <v>59681.35</v>
      </c>
      <c r="F30" s="1">
        <f>IF(COUNTIFS(Data!$A$2:$A$1723,F$1,Data!$B$2:$B$1723,$A30)=0,"",SUMIFS(Data!$F$2:$F$1723,Data!$A$2:$A$1723,F$1,Data!$B$2:$B$1723,$A30))</f>
        <v>37549.699999999997</v>
      </c>
      <c r="G30" s="1">
        <f>IF(COUNTIFS(Data!$A$2:$A$1723,G$1,Data!$B$2:$B$1723,$A30)=0,"",SUMIFS(Data!$F$2:$F$1723,Data!$A$2:$A$1723,G$1,Data!$B$2:$B$1723,$A30))</f>
        <v>55500.5</v>
      </c>
      <c r="H30" s="1">
        <f>IF(COUNTIFS(Data!$A$2:$A$1723,H$1,Data!$B$2:$B$1723,$A30)=0,"",SUMIFS(Data!$F$2:$F$1723,Data!$A$2:$A$1723,H$1,Data!$B$2:$B$1723,$A30))</f>
        <v>27993</v>
      </c>
    </row>
    <row r="31" spans="1:8" x14ac:dyDescent="0.25">
      <c r="A31" s="21">
        <v>45993</v>
      </c>
      <c r="B31" s="1">
        <f>IF(COUNTIFS(Data!$A$2:$A$1723,B$1,Data!$B$2:$B$1723,$A31)=0,"",SUMIFS(Data!$F$2:$F$1723,Data!$A$2:$A$1723,B$1,Data!$B$2:$B$1723,$A31))</f>
        <v>26032.2</v>
      </c>
      <c r="C31" s="1">
        <f>IF(COUNTIFS(Data!$A$2:$A$1723,C$1,Data!$B$2:$B$1723,$A31)=0,"",SUMIFS(Data!$F$2:$F$1723,Data!$A$2:$A$1723,C$1,Data!$B$2:$B$1723,$A31))</f>
        <v>60910.45</v>
      </c>
      <c r="D31" s="1">
        <f>IF(COUNTIFS(Data!$A$2:$A$1723,D$1,Data!$B$2:$B$1723,$A31)=0,"",SUMIFS(Data!$F$2:$F$1723,Data!$A$2:$A$1723,D$1,Data!$B$2:$B$1723,$A31))</f>
        <v>17776.45</v>
      </c>
      <c r="E31" s="1">
        <f>IF(COUNTIFS(Data!$A$2:$A$1723,E$1,Data!$B$2:$B$1723,$A31)=0,"",SUMIFS(Data!$F$2:$F$1723,Data!$A$2:$A$1723,E$1,Data!$B$2:$B$1723,$A31))</f>
        <v>59273.8</v>
      </c>
      <c r="F31" s="1">
        <f>IF(COUNTIFS(Data!$A$2:$A$1723,F$1,Data!$B$2:$B$1723,$A31)=0,"",SUMIFS(Data!$F$2:$F$1723,Data!$A$2:$A$1723,F$1,Data!$B$2:$B$1723,$A31))</f>
        <v>37541.25</v>
      </c>
      <c r="G31" s="1">
        <f>IF(COUNTIFS(Data!$A$2:$A$1723,G$1,Data!$B$2:$B$1723,$A31)=0,"",SUMIFS(Data!$F$2:$F$1723,Data!$A$2:$A$1723,G$1,Data!$B$2:$B$1723,$A31))</f>
        <v>55390.95</v>
      </c>
      <c r="H31" s="1">
        <f>IF(COUNTIFS(Data!$A$2:$A$1723,H$1,Data!$B$2:$B$1723,$A31)=0,"",SUMIFS(Data!$F$2:$F$1723,Data!$A$2:$A$1723,H$1,Data!$B$2:$B$1723,$A31))</f>
        <v>27979.5</v>
      </c>
    </row>
    <row r="32" spans="1:8" x14ac:dyDescent="0.25">
      <c r="A32" s="21">
        <v>45994</v>
      </c>
      <c r="B32" s="1">
        <f>IF(COUNTIFS(Data!$A$2:$A$1723,B$1,Data!$B$2:$B$1723,$A32)=0,"",SUMIFS(Data!$F$2:$F$1723,Data!$A$2:$A$1723,B$1,Data!$B$2:$B$1723,$A32))</f>
        <v>25986</v>
      </c>
      <c r="C32" s="1">
        <f>IF(COUNTIFS(Data!$A$2:$A$1723,C$1,Data!$B$2:$B$1723,$A32)=0,"",SUMIFS(Data!$F$2:$F$1723,Data!$A$2:$A$1723,C$1,Data!$B$2:$B$1723,$A32))</f>
        <v>60315.65</v>
      </c>
      <c r="D32" s="1">
        <f>IF(COUNTIFS(Data!$A$2:$A$1723,D$1,Data!$B$2:$B$1723,$A32)=0,"",SUMIFS(Data!$F$2:$F$1723,Data!$A$2:$A$1723,D$1,Data!$B$2:$B$1723,$A32))</f>
        <v>17649.45</v>
      </c>
      <c r="E32" s="1">
        <f>IF(COUNTIFS(Data!$A$2:$A$1723,E$1,Data!$B$2:$B$1723,$A32)=0,"",SUMIFS(Data!$F$2:$F$1723,Data!$A$2:$A$1723,E$1,Data!$B$2:$B$1723,$A32))</f>
        <v>59348.25</v>
      </c>
      <c r="F32" s="1">
        <f>IF(COUNTIFS(Data!$A$2:$A$1723,F$1,Data!$B$2:$B$1723,$A32)=0,"",SUMIFS(Data!$F$2:$F$1723,Data!$A$2:$A$1723,F$1,Data!$B$2:$B$1723,$A32))</f>
        <v>37825.25</v>
      </c>
      <c r="G32" s="1">
        <f>IF(COUNTIFS(Data!$A$2:$A$1723,G$1,Data!$B$2:$B$1723,$A32)=0,"",SUMIFS(Data!$F$2:$F$1723,Data!$A$2:$A$1723,G$1,Data!$B$2:$B$1723,$A32))</f>
        <v>54949.1</v>
      </c>
      <c r="H32" s="1">
        <f>IF(COUNTIFS(Data!$A$2:$A$1723,H$1,Data!$B$2:$B$1723,$A32)=0,"",SUMIFS(Data!$F$2:$F$1723,Data!$A$2:$A$1723,H$1,Data!$B$2:$B$1723,$A32))</f>
        <v>27643.8</v>
      </c>
    </row>
    <row r="33" spans="1:8" x14ac:dyDescent="0.25">
      <c r="A33" s="21">
        <v>45995</v>
      </c>
      <c r="B33" s="1">
        <f>IF(COUNTIFS(Data!$A$2:$A$1723,B$1,Data!$B$2:$B$1723,$A33)=0,"",SUMIFS(Data!$F$2:$F$1723,Data!$A$2:$A$1723,B$1,Data!$B$2:$B$1723,$A33))</f>
        <v>26033.75</v>
      </c>
      <c r="C33" s="1">
        <f>IF(COUNTIFS(Data!$A$2:$A$1723,C$1,Data!$B$2:$B$1723,$A33)=0,"",SUMIFS(Data!$F$2:$F$1723,Data!$A$2:$A$1723,C$1,Data!$B$2:$B$1723,$A33))</f>
        <v>60299.8</v>
      </c>
      <c r="D33" s="1">
        <f>IF(COUNTIFS(Data!$A$2:$A$1723,D$1,Data!$B$2:$B$1723,$A33)=0,"",SUMIFS(Data!$F$2:$F$1723,Data!$A$2:$A$1723,D$1,Data!$B$2:$B$1723,$A33))</f>
        <v>17607.849999999999</v>
      </c>
      <c r="E33" s="1">
        <f>IF(COUNTIFS(Data!$A$2:$A$1723,E$1,Data!$B$2:$B$1723,$A33)=0,"",SUMIFS(Data!$F$2:$F$1723,Data!$A$2:$A$1723,E$1,Data!$B$2:$B$1723,$A33))</f>
        <v>59288.7</v>
      </c>
      <c r="F33" s="1">
        <f>IF(COUNTIFS(Data!$A$2:$A$1723,F$1,Data!$B$2:$B$1723,$A33)=0,"",SUMIFS(Data!$F$2:$F$1723,Data!$A$2:$A$1723,F$1,Data!$B$2:$B$1723,$A33))</f>
        <v>38360.25</v>
      </c>
      <c r="G33" s="1">
        <f>IF(COUNTIFS(Data!$A$2:$A$1723,G$1,Data!$B$2:$B$1723,$A33)=0,"",SUMIFS(Data!$F$2:$F$1723,Data!$A$2:$A$1723,G$1,Data!$B$2:$B$1723,$A33))</f>
        <v>55209.3</v>
      </c>
      <c r="H33" s="1">
        <f>IF(COUNTIFS(Data!$A$2:$A$1723,H$1,Data!$B$2:$B$1723,$A33)=0,"",SUMIFS(Data!$F$2:$F$1723,Data!$A$2:$A$1723,H$1,Data!$B$2:$B$1723,$A33))</f>
        <v>27732.7</v>
      </c>
    </row>
    <row r="34" spans="1:8" x14ac:dyDescent="0.25">
      <c r="A34" s="21">
        <v>45996</v>
      </c>
      <c r="B34" s="1">
        <f>IF(COUNTIFS(Data!$A$2:$A$1723,B$1,Data!$B$2:$B$1723,$A34)=0,"",SUMIFS(Data!$F$2:$F$1723,Data!$A$2:$A$1723,B$1,Data!$B$2:$B$1723,$A34))</f>
        <v>26186.45</v>
      </c>
      <c r="C34" s="1">
        <f>IF(COUNTIFS(Data!$A$2:$A$1723,C$1,Data!$B$2:$B$1723,$A34)=0,"",SUMIFS(Data!$F$2:$F$1723,Data!$A$2:$A$1723,C$1,Data!$B$2:$B$1723,$A34))</f>
        <v>60594.6</v>
      </c>
      <c r="D34" s="1">
        <f>IF(COUNTIFS(Data!$A$2:$A$1723,D$1,Data!$B$2:$B$1723,$A34)=0,"",SUMIFS(Data!$F$2:$F$1723,Data!$A$2:$A$1723,D$1,Data!$B$2:$B$1723,$A34))</f>
        <v>17507.75</v>
      </c>
      <c r="E34" s="1">
        <f>IF(COUNTIFS(Data!$A$2:$A$1723,E$1,Data!$B$2:$B$1723,$A34)=0,"",SUMIFS(Data!$F$2:$F$1723,Data!$A$2:$A$1723,E$1,Data!$B$2:$B$1723,$A34))</f>
        <v>59777.2</v>
      </c>
      <c r="F34" s="1">
        <f>IF(COUNTIFS(Data!$A$2:$A$1723,F$1,Data!$B$2:$B$1723,$A34)=0,"",SUMIFS(Data!$F$2:$F$1723,Data!$A$2:$A$1723,F$1,Data!$B$2:$B$1723,$A34))</f>
        <v>38703.65</v>
      </c>
      <c r="G34" s="1">
        <f>IF(COUNTIFS(Data!$A$2:$A$1723,G$1,Data!$B$2:$B$1723,$A34)=0,"",SUMIFS(Data!$F$2:$F$1723,Data!$A$2:$A$1723,G$1,Data!$B$2:$B$1723,$A34))</f>
        <v>55202.85</v>
      </c>
      <c r="H34" s="1">
        <f>IF(COUNTIFS(Data!$A$2:$A$1723,H$1,Data!$B$2:$B$1723,$A34)=0,"",SUMIFS(Data!$F$2:$F$1723,Data!$A$2:$A$1723,H$1,Data!$B$2:$B$1723,$A34))</f>
        <v>27939.1</v>
      </c>
    </row>
    <row r="35" spans="1:8" x14ac:dyDescent="0.25">
      <c r="A35" s="21">
        <v>45999</v>
      </c>
      <c r="B35" s="1">
        <f>IF(COUNTIFS(Data!$A$2:$A$1723,B$1,Data!$B$2:$B$1723,$A35)=0,"",SUMIFS(Data!$F$2:$F$1723,Data!$A$2:$A$1723,B$1,Data!$B$2:$B$1723,$A35))</f>
        <v>25960.55</v>
      </c>
      <c r="C35" s="1">
        <f>IF(COUNTIFS(Data!$A$2:$A$1723,C$1,Data!$B$2:$B$1723,$A35)=0,"",SUMIFS(Data!$F$2:$F$1723,Data!$A$2:$A$1723,C$1,Data!$B$2:$B$1723,$A35))</f>
        <v>59488.1</v>
      </c>
      <c r="D35" s="1">
        <f>IF(COUNTIFS(Data!$A$2:$A$1723,D$1,Data!$B$2:$B$1723,$A35)=0,"",SUMIFS(Data!$F$2:$F$1723,Data!$A$2:$A$1723,D$1,Data!$B$2:$B$1723,$A35))</f>
        <v>17051.650000000001</v>
      </c>
      <c r="E35" s="1">
        <f>IF(COUNTIFS(Data!$A$2:$A$1723,E$1,Data!$B$2:$B$1723,$A35)=0,"",SUMIFS(Data!$F$2:$F$1723,Data!$A$2:$A$1723,E$1,Data!$B$2:$B$1723,$A35))</f>
        <v>59238.55</v>
      </c>
      <c r="F35" s="1">
        <f>IF(COUNTIFS(Data!$A$2:$A$1723,F$1,Data!$B$2:$B$1723,$A35)=0,"",SUMIFS(Data!$F$2:$F$1723,Data!$A$2:$A$1723,F$1,Data!$B$2:$B$1723,$A35))</f>
        <v>38590.699999999997</v>
      </c>
      <c r="G35" s="1">
        <f>IF(COUNTIFS(Data!$A$2:$A$1723,G$1,Data!$B$2:$B$1723,$A35)=0,"",SUMIFS(Data!$F$2:$F$1723,Data!$A$2:$A$1723,G$1,Data!$B$2:$B$1723,$A35))</f>
        <v>54540.5</v>
      </c>
      <c r="H35" s="1">
        <f>IF(COUNTIFS(Data!$A$2:$A$1723,H$1,Data!$B$2:$B$1723,$A35)=0,"",SUMIFS(Data!$F$2:$F$1723,Data!$A$2:$A$1723,H$1,Data!$B$2:$B$1723,$A35))</f>
        <v>27596.799999999999</v>
      </c>
    </row>
    <row r="36" spans="1:8" x14ac:dyDescent="0.25">
      <c r="A36" s="21">
        <v>46000</v>
      </c>
      <c r="B36" s="1">
        <f>IF(COUNTIFS(Data!$A$2:$A$1723,B$1,Data!$B$2:$B$1723,$A36)=0,"",SUMIFS(Data!$F$2:$F$1723,Data!$A$2:$A$1723,B$1,Data!$B$2:$B$1723,$A36))</f>
        <v>25839.65</v>
      </c>
      <c r="C36" s="1">
        <f>IF(COUNTIFS(Data!$A$2:$A$1723,C$1,Data!$B$2:$B$1723,$A36)=0,"",SUMIFS(Data!$F$2:$F$1723,Data!$A$2:$A$1723,C$1,Data!$B$2:$B$1723,$A36))</f>
        <v>59676.2</v>
      </c>
      <c r="D36" s="1">
        <f>IF(COUNTIFS(Data!$A$2:$A$1723,D$1,Data!$B$2:$B$1723,$A36)=0,"",SUMIFS(Data!$F$2:$F$1723,Data!$A$2:$A$1723,D$1,Data!$B$2:$B$1723,$A36))</f>
        <v>17245.8</v>
      </c>
      <c r="E36" s="1">
        <f>IF(COUNTIFS(Data!$A$2:$A$1723,E$1,Data!$B$2:$B$1723,$A36)=0,"",SUMIFS(Data!$F$2:$F$1723,Data!$A$2:$A$1723,E$1,Data!$B$2:$B$1723,$A36))</f>
        <v>59222.35</v>
      </c>
      <c r="F36" s="1">
        <f>IF(COUNTIFS(Data!$A$2:$A$1723,F$1,Data!$B$2:$B$1723,$A36)=0,"",SUMIFS(Data!$F$2:$F$1723,Data!$A$2:$A$1723,F$1,Data!$B$2:$B$1723,$A36))</f>
        <v>38130.6</v>
      </c>
      <c r="G36" s="1">
        <f>IF(COUNTIFS(Data!$A$2:$A$1723,G$1,Data!$B$2:$B$1723,$A36)=0,"",SUMIFS(Data!$F$2:$F$1723,Data!$A$2:$A$1723,G$1,Data!$B$2:$B$1723,$A36))</f>
        <v>54521.2</v>
      </c>
      <c r="H36" s="1">
        <f>IF(COUNTIFS(Data!$A$2:$A$1723,H$1,Data!$B$2:$B$1723,$A36)=0,"",SUMIFS(Data!$F$2:$F$1723,Data!$A$2:$A$1723,H$1,Data!$B$2:$B$1723,$A36))</f>
        <v>27399.25</v>
      </c>
    </row>
    <row r="37" spans="1:8" x14ac:dyDescent="0.25">
      <c r="A37" s="21">
        <v>46001</v>
      </c>
      <c r="B37" s="1">
        <f>IF(COUNTIFS(Data!$A$2:$A$1723,B$1,Data!$B$2:$B$1723,$A37)=0,"",SUMIFS(Data!$F$2:$F$1723,Data!$A$2:$A$1723,B$1,Data!$B$2:$B$1723,$A37))</f>
        <v>25758</v>
      </c>
      <c r="C37" s="1">
        <f>IF(COUNTIFS(Data!$A$2:$A$1723,C$1,Data!$B$2:$B$1723,$A37)=0,"",SUMIFS(Data!$F$2:$F$1723,Data!$A$2:$A$1723,C$1,Data!$B$2:$B$1723,$A37))</f>
        <v>59007.75</v>
      </c>
      <c r="D37" s="1">
        <f>IF(COUNTIFS(Data!$A$2:$A$1723,D$1,Data!$B$2:$B$1723,$A37)=0,"",SUMIFS(Data!$F$2:$F$1723,Data!$A$2:$A$1723,D$1,Data!$B$2:$B$1723,$A37))</f>
        <v>17090.150000000001</v>
      </c>
      <c r="E37" s="1">
        <f>IF(COUNTIFS(Data!$A$2:$A$1723,E$1,Data!$B$2:$B$1723,$A37)=0,"",SUMIFS(Data!$F$2:$F$1723,Data!$A$2:$A$1723,E$1,Data!$B$2:$B$1723,$A37))</f>
        <v>58960.4</v>
      </c>
      <c r="F37" s="1">
        <f>IF(COUNTIFS(Data!$A$2:$A$1723,F$1,Data!$B$2:$B$1723,$A37)=0,"",SUMIFS(Data!$F$2:$F$1723,Data!$A$2:$A$1723,F$1,Data!$B$2:$B$1723,$A37))</f>
        <v>37789.9</v>
      </c>
      <c r="G37" s="1">
        <f>IF(COUNTIFS(Data!$A$2:$A$1723,G$1,Data!$B$2:$B$1723,$A37)=0,"",SUMIFS(Data!$F$2:$F$1723,Data!$A$2:$A$1723,G$1,Data!$B$2:$B$1723,$A37))</f>
        <v>54506</v>
      </c>
      <c r="H37" s="1">
        <f>IF(COUNTIFS(Data!$A$2:$A$1723,H$1,Data!$B$2:$B$1723,$A37)=0,"",SUMIFS(Data!$F$2:$F$1723,Data!$A$2:$A$1723,H$1,Data!$B$2:$B$1723,$A37))</f>
        <v>27358.25</v>
      </c>
    </row>
    <row r="38" spans="1:8" x14ac:dyDescent="0.25">
      <c r="A38" s="21">
        <v>46002</v>
      </c>
      <c r="B38" s="1">
        <f>IF(COUNTIFS(Data!$A$2:$A$1723,B$1,Data!$B$2:$B$1723,$A38)=0,"",SUMIFS(Data!$F$2:$F$1723,Data!$A$2:$A$1723,B$1,Data!$B$2:$B$1723,$A38))</f>
        <v>25898.55</v>
      </c>
      <c r="C38" s="1">
        <f>IF(COUNTIFS(Data!$A$2:$A$1723,C$1,Data!$B$2:$B$1723,$A38)=0,"",SUMIFS(Data!$F$2:$F$1723,Data!$A$2:$A$1723,C$1,Data!$B$2:$B$1723,$A38))</f>
        <v>59578.05</v>
      </c>
      <c r="D38" s="1">
        <f>IF(COUNTIFS(Data!$A$2:$A$1723,D$1,Data!$B$2:$B$1723,$A38)=0,"",SUMIFS(Data!$F$2:$F$1723,Data!$A$2:$A$1723,D$1,Data!$B$2:$B$1723,$A38))</f>
        <v>17228.05</v>
      </c>
      <c r="E38" s="1">
        <f>IF(COUNTIFS(Data!$A$2:$A$1723,E$1,Data!$B$2:$B$1723,$A38)=0,"",SUMIFS(Data!$F$2:$F$1723,Data!$A$2:$A$1723,E$1,Data!$B$2:$B$1723,$A38))</f>
        <v>59209.85</v>
      </c>
      <c r="F38" s="1">
        <f>IF(COUNTIFS(Data!$A$2:$A$1723,F$1,Data!$B$2:$B$1723,$A38)=0,"",SUMIFS(Data!$F$2:$F$1723,Data!$A$2:$A$1723,F$1,Data!$B$2:$B$1723,$A38))</f>
        <v>38097</v>
      </c>
      <c r="G38" s="1">
        <f>IF(COUNTIFS(Data!$A$2:$A$1723,G$1,Data!$B$2:$B$1723,$A38)=0,"",SUMIFS(Data!$F$2:$F$1723,Data!$A$2:$A$1723,G$1,Data!$B$2:$B$1723,$A38))</f>
        <v>54619.65</v>
      </c>
      <c r="H38" s="1">
        <f>IF(COUNTIFS(Data!$A$2:$A$1723,H$1,Data!$B$2:$B$1723,$A38)=0,"",SUMIFS(Data!$F$2:$F$1723,Data!$A$2:$A$1723,H$1,Data!$B$2:$B$1723,$A38))</f>
        <v>27661</v>
      </c>
    </row>
    <row r="39" spans="1:8" x14ac:dyDescent="0.25">
      <c r="A39" s="21">
        <v>46003</v>
      </c>
      <c r="B39" s="1">
        <f>IF(COUNTIFS(Data!$A$2:$A$1723,B$1,Data!$B$2:$B$1723,$A39)=0,"",SUMIFS(Data!$F$2:$F$1723,Data!$A$2:$A$1723,B$1,Data!$B$2:$B$1723,$A39))</f>
        <v>26046.95</v>
      </c>
      <c r="C39" s="1">
        <f>IF(COUNTIFS(Data!$A$2:$A$1723,C$1,Data!$B$2:$B$1723,$A39)=0,"",SUMIFS(Data!$F$2:$F$1723,Data!$A$2:$A$1723,C$1,Data!$B$2:$B$1723,$A39))</f>
        <v>60283.3</v>
      </c>
      <c r="D39" s="1">
        <f>IF(COUNTIFS(Data!$A$2:$A$1723,D$1,Data!$B$2:$B$1723,$A39)=0,"",SUMIFS(Data!$F$2:$F$1723,Data!$A$2:$A$1723,D$1,Data!$B$2:$B$1723,$A39))</f>
        <v>17389.95</v>
      </c>
      <c r="E39" s="1">
        <f>IF(COUNTIFS(Data!$A$2:$A$1723,E$1,Data!$B$2:$B$1723,$A39)=0,"",SUMIFS(Data!$F$2:$F$1723,Data!$A$2:$A$1723,E$1,Data!$B$2:$B$1723,$A39))</f>
        <v>59389.95</v>
      </c>
      <c r="F39" s="1">
        <f>IF(COUNTIFS(Data!$A$2:$A$1723,F$1,Data!$B$2:$B$1723,$A39)=0,"",SUMIFS(Data!$F$2:$F$1723,Data!$A$2:$A$1723,F$1,Data!$B$2:$B$1723,$A39))</f>
        <v>38274.75</v>
      </c>
      <c r="G39" s="1">
        <f>IF(COUNTIFS(Data!$A$2:$A$1723,G$1,Data!$B$2:$B$1723,$A39)=0,"",SUMIFS(Data!$F$2:$F$1723,Data!$A$2:$A$1723,G$1,Data!$B$2:$B$1723,$A39))</f>
        <v>54490.8</v>
      </c>
      <c r="H39" s="1">
        <f>IF(COUNTIFS(Data!$A$2:$A$1723,H$1,Data!$B$2:$B$1723,$A39)=0,"",SUMIFS(Data!$F$2:$F$1723,Data!$A$2:$A$1723,H$1,Data!$B$2:$B$1723,$A39))</f>
        <v>27820.85</v>
      </c>
    </row>
    <row r="40" spans="1:8" x14ac:dyDescent="0.25">
      <c r="A40" s="21">
        <v>46006</v>
      </c>
      <c r="B40" s="1">
        <f>IF(COUNTIFS(Data!$A$2:$A$1723,B$1,Data!$B$2:$B$1723,$A40)=0,"",SUMIFS(Data!$F$2:$F$1723,Data!$A$2:$A$1723,B$1,Data!$B$2:$B$1723,$A40))</f>
        <v>26027.3</v>
      </c>
      <c r="C40" s="1">
        <f>IF(COUNTIFS(Data!$A$2:$A$1723,C$1,Data!$B$2:$B$1723,$A40)=0,"",SUMIFS(Data!$F$2:$F$1723,Data!$A$2:$A$1723,C$1,Data!$B$2:$B$1723,$A40))</f>
        <v>60212.800000000003</v>
      </c>
      <c r="D40" s="1">
        <f>IF(COUNTIFS(Data!$A$2:$A$1723,D$1,Data!$B$2:$B$1723,$A40)=0,"",SUMIFS(Data!$F$2:$F$1723,Data!$A$2:$A$1723,D$1,Data!$B$2:$B$1723,$A40))</f>
        <v>17425.849999999999</v>
      </c>
      <c r="E40" s="1">
        <f>IF(COUNTIFS(Data!$A$2:$A$1723,E$1,Data!$B$2:$B$1723,$A40)=0,"",SUMIFS(Data!$F$2:$F$1723,Data!$A$2:$A$1723,E$1,Data!$B$2:$B$1723,$A40))</f>
        <v>59461.8</v>
      </c>
      <c r="F40" s="1">
        <f>IF(COUNTIFS(Data!$A$2:$A$1723,F$1,Data!$B$2:$B$1723,$A40)=0,"",SUMIFS(Data!$F$2:$F$1723,Data!$A$2:$A$1723,F$1,Data!$B$2:$B$1723,$A40))</f>
        <v>38386.25</v>
      </c>
      <c r="G40" s="1">
        <f>IF(COUNTIFS(Data!$A$2:$A$1723,G$1,Data!$B$2:$B$1723,$A40)=0,"",SUMIFS(Data!$F$2:$F$1723,Data!$A$2:$A$1723,G$1,Data!$B$2:$B$1723,$A40))</f>
        <v>54868.4</v>
      </c>
      <c r="H40" s="1">
        <f>IF(COUNTIFS(Data!$A$2:$A$1723,H$1,Data!$B$2:$B$1723,$A40)=0,"",SUMIFS(Data!$F$2:$F$1723,Data!$A$2:$A$1723,H$1,Data!$B$2:$B$1723,$A40))</f>
        <v>27568.1</v>
      </c>
    </row>
    <row r="41" spans="1:8" x14ac:dyDescent="0.25">
      <c r="A41" s="21">
        <v>46007</v>
      </c>
      <c r="B41" s="1">
        <f>IF(COUNTIFS(Data!$A$2:$A$1723,B$1,Data!$B$2:$B$1723,$A41)=0,"",SUMIFS(Data!$F$2:$F$1723,Data!$A$2:$A$1723,B$1,Data!$B$2:$B$1723,$A41))</f>
        <v>25860.1</v>
      </c>
      <c r="C41" s="1">
        <f>IF(COUNTIFS(Data!$A$2:$A$1723,C$1,Data!$B$2:$B$1723,$A41)=0,"",SUMIFS(Data!$F$2:$F$1723,Data!$A$2:$A$1723,C$1,Data!$B$2:$B$1723,$A41))</f>
        <v>59710.8</v>
      </c>
      <c r="D41" s="1">
        <f>IF(COUNTIFS(Data!$A$2:$A$1723,D$1,Data!$B$2:$B$1723,$A41)=0,"",SUMIFS(Data!$F$2:$F$1723,Data!$A$2:$A$1723,D$1,Data!$B$2:$B$1723,$A41))</f>
        <v>17265.150000000001</v>
      </c>
      <c r="E41" s="1">
        <f>IF(COUNTIFS(Data!$A$2:$A$1723,E$1,Data!$B$2:$B$1723,$A41)=0,"",SUMIFS(Data!$F$2:$F$1723,Data!$A$2:$A$1723,E$1,Data!$B$2:$B$1723,$A41))</f>
        <v>59034.6</v>
      </c>
      <c r="F41" s="1">
        <f>IF(COUNTIFS(Data!$A$2:$A$1723,F$1,Data!$B$2:$B$1723,$A41)=0,"",SUMIFS(Data!$F$2:$F$1723,Data!$A$2:$A$1723,F$1,Data!$B$2:$B$1723,$A41))</f>
        <v>38062.5</v>
      </c>
      <c r="G41" s="1">
        <f>IF(COUNTIFS(Data!$A$2:$A$1723,G$1,Data!$B$2:$B$1723,$A41)=0,"",SUMIFS(Data!$F$2:$F$1723,Data!$A$2:$A$1723,G$1,Data!$B$2:$B$1723,$A41))</f>
        <v>54863.45</v>
      </c>
      <c r="H41" s="1">
        <f>IF(COUNTIFS(Data!$A$2:$A$1723,H$1,Data!$B$2:$B$1723,$A41)=0,"",SUMIFS(Data!$F$2:$F$1723,Data!$A$2:$A$1723,H$1,Data!$B$2:$B$1723,$A41))</f>
        <v>27542.2</v>
      </c>
    </row>
    <row r="42" spans="1:8" x14ac:dyDescent="0.25">
      <c r="A42" s="21">
        <v>46008</v>
      </c>
      <c r="B42" s="1">
        <f>IF(COUNTIFS(Data!$A$2:$A$1723,B$1,Data!$B$2:$B$1723,$A42)=0,"",SUMIFS(Data!$F$2:$F$1723,Data!$A$2:$A$1723,B$1,Data!$B$2:$B$1723,$A42))</f>
        <v>25818.55</v>
      </c>
      <c r="C42" s="1">
        <f>IF(COUNTIFS(Data!$A$2:$A$1723,C$1,Data!$B$2:$B$1723,$A42)=0,"",SUMIFS(Data!$F$2:$F$1723,Data!$A$2:$A$1723,C$1,Data!$B$2:$B$1723,$A42))</f>
        <v>59388.85</v>
      </c>
      <c r="D42" s="1">
        <f>IF(COUNTIFS(Data!$A$2:$A$1723,D$1,Data!$B$2:$B$1723,$A42)=0,"",SUMIFS(Data!$F$2:$F$1723,Data!$A$2:$A$1723,D$1,Data!$B$2:$B$1723,$A42))</f>
        <v>17138.55</v>
      </c>
      <c r="E42" s="1">
        <f>IF(COUNTIFS(Data!$A$2:$A$1723,E$1,Data!$B$2:$B$1723,$A42)=0,"",SUMIFS(Data!$F$2:$F$1723,Data!$A$2:$A$1723,E$1,Data!$B$2:$B$1723,$A42))</f>
        <v>58926.75</v>
      </c>
      <c r="F42" s="1">
        <f>IF(COUNTIFS(Data!$A$2:$A$1723,F$1,Data!$B$2:$B$1723,$A42)=0,"",SUMIFS(Data!$F$2:$F$1723,Data!$A$2:$A$1723,F$1,Data!$B$2:$B$1723,$A42))</f>
        <v>38172.050000000003</v>
      </c>
      <c r="G42" s="1">
        <f>IF(COUNTIFS(Data!$A$2:$A$1723,G$1,Data!$B$2:$B$1723,$A42)=0,"",SUMIFS(Data!$F$2:$F$1723,Data!$A$2:$A$1723,G$1,Data!$B$2:$B$1723,$A42))</f>
        <v>54603.4</v>
      </c>
      <c r="H42" s="1">
        <f>IF(COUNTIFS(Data!$A$2:$A$1723,H$1,Data!$B$2:$B$1723,$A42)=0,"",SUMIFS(Data!$F$2:$F$1723,Data!$A$2:$A$1723,H$1,Data!$B$2:$B$1723,$A42))</f>
        <v>27489.25</v>
      </c>
    </row>
    <row r="43" spans="1:8" x14ac:dyDescent="0.25">
      <c r="A43" s="21">
        <v>46009</v>
      </c>
      <c r="B43" s="1">
        <f>IF(COUNTIFS(Data!$A$2:$A$1723,B$1,Data!$B$2:$B$1723,$A43)=0,"",SUMIFS(Data!$F$2:$F$1723,Data!$A$2:$A$1723,B$1,Data!$B$2:$B$1723,$A43))</f>
        <v>25815.55</v>
      </c>
      <c r="C43" s="1">
        <f>IF(COUNTIFS(Data!$A$2:$A$1723,C$1,Data!$B$2:$B$1723,$A43)=0,"",SUMIFS(Data!$F$2:$F$1723,Data!$A$2:$A$1723,C$1,Data!$B$2:$B$1723,$A43))</f>
        <v>59592.15</v>
      </c>
      <c r="D43" s="1">
        <f>IF(COUNTIFS(Data!$A$2:$A$1723,D$1,Data!$B$2:$B$1723,$A43)=0,"",SUMIFS(Data!$F$2:$F$1723,Data!$A$2:$A$1723,D$1,Data!$B$2:$B$1723,$A43))</f>
        <v>17160.2</v>
      </c>
      <c r="E43" s="1">
        <f>IF(COUNTIFS(Data!$A$2:$A$1723,E$1,Data!$B$2:$B$1723,$A43)=0,"",SUMIFS(Data!$F$2:$F$1723,Data!$A$2:$A$1723,E$1,Data!$B$2:$B$1723,$A43))</f>
        <v>58912.85</v>
      </c>
      <c r="F43" s="1">
        <f>IF(COUNTIFS(Data!$A$2:$A$1723,F$1,Data!$B$2:$B$1723,$A43)=0,"",SUMIFS(Data!$F$2:$F$1723,Data!$A$2:$A$1723,F$1,Data!$B$2:$B$1723,$A43))</f>
        <v>38633.35</v>
      </c>
      <c r="G43" s="1">
        <f>IF(COUNTIFS(Data!$A$2:$A$1723,G$1,Data!$B$2:$B$1723,$A43)=0,"",SUMIFS(Data!$F$2:$F$1723,Data!$A$2:$A$1723,G$1,Data!$B$2:$B$1723,$A43))</f>
        <v>54546.45</v>
      </c>
      <c r="H43" s="1">
        <f>IF(COUNTIFS(Data!$A$2:$A$1723,H$1,Data!$B$2:$B$1723,$A43)=0,"",SUMIFS(Data!$F$2:$F$1723,Data!$A$2:$A$1723,H$1,Data!$B$2:$B$1723,$A43))</f>
        <v>27321.9</v>
      </c>
    </row>
    <row r="44" spans="1:8" x14ac:dyDescent="0.25">
      <c r="A44" s="21">
        <v>46010</v>
      </c>
      <c r="B44" s="1">
        <f>IF(COUNTIFS(Data!$A$2:$A$1723,B$1,Data!$B$2:$B$1723,$A44)=0,"",SUMIFS(Data!$F$2:$F$1723,Data!$A$2:$A$1723,B$1,Data!$B$2:$B$1723,$A44))</f>
        <v>25966.400000000001</v>
      </c>
      <c r="C44" s="1">
        <f>IF(COUNTIFS(Data!$A$2:$A$1723,C$1,Data!$B$2:$B$1723,$A44)=0,"",SUMIFS(Data!$F$2:$F$1723,Data!$A$2:$A$1723,C$1,Data!$B$2:$B$1723,$A44))</f>
        <v>60310.15</v>
      </c>
      <c r="D44" s="1">
        <f>IF(COUNTIFS(Data!$A$2:$A$1723,D$1,Data!$B$2:$B$1723,$A44)=0,"",SUMIFS(Data!$F$2:$F$1723,Data!$A$2:$A$1723,D$1,Data!$B$2:$B$1723,$A44))</f>
        <v>17390.349999999999</v>
      </c>
      <c r="E44" s="1">
        <f>IF(COUNTIFS(Data!$A$2:$A$1723,E$1,Data!$B$2:$B$1723,$A44)=0,"",SUMIFS(Data!$F$2:$F$1723,Data!$A$2:$A$1723,E$1,Data!$B$2:$B$1723,$A44))</f>
        <v>59069.2</v>
      </c>
      <c r="F44" s="1">
        <f>IF(COUNTIFS(Data!$A$2:$A$1723,F$1,Data!$B$2:$B$1723,$A44)=0,"",SUMIFS(Data!$F$2:$F$1723,Data!$A$2:$A$1723,F$1,Data!$B$2:$B$1723,$A44))</f>
        <v>38691.599999999999</v>
      </c>
      <c r="G44" s="1">
        <f>IF(COUNTIFS(Data!$A$2:$A$1723,G$1,Data!$B$2:$B$1723,$A44)=0,"",SUMIFS(Data!$F$2:$F$1723,Data!$A$2:$A$1723,G$1,Data!$B$2:$B$1723,$A44))</f>
        <v>54781.35</v>
      </c>
      <c r="H44" s="1">
        <f>IF(COUNTIFS(Data!$A$2:$A$1723,H$1,Data!$B$2:$B$1723,$A44)=0,"",SUMIFS(Data!$F$2:$F$1723,Data!$A$2:$A$1723,H$1,Data!$B$2:$B$1723,$A44))</f>
        <v>27657.25</v>
      </c>
    </row>
    <row r="45" spans="1:8" x14ac:dyDescent="0.25">
      <c r="A45" s="21">
        <v>46013</v>
      </c>
      <c r="B45" s="1">
        <f>IF(COUNTIFS(Data!$A$2:$A$1723,B$1,Data!$B$2:$B$1723,$A45)=0,"",SUMIFS(Data!$F$2:$F$1723,Data!$A$2:$A$1723,B$1,Data!$B$2:$B$1723,$A45))</f>
        <v>26172.400000000001</v>
      </c>
      <c r="C45" s="1">
        <f>IF(COUNTIFS(Data!$A$2:$A$1723,C$1,Data!$B$2:$B$1723,$A45)=0,"",SUMIFS(Data!$F$2:$F$1723,Data!$A$2:$A$1723,C$1,Data!$B$2:$B$1723,$A45))</f>
        <v>60815.25</v>
      </c>
      <c r="D45" s="1">
        <f>IF(COUNTIFS(Data!$A$2:$A$1723,D$1,Data!$B$2:$B$1723,$A45)=0,"",SUMIFS(Data!$F$2:$F$1723,Data!$A$2:$A$1723,D$1,Data!$B$2:$B$1723,$A45))</f>
        <v>17593.05</v>
      </c>
      <c r="E45" s="1">
        <f>IF(COUNTIFS(Data!$A$2:$A$1723,E$1,Data!$B$2:$B$1723,$A45)=0,"",SUMIFS(Data!$F$2:$F$1723,Data!$A$2:$A$1723,E$1,Data!$B$2:$B$1723,$A45))</f>
        <v>59304</v>
      </c>
      <c r="F45" s="1">
        <f>IF(COUNTIFS(Data!$A$2:$A$1723,F$1,Data!$B$2:$B$1723,$A45)=0,"",SUMIFS(Data!$F$2:$F$1723,Data!$A$2:$A$1723,F$1,Data!$B$2:$B$1723,$A45))</f>
        <v>39488</v>
      </c>
      <c r="G45" s="1">
        <f>IF(COUNTIFS(Data!$A$2:$A$1723,G$1,Data!$B$2:$B$1723,$A45)=0,"",SUMIFS(Data!$F$2:$F$1723,Data!$A$2:$A$1723,G$1,Data!$B$2:$B$1723,$A45))</f>
        <v>55062.65</v>
      </c>
      <c r="H45" s="1">
        <f>IF(COUNTIFS(Data!$A$2:$A$1723,H$1,Data!$B$2:$B$1723,$A45)=0,"",SUMIFS(Data!$F$2:$F$1723,Data!$A$2:$A$1723,H$1,Data!$B$2:$B$1723,$A45))</f>
        <v>27885.3</v>
      </c>
    </row>
    <row r="46" spans="1:8" x14ac:dyDescent="0.25">
      <c r="A46" s="21">
        <v>46014</v>
      </c>
      <c r="B46" s="1">
        <f>IF(COUNTIFS(Data!$A$2:$A$1723,B$1,Data!$B$2:$B$1723,$A46)=0,"",SUMIFS(Data!$F$2:$F$1723,Data!$A$2:$A$1723,B$1,Data!$B$2:$B$1723,$A46))</f>
        <v>26177.15</v>
      </c>
      <c r="C46" s="1">
        <f>IF(COUNTIFS(Data!$A$2:$A$1723,C$1,Data!$B$2:$B$1723,$A46)=0,"",SUMIFS(Data!$F$2:$F$1723,Data!$A$2:$A$1723,C$1,Data!$B$2:$B$1723,$A46))</f>
        <v>60816.1</v>
      </c>
      <c r="D46" s="1">
        <f>IF(COUNTIFS(Data!$A$2:$A$1723,D$1,Data!$B$2:$B$1723,$A46)=0,"",SUMIFS(Data!$F$2:$F$1723,Data!$A$2:$A$1723,D$1,Data!$B$2:$B$1723,$A46))</f>
        <v>17658.8</v>
      </c>
      <c r="E46" s="1">
        <f>IF(COUNTIFS(Data!$A$2:$A$1723,E$1,Data!$B$2:$B$1723,$A46)=0,"",SUMIFS(Data!$F$2:$F$1723,Data!$A$2:$A$1723,E$1,Data!$B$2:$B$1723,$A46))</f>
        <v>59299.55</v>
      </c>
      <c r="F46" s="1">
        <f>IF(COUNTIFS(Data!$A$2:$A$1723,F$1,Data!$B$2:$B$1723,$A46)=0,"",SUMIFS(Data!$F$2:$F$1723,Data!$A$2:$A$1723,F$1,Data!$B$2:$B$1723,$A46))</f>
        <v>39173.699999999997</v>
      </c>
      <c r="G46" s="1">
        <f>IF(COUNTIFS(Data!$A$2:$A$1723,G$1,Data!$B$2:$B$1723,$A46)=0,"",SUMIFS(Data!$F$2:$F$1723,Data!$A$2:$A$1723,G$1,Data!$B$2:$B$1723,$A46))</f>
        <v>55348.65</v>
      </c>
      <c r="H46" s="1">
        <f>IF(COUNTIFS(Data!$A$2:$A$1723,H$1,Data!$B$2:$B$1723,$A46)=0,"",SUMIFS(Data!$F$2:$F$1723,Data!$A$2:$A$1723,H$1,Data!$B$2:$B$1723,$A46))</f>
        <v>27892.05</v>
      </c>
    </row>
    <row r="47" spans="1:8" x14ac:dyDescent="0.25">
      <c r="A47" s="21">
        <v>46015</v>
      </c>
      <c r="B47" s="1">
        <f>IF(COUNTIFS(Data!$A$2:$A$1723,B$1,Data!$B$2:$B$1723,$A47)=0,"",SUMIFS(Data!$F$2:$F$1723,Data!$A$2:$A$1723,B$1,Data!$B$2:$B$1723,$A47))</f>
        <v>26142.1</v>
      </c>
      <c r="C47" s="1">
        <f>IF(COUNTIFS(Data!$A$2:$A$1723,C$1,Data!$B$2:$B$1723,$A47)=0,"",SUMIFS(Data!$F$2:$F$1723,Data!$A$2:$A$1723,C$1,Data!$B$2:$B$1723,$A47))</f>
        <v>60451.35</v>
      </c>
      <c r="D47" s="1">
        <f>IF(COUNTIFS(Data!$A$2:$A$1723,D$1,Data!$B$2:$B$1723,$A47)=0,"",SUMIFS(Data!$F$2:$F$1723,Data!$A$2:$A$1723,D$1,Data!$B$2:$B$1723,$A47))</f>
        <v>17708.599999999999</v>
      </c>
      <c r="E47" s="1">
        <f>IF(COUNTIFS(Data!$A$2:$A$1723,E$1,Data!$B$2:$B$1723,$A47)=0,"",SUMIFS(Data!$F$2:$F$1723,Data!$A$2:$A$1723,E$1,Data!$B$2:$B$1723,$A47))</f>
        <v>59183.6</v>
      </c>
      <c r="F47" s="1">
        <f>IF(COUNTIFS(Data!$A$2:$A$1723,F$1,Data!$B$2:$B$1723,$A47)=0,"",SUMIFS(Data!$F$2:$F$1723,Data!$A$2:$A$1723,F$1,Data!$B$2:$B$1723,$A47))</f>
        <v>38974.800000000003</v>
      </c>
      <c r="G47" s="1">
        <f>IF(COUNTIFS(Data!$A$2:$A$1723,G$1,Data!$B$2:$B$1723,$A47)=0,"",SUMIFS(Data!$F$2:$F$1723,Data!$A$2:$A$1723,G$1,Data!$B$2:$B$1723,$A47))</f>
        <v>55113.75</v>
      </c>
      <c r="H47" s="1">
        <f>IF(COUNTIFS(Data!$A$2:$A$1723,H$1,Data!$B$2:$B$1723,$A47)=0,"",SUMIFS(Data!$F$2:$F$1723,Data!$A$2:$A$1723,H$1,Data!$B$2:$B$1723,$A47))</f>
        <v>27885.65</v>
      </c>
    </row>
    <row r="48" spans="1:8" x14ac:dyDescent="0.25">
      <c r="A48" s="21">
        <v>46017</v>
      </c>
      <c r="B48" s="1">
        <f>IF(COUNTIFS(Data!$A$2:$A$1723,B$1,Data!$B$2:$B$1723,$A48)=0,"",SUMIFS(Data!$F$2:$F$1723,Data!$A$2:$A$1723,B$1,Data!$B$2:$B$1723,$A48))</f>
        <v>26042.3</v>
      </c>
      <c r="C48" s="1">
        <f>IF(COUNTIFS(Data!$A$2:$A$1723,C$1,Data!$B$2:$B$1723,$A48)=0,"",SUMIFS(Data!$F$2:$F$1723,Data!$A$2:$A$1723,C$1,Data!$B$2:$B$1723,$A48))</f>
        <v>60314.45</v>
      </c>
      <c r="D48" s="1">
        <f>IF(COUNTIFS(Data!$A$2:$A$1723,D$1,Data!$B$2:$B$1723,$A48)=0,"",SUMIFS(Data!$F$2:$F$1723,Data!$A$2:$A$1723,D$1,Data!$B$2:$B$1723,$A48))</f>
        <v>17695.099999999999</v>
      </c>
      <c r="E48" s="1">
        <f>IF(COUNTIFS(Data!$A$2:$A$1723,E$1,Data!$B$2:$B$1723,$A48)=0,"",SUMIFS(Data!$F$2:$F$1723,Data!$A$2:$A$1723,E$1,Data!$B$2:$B$1723,$A48))</f>
        <v>59011.35</v>
      </c>
      <c r="F48" s="1">
        <f>IF(COUNTIFS(Data!$A$2:$A$1723,F$1,Data!$B$2:$B$1723,$A48)=0,"",SUMIFS(Data!$F$2:$F$1723,Data!$A$2:$A$1723,F$1,Data!$B$2:$B$1723,$A48))</f>
        <v>38572.300000000003</v>
      </c>
      <c r="G48" s="1">
        <f>IF(COUNTIFS(Data!$A$2:$A$1723,G$1,Data!$B$2:$B$1723,$A48)=0,"",SUMIFS(Data!$F$2:$F$1723,Data!$A$2:$A$1723,G$1,Data!$B$2:$B$1723,$A48))</f>
        <v>55132.05</v>
      </c>
      <c r="H48" s="1">
        <f>IF(COUNTIFS(Data!$A$2:$A$1723,H$1,Data!$B$2:$B$1723,$A48)=0,"",SUMIFS(Data!$F$2:$F$1723,Data!$A$2:$A$1723,H$1,Data!$B$2:$B$1723,$A48))</f>
        <v>27739.85</v>
      </c>
    </row>
    <row r="49" spans="1:8" x14ac:dyDescent="0.25">
      <c r="A49" s="21">
        <v>46020</v>
      </c>
      <c r="B49" s="1">
        <f>IF(COUNTIFS(Data!$A$2:$A$1723,B$1,Data!$B$2:$B$1723,$A49)=0,"",SUMIFS(Data!$F$2:$F$1723,Data!$A$2:$A$1723,B$1,Data!$B$2:$B$1723,$A49))</f>
        <v>25942.1</v>
      </c>
      <c r="C49" s="1">
        <f>IF(COUNTIFS(Data!$A$2:$A$1723,C$1,Data!$B$2:$B$1723,$A49)=0,"",SUMIFS(Data!$F$2:$F$1723,Data!$A$2:$A$1723,C$1,Data!$B$2:$B$1723,$A49))</f>
        <v>60001.3</v>
      </c>
      <c r="D49" s="1">
        <f>IF(COUNTIFS(Data!$A$2:$A$1723,D$1,Data!$B$2:$B$1723,$A49)=0,"",SUMIFS(Data!$F$2:$F$1723,Data!$A$2:$A$1723,D$1,Data!$B$2:$B$1723,$A49))</f>
        <v>17567.7</v>
      </c>
      <c r="E49" s="1">
        <f>IF(COUNTIFS(Data!$A$2:$A$1723,E$1,Data!$B$2:$B$1723,$A49)=0,"",SUMIFS(Data!$F$2:$F$1723,Data!$A$2:$A$1723,E$1,Data!$B$2:$B$1723,$A49))</f>
        <v>58932.35</v>
      </c>
      <c r="F49" s="1">
        <f>IF(COUNTIFS(Data!$A$2:$A$1723,F$1,Data!$B$2:$B$1723,$A49)=0,"",SUMIFS(Data!$F$2:$F$1723,Data!$A$2:$A$1723,F$1,Data!$B$2:$B$1723,$A49))</f>
        <v>38282.699999999997</v>
      </c>
      <c r="G49" s="1">
        <f>IF(COUNTIFS(Data!$A$2:$A$1723,G$1,Data!$B$2:$B$1723,$A49)=0,"",SUMIFS(Data!$F$2:$F$1723,Data!$A$2:$A$1723,G$1,Data!$B$2:$B$1723,$A49))</f>
        <v>55192.45</v>
      </c>
      <c r="H49" s="1">
        <f>IF(COUNTIFS(Data!$A$2:$A$1723,H$1,Data!$B$2:$B$1723,$A49)=0,"",SUMIFS(Data!$F$2:$F$1723,Data!$A$2:$A$1723,H$1,Data!$B$2:$B$1723,$A49))</f>
        <v>27592.5</v>
      </c>
    </row>
    <row r="50" spans="1:8" x14ac:dyDescent="0.25">
      <c r="A50" s="21">
        <v>46021</v>
      </c>
      <c r="B50" s="1">
        <f>IF(COUNTIFS(Data!$A$2:$A$1723,B$1,Data!$B$2:$B$1723,$A50)=0,"",SUMIFS(Data!$F$2:$F$1723,Data!$A$2:$A$1723,B$1,Data!$B$2:$B$1723,$A50))</f>
        <v>25938.85</v>
      </c>
      <c r="C50" s="1">
        <f>IF(COUNTIFS(Data!$A$2:$A$1723,C$1,Data!$B$2:$B$1723,$A50)=0,"",SUMIFS(Data!$F$2:$F$1723,Data!$A$2:$A$1723,C$1,Data!$B$2:$B$1723,$A50))</f>
        <v>59914.25</v>
      </c>
      <c r="D50" s="1">
        <f>IF(COUNTIFS(Data!$A$2:$A$1723,D$1,Data!$B$2:$B$1723,$A50)=0,"",SUMIFS(Data!$F$2:$F$1723,Data!$A$2:$A$1723,D$1,Data!$B$2:$B$1723,$A50))</f>
        <v>17518.95</v>
      </c>
      <c r="E50" s="1">
        <f>IF(COUNTIFS(Data!$A$2:$A$1723,E$1,Data!$B$2:$B$1723,$A50)=0,"",SUMIFS(Data!$F$2:$F$1723,Data!$A$2:$A$1723,E$1,Data!$B$2:$B$1723,$A50))</f>
        <v>59171.25</v>
      </c>
      <c r="F50" s="1">
        <f>IF(COUNTIFS(Data!$A$2:$A$1723,F$1,Data!$B$2:$B$1723,$A50)=0,"",SUMIFS(Data!$F$2:$F$1723,Data!$A$2:$A$1723,F$1,Data!$B$2:$B$1723,$A50))</f>
        <v>37998.6</v>
      </c>
      <c r="G50" s="1">
        <f>IF(COUNTIFS(Data!$A$2:$A$1723,G$1,Data!$B$2:$B$1723,$A50)=0,"",SUMIFS(Data!$F$2:$F$1723,Data!$A$2:$A$1723,G$1,Data!$B$2:$B$1723,$A50))</f>
        <v>55033.15</v>
      </c>
      <c r="H50" s="1">
        <f>IF(COUNTIFS(Data!$A$2:$A$1723,H$1,Data!$B$2:$B$1723,$A50)=0,"",SUMIFS(Data!$F$2:$F$1723,Data!$A$2:$A$1723,H$1,Data!$B$2:$B$1723,$A50))</f>
        <v>27889.65</v>
      </c>
    </row>
    <row r="51" spans="1:8" x14ac:dyDescent="0.25">
      <c r="A51" s="21">
        <v>46022</v>
      </c>
      <c r="B51" s="1">
        <f>IF(COUNTIFS(Data!$A$2:$A$1723,B$1,Data!$B$2:$B$1723,$A51)=0,"",SUMIFS(Data!$F$2:$F$1723,Data!$A$2:$A$1723,B$1,Data!$B$2:$B$1723,$A51))</f>
        <v>26129.599999999999</v>
      </c>
      <c r="C51" s="1">
        <f>IF(COUNTIFS(Data!$A$2:$A$1723,C$1,Data!$B$2:$B$1723,$A51)=0,"",SUMIFS(Data!$F$2:$F$1723,Data!$A$2:$A$1723,C$1,Data!$B$2:$B$1723,$A51))</f>
        <v>60484.5</v>
      </c>
      <c r="D51" s="1">
        <f>IF(COUNTIFS(Data!$A$2:$A$1723,D$1,Data!$B$2:$B$1723,$A51)=0,"",SUMIFS(Data!$F$2:$F$1723,Data!$A$2:$A$1723,D$1,Data!$B$2:$B$1723,$A51))</f>
        <v>17713.95</v>
      </c>
      <c r="E51" s="1">
        <f>IF(COUNTIFS(Data!$A$2:$A$1723,E$1,Data!$B$2:$B$1723,$A51)=0,"",SUMIFS(Data!$F$2:$F$1723,Data!$A$2:$A$1723,E$1,Data!$B$2:$B$1723,$A51))</f>
        <v>59581.85</v>
      </c>
      <c r="F51" s="1">
        <f>IF(COUNTIFS(Data!$A$2:$A$1723,F$1,Data!$B$2:$B$1723,$A51)=0,"",SUMIFS(Data!$F$2:$F$1723,Data!$A$2:$A$1723,F$1,Data!$B$2:$B$1723,$A51))</f>
        <v>37884.050000000003</v>
      </c>
      <c r="G51" s="1">
        <f>IF(COUNTIFS(Data!$A$2:$A$1723,G$1,Data!$B$2:$B$1723,$A51)=0,"",SUMIFS(Data!$F$2:$F$1723,Data!$A$2:$A$1723,G$1,Data!$B$2:$B$1723,$A51))</f>
        <v>55475.65</v>
      </c>
      <c r="H51" s="1">
        <f>IF(COUNTIFS(Data!$A$2:$A$1723,H$1,Data!$B$2:$B$1723,$A51)=0,"",SUMIFS(Data!$F$2:$F$1723,Data!$A$2:$A$1723,H$1,Data!$B$2:$B$1723,$A51))</f>
        <v>28189.599999999999</v>
      </c>
    </row>
    <row r="52" spans="1:8" x14ac:dyDescent="0.25">
      <c r="A52" s="21">
        <v>46023</v>
      </c>
      <c r="B52" s="1">
        <f>IF(COUNTIFS(Data!$A$2:$A$1723,B$1,Data!$B$2:$B$1723,$A52)=0,"",SUMIFS(Data!$F$2:$F$1723,Data!$A$2:$A$1723,B$1,Data!$B$2:$B$1723,$A52))</f>
        <v>26146.55</v>
      </c>
      <c r="C52" s="1">
        <f>IF(COUNTIFS(Data!$A$2:$A$1723,C$1,Data!$B$2:$B$1723,$A52)=0,"",SUMIFS(Data!$F$2:$F$1723,Data!$A$2:$A$1723,C$1,Data!$B$2:$B$1723,$A52))</f>
        <v>60750.45</v>
      </c>
      <c r="D52" s="1">
        <f>IF(COUNTIFS(Data!$A$2:$A$1723,D$1,Data!$B$2:$B$1723,$A52)=0,"",SUMIFS(Data!$F$2:$F$1723,Data!$A$2:$A$1723,D$1,Data!$B$2:$B$1723,$A52))</f>
        <v>17704.900000000001</v>
      </c>
      <c r="E52" s="1">
        <f>IF(COUNTIFS(Data!$A$2:$A$1723,E$1,Data!$B$2:$B$1723,$A52)=0,"",SUMIFS(Data!$F$2:$F$1723,Data!$A$2:$A$1723,E$1,Data!$B$2:$B$1723,$A52))</f>
        <v>59711.55</v>
      </c>
      <c r="F52" s="1">
        <f>IF(COUNTIFS(Data!$A$2:$A$1723,F$1,Data!$B$2:$B$1723,$A52)=0,"",SUMIFS(Data!$F$2:$F$1723,Data!$A$2:$A$1723,F$1,Data!$B$2:$B$1723,$A52))</f>
        <v>38171.5</v>
      </c>
      <c r="G52" s="1">
        <f>IF(COUNTIFS(Data!$A$2:$A$1723,G$1,Data!$B$2:$B$1723,$A52)=0,"",SUMIFS(Data!$F$2:$F$1723,Data!$A$2:$A$1723,G$1,Data!$B$2:$B$1723,$A52))</f>
        <v>53718.5</v>
      </c>
      <c r="H52" s="1">
        <f>IF(COUNTIFS(Data!$A$2:$A$1723,H$1,Data!$B$2:$B$1723,$A52)=0,"",SUMIFS(Data!$F$2:$F$1723,Data!$A$2:$A$1723,H$1,Data!$B$2:$B$1723,$A52))</f>
        <v>28480.55</v>
      </c>
    </row>
    <row r="53" spans="1:8" x14ac:dyDescent="0.25">
      <c r="A53" s="21">
        <v>46024</v>
      </c>
      <c r="B53" s="1">
        <f>IF(COUNTIFS(Data!$A$2:$A$1723,B$1,Data!$B$2:$B$1723,$A53)=0,"",SUMIFS(Data!$F$2:$F$1723,Data!$A$2:$A$1723,B$1,Data!$B$2:$B$1723,$A53))</f>
        <v>26328.55</v>
      </c>
      <c r="C53" s="1">
        <f>IF(COUNTIFS(Data!$A$2:$A$1723,C$1,Data!$B$2:$B$1723,$A53)=0,"",SUMIFS(Data!$F$2:$F$1723,Data!$A$2:$A$1723,C$1,Data!$B$2:$B$1723,$A53))</f>
        <v>61365.9</v>
      </c>
      <c r="D53" s="1">
        <f>IF(COUNTIFS(Data!$A$2:$A$1723,D$1,Data!$B$2:$B$1723,$A53)=0,"",SUMIFS(Data!$F$2:$F$1723,Data!$A$2:$A$1723,D$1,Data!$B$2:$B$1723,$A53))</f>
        <v>17832.05</v>
      </c>
      <c r="E53" s="1">
        <f>IF(COUNTIFS(Data!$A$2:$A$1723,E$1,Data!$B$2:$B$1723,$A53)=0,"",SUMIFS(Data!$F$2:$F$1723,Data!$A$2:$A$1723,E$1,Data!$B$2:$B$1723,$A53))</f>
        <v>60150.95</v>
      </c>
      <c r="F53" s="1">
        <f>IF(COUNTIFS(Data!$A$2:$A$1723,F$1,Data!$B$2:$B$1723,$A53)=0,"",SUMIFS(Data!$F$2:$F$1723,Data!$A$2:$A$1723,F$1,Data!$B$2:$B$1723,$A53))</f>
        <v>38320.300000000003</v>
      </c>
      <c r="G53" s="1">
        <f>IF(COUNTIFS(Data!$A$2:$A$1723,G$1,Data!$B$2:$B$1723,$A53)=0,"",SUMIFS(Data!$F$2:$F$1723,Data!$A$2:$A$1723,G$1,Data!$B$2:$B$1723,$A53))</f>
        <v>53078.8</v>
      </c>
      <c r="H53" s="1">
        <f>IF(COUNTIFS(Data!$A$2:$A$1723,H$1,Data!$B$2:$B$1723,$A53)=0,"",SUMIFS(Data!$F$2:$F$1723,Data!$A$2:$A$1723,H$1,Data!$B$2:$B$1723,$A53))</f>
        <v>28803.65</v>
      </c>
    </row>
    <row r="54" spans="1:8" x14ac:dyDescent="0.25">
      <c r="A54" s="21">
        <v>46027</v>
      </c>
      <c r="B54" s="1">
        <f>IF(COUNTIFS(Data!$A$2:$A$1723,B$1,Data!$B$2:$B$1723,$A54)=0,"",SUMIFS(Data!$F$2:$F$1723,Data!$A$2:$A$1723,B$1,Data!$B$2:$B$1723,$A54))</f>
        <v>26250.3</v>
      </c>
      <c r="C54" s="1">
        <f>IF(COUNTIFS(Data!$A$2:$A$1723,C$1,Data!$B$2:$B$1723,$A54)=0,"",SUMIFS(Data!$F$2:$F$1723,Data!$A$2:$A$1723,C$1,Data!$B$2:$B$1723,$A54))</f>
        <v>61265.7</v>
      </c>
      <c r="D54" s="1">
        <f>IF(COUNTIFS(Data!$A$2:$A$1723,D$1,Data!$B$2:$B$1723,$A54)=0,"",SUMIFS(Data!$F$2:$F$1723,Data!$A$2:$A$1723,D$1,Data!$B$2:$B$1723,$A54))</f>
        <v>17926.400000000001</v>
      </c>
      <c r="E54" s="1">
        <f>IF(COUNTIFS(Data!$A$2:$A$1723,E$1,Data!$B$2:$B$1723,$A54)=0,"",SUMIFS(Data!$F$2:$F$1723,Data!$A$2:$A$1723,E$1,Data!$B$2:$B$1723,$A54))</f>
        <v>60044.2</v>
      </c>
      <c r="F54" s="1">
        <f>IF(COUNTIFS(Data!$A$2:$A$1723,F$1,Data!$B$2:$B$1723,$A54)=0,"",SUMIFS(Data!$F$2:$F$1723,Data!$A$2:$A$1723,F$1,Data!$B$2:$B$1723,$A54))</f>
        <v>37771.15</v>
      </c>
      <c r="G54" s="1">
        <f>IF(COUNTIFS(Data!$A$2:$A$1723,G$1,Data!$B$2:$B$1723,$A54)=0,"",SUMIFS(Data!$F$2:$F$1723,Data!$A$2:$A$1723,G$1,Data!$B$2:$B$1723,$A54))</f>
        <v>53441.1</v>
      </c>
      <c r="H54" s="1">
        <f>IF(COUNTIFS(Data!$A$2:$A$1723,H$1,Data!$B$2:$B$1723,$A54)=0,"",SUMIFS(Data!$F$2:$F$1723,Data!$A$2:$A$1723,H$1,Data!$B$2:$B$1723,$A54))</f>
        <v>28894.15</v>
      </c>
    </row>
    <row r="55" spans="1:8" x14ac:dyDescent="0.25">
      <c r="A55" s="21">
        <v>46028</v>
      </c>
      <c r="B55" s="1">
        <f>IF(COUNTIFS(Data!$A$2:$A$1723,B$1,Data!$B$2:$B$1723,$A55)=0,"",SUMIFS(Data!$F$2:$F$1723,Data!$A$2:$A$1723,B$1,Data!$B$2:$B$1723,$A55))</f>
        <v>26178.7</v>
      </c>
      <c r="C55" s="1">
        <f>IF(COUNTIFS(Data!$A$2:$A$1723,C$1,Data!$B$2:$B$1723,$A55)=0,"",SUMIFS(Data!$F$2:$F$1723,Data!$A$2:$A$1723,C$1,Data!$B$2:$B$1723,$A55))</f>
        <v>61148.55</v>
      </c>
      <c r="D55" s="1">
        <f>IF(COUNTIFS(Data!$A$2:$A$1723,D$1,Data!$B$2:$B$1723,$A55)=0,"",SUMIFS(Data!$F$2:$F$1723,Data!$A$2:$A$1723,D$1,Data!$B$2:$B$1723,$A55))</f>
        <v>17887.849999999999</v>
      </c>
      <c r="E55" s="1">
        <f>IF(COUNTIFS(Data!$A$2:$A$1723,E$1,Data!$B$2:$B$1723,$A55)=0,"",SUMIFS(Data!$F$2:$F$1723,Data!$A$2:$A$1723,E$1,Data!$B$2:$B$1723,$A55))</f>
        <v>60118.400000000001</v>
      </c>
      <c r="F55" s="1">
        <f>IF(COUNTIFS(Data!$A$2:$A$1723,F$1,Data!$B$2:$B$1723,$A55)=0,"",SUMIFS(Data!$F$2:$F$1723,Data!$A$2:$A$1723,F$1,Data!$B$2:$B$1723,$A55))</f>
        <v>37977.4</v>
      </c>
      <c r="G55" s="1">
        <f>IF(COUNTIFS(Data!$A$2:$A$1723,G$1,Data!$B$2:$B$1723,$A55)=0,"",SUMIFS(Data!$F$2:$F$1723,Data!$A$2:$A$1723,G$1,Data!$B$2:$B$1723,$A55))</f>
        <v>53561.95</v>
      </c>
      <c r="H55" s="1">
        <f>IF(COUNTIFS(Data!$A$2:$A$1723,H$1,Data!$B$2:$B$1723,$A55)=0,"",SUMIFS(Data!$F$2:$F$1723,Data!$A$2:$A$1723,H$1,Data!$B$2:$B$1723,$A55))</f>
        <v>28922.35</v>
      </c>
    </row>
    <row r="56" spans="1:8" x14ac:dyDescent="0.25">
      <c r="A56" s="21">
        <v>46029</v>
      </c>
      <c r="B56" s="1">
        <f>IF(COUNTIFS(Data!$A$2:$A$1723,B$1,Data!$B$2:$B$1723,$A56)=0,"",SUMIFS(Data!$F$2:$F$1723,Data!$A$2:$A$1723,B$1,Data!$B$2:$B$1723,$A56))</f>
        <v>26140.75</v>
      </c>
      <c r="C56" s="1">
        <f>IF(COUNTIFS(Data!$A$2:$A$1723,C$1,Data!$B$2:$B$1723,$A56)=0,"",SUMIFS(Data!$F$2:$F$1723,Data!$A$2:$A$1723,C$1,Data!$B$2:$B$1723,$A56))</f>
        <v>61424.7</v>
      </c>
      <c r="D56" s="1">
        <f>IF(COUNTIFS(Data!$A$2:$A$1723,D$1,Data!$B$2:$B$1723,$A56)=0,"",SUMIFS(Data!$F$2:$F$1723,Data!$A$2:$A$1723,D$1,Data!$B$2:$B$1723,$A56))</f>
        <v>17958.5</v>
      </c>
      <c r="E56" s="1">
        <f>IF(COUNTIFS(Data!$A$2:$A$1723,E$1,Data!$B$2:$B$1723,$A56)=0,"",SUMIFS(Data!$F$2:$F$1723,Data!$A$2:$A$1723,E$1,Data!$B$2:$B$1723,$A56))</f>
        <v>59990.85</v>
      </c>
      <c r="F56" s="1">
        <f>IF(COUNTIFS(Data!$A$2:$A$1723,F$1,Data!$B$2:$B$1723,$A56)=0,"",SUMIFS(Data!$F$2:$F$1723,Data!$A$2:$A$1723,F$1,Data!$B$2:$B$1723,$A56))</f>
        <v>38688.800000000003</v>
      </c>
      <c r="G56" s="1">
        <f>IF(COUNTIFS(Data!$A$2:$A$1723,G$1,Data!$B$2:$B$1723,$A56)=0,"",SUMIFS(Data!$F$2:$F$1723,Data!$A$2:$A$1723,G$1,Data!$B$2:$B$1723,$A56))</f>
        <v>53493.8</v>
      </c>
      <c r="H56" s="1">
        <f>IF(COUNTIFS(Data!$A$2:$A$1723,H$1,Data!$B$2:$B$1723,$A56)=0,"",SUMIFS(Data!$F$2:$F$1723,Data!$A$2:$A$1723,H$1,Data!$B$2:$B$1723,$A56))</f>
        <v>28692.400000000001</v>
      </c>
    </row>
    <row r="57" spans="1:8" x14ac:dyDescent="0.25">
      <c r="A57" s="21">
        <v>46030</v>
      </c>
      <c r="B57" s="1">
        <f>IF(COUNTIFS(Data!$A$2:$A$1723,B$1,Data!$B$2:$B$1723,$A57)=0,"",SUMIFS(Data!$F$2:$F$1723,Data!$A$2:$A$1723,B$1,Data!$B$2:$B$1723,$A57))</f>
        <v>25876.85</v>
      </c>
      <c r="C57" s="1">
        <f>IF(COUNTIFS(Data!$A$2:$A$1723,C$1,Data!$B$2:$B$1723,$A57)=0,"",SUMIFS(Data!$F$2:$F$1723,Data!$A$2:$A$1723,C$1,Data!$B$2:$B$1723,$A57))</f>
        <v>60222.55</v>
      </c>
      <c r="D57" s="1">
        <f>IF(COUNTIFS(Data!$A$2:$A$1723,D$1,Data!$B$2:$B$1723,$A57)=0,"",SUMIFS(Data!$F$2:$F$1723,Data!$A$2:$A$1723,D$1,Data!$B$2:$B$1723,$A57))</f>
        <v>17601.05</v>
      </c>
      <c r="E57" s="1">
        <f>IF(COUNTIFS(Data!$A$2:$A$1723,E$1,Data!$B$2:$B$1723,$A57)=0,"",SUMIFS(Data!$F$2:$F$1723,Data!$A$2:$A$1723,E$1,Data!$B$2:$B$1723,$A57))</f>
        <v>59686.5</v>
      </c>
      <c r="F57" s="1">
        <f>IF(COUNTIFS(Data!$A$2:$A$1723,F$1,Data!$B$2:$B$1723,$A57)=0,"",SUMIFS(Data!$F$2:$F$1723,Data!$A$2:$A$1723,F$1,Data!$B$2:$B$1723,$A57))</f>
        <v>37920.300000000003</v>
      </c>
      <c r="G57" s="1">
        <f>IF(COUNTIFS(Data!$A$2:$A$1723,G$1,Data!$B$2:$B$1723,$A57)=0,"",SUMIFS(Data!$F$2:$F$1723,Data!$A$2:$A$1723,G$1,Data!$B$2:$B$1723,$A57))</f>
        <v>53010.15</v>
      </c>
      <c r="H57" s="1">
        <f>IF(COUNTIFS(Data!$A$2:$A$1723,H$1,Data!$B$2:$B$1723,$A57)=0,"",SUMIFS(Data!$F$2:$F$1723,Data!$A$2:$A$1723,H$1,Data!$B$2:$B$1723,$A57))</f>
        <v>28414.95</v>
      </c>
    </row>
    <row r="58" spans="1:8" x14ac:dyDescent="0.25">
      <c r="A58" s="21">
        <v>46031</v>
      </c>
      <c r="B58" s="1">
        <f>IF(COUNTIFS(Data!$A$2:$A$1723,B$1,Data!$B$2:$B$1723,$A58)=0,"",SUMIFS(Data!$F$2:$F$1723,Data!$A$2:$A$1723,B$1,Data!$B$2:$B$1723,$A58))</f>
        <v>25683.3</v>
      </c>
      <c r="C58" s="1">
        <f>IF(COUNTIFS(Data!$A$2:$A$1723,C$1,Data!$B$2:$B$1723,$A58)=0,"",SUMIFS(Data!$F$2:$F$1723,Data!$A$2:$A$1723,C$1,Data!$B$2:$B$1723,$A58))</f>
        <v>59748.15</v>
      </c>
      <c r="D58" s="1">
        <f>IF(COUNTIFS(Data!$A$2:$A$1723,D$1,Data!$B$2:$B$1723,$A58)=0,"",SUMIFS(Data!$F$2:$F$1723,Data!$A$2:$A$1723,D$1,Data!$B$2:$B$1723,$A58))</f>
        <v>17282.650000000001</v>
      </c>
      <c r="E58" s="1">
        <f>IF(COUNTIFS(Data!$A$2:$A$1723,E$1,Data!$B$2:$B$1723,$A58)=0,"",SUMIFS(Data!$F$2:$F$1723,Data!$A$2:$A$1723,E$1,Data!$B$2:$B$1723,$A58))</f>
        <v>59251.55</v>
      </c>
      <c r="F58" s="1">
        <f>IF(COUNTIFS(Data!$A$2:$A$1723,F$1,Data!$B$2:$B$1723,$A58)=0,"",SUMIFS(Data!$F$2:$F$1723,Data!$A$2:$A$1723,F$1,Data!$B$2:$B$1723,$A58))</f>
        <v>38027.199999999997</v>
      </c>
      <c r="G58" s="1">
        <f>IF(COUNTIFS(Data!$A$2:$A$1723,G$1,Data!$B$2:$B$1723,$A58)=0,"",SUMIFS(Data!$F$2:$F$1723,Data!$A$2:$A$1723,G$1,Data!$B$2:$B$1723,$A58))</f>
        <v>52438.15</v>
      </c>
      <c r="H58" s="1">
        <f>IF(COUNTIFS(Data!$A$2:$A$1723,H$1,Data!$B$2:$B$1723,$A58)=0,"",SUMIFS(Data!$F$2:$F$1723,Data!$A$2:$A$1723,H$1,Data!$B$2:$B$1723,$A58))</f>
        <v>28087.65</v>
      </c>
    </row>
    <row r="59" spans="1:8" x14ac:dyDescent="0.25">
      <c r="A59" s="21">
        <v>46034</v>
      </c>
      <c r="B59" s="1">
        <f>IF(COUNTIFS(Data!$A$2:$A$1723,B$1,Data!$B$2:$B$1723,$A59)=0,"",SUMIFS(Data!$F$2:$F$1723,Data!$A$2:$A$1723,B$1,Data!$B$2:$B$1723,$A59))</f>
        <v>25790.25</v>
      </c>
      <c r="C59" s="1">
        <f>IF(COUNTIFS(Data!$A$2:$A$1723,C$1,Data!$B$2:$B$1723,$A59)=0,"",SUMIFS(Data!$F$2:$F$1723,Data!$A$2:$A$1723,C$1,Data!$B$2:$B$1723,$A59))</f>
        <v>59717.1</v>
      </c>
      <c r="D59" s="1">
        <f>IF(COUNTIFS(Data!$A$2:$A$1723,D$1,Data!$B$2:$B$1723,$A59)=0,"",SUMIFS(Data!$F$2:$F$1723,Data!$A$2:$A$1723,D$1,Data!$B$2:$B$1723,$A59))</f>
        <v>17193.3</v>
      </c>
      <c r="E59" s="1">
        <f>IF(COUNTIFS(Data!$A$2:$A$1723,E$1,Data!$B$2:$B$1723,$A59)=0,"",SUMIFS(Data!$F$2:$F$1723,Data!$A$2:$A$1723,E$1,Data!$B$2:$B$1723,$A59))</f>
        <v>59450.5</v>
      </c>
      <c r="F59" s="1">
        <f>IF(COUNTIFS(Data!$A$2:$A$1723,F$1,Data!$B$2:$B$1723,$A59)=0,"",SUMIFS(Data!$F$2:$F$1723,Data!$A$2:$A$1723,F$1,Data!$B$2:$B$1723,$A59))</f>
        <v>37988.25</v>
      </c>
      <c r="G59" s="1">
        <f>IF(COUNTIFS(Data!$A$2:$A$1723,G$1,Data!$B$2:$B$1723,$A59)=0,"",SUMIFS(Data!$F$2:$F$1723,Data!$A$2:$A$1723,G$1,Data!$B$2:$B$1723,$A59))</f>
        <v>52745.5</v>
      </c>
      <c r="H59" s="1">
        <f>IF(COUNTIFS(Data!$A$2:$A$1723,H$1,Data!$B$2:$B$1723,$A59)=0,"",SUMIFS(Data!$F$2:$F$1723,Data!$A$2:$A$1723,H$1,Data!$B$2:$B$1723,$A59))</f>
        <v>28011.75</v>
      </c>
    </row>
    <row r="60" spans="1:8" x14ac:dyDescent="0.25">
      <c r="A60" s="21">
        <v>46035</v>
      </c>
      <c r="B60" s="1">
        <f>IF(COUNTIFS(Data!$A$2:$A$1723,B$1,Data!$B$2:$B$1723,$A60)=0,"",SUMIFS(Data!$F$2:$F$1723,Data!$A$2:$A$1723,B$1,Data!$B$2:$B$1723,$A60))</f>
        <v>25732.3</v>
      </c>
      <c r="C60" s="1">
        <f>IF(COUNTIFS(Data!$A$2:$A$1723,C$1,Data!$B$2:$B$1723,$A60)=0,"",SUMIFS(Data!$F$2:$F$1723,Data!$A$2:$A$1723,C$1,Data!$B$2:$B$1723,$A60))</f>
        <v>59597.8</v>
      </c>
      <c r="D60" s="1">
        <f>IF(COUNTIFS(Data!$A$2:$A$1723,D$1,Data!$B$2:$B$1723,$A60)=0,"",SUMIFS(Data!$F$2:$F$1723,Data!$A$2:$A$1723,D$1,Data!$B$2:$B$1723,$A60))</f>
        <v>17295.8</v>
      </c>
      <c r="E60" s="1">
        <f>IF(COUNTIFS(Data!$A$2:$A$1723,E$1,Data!$B$2:$B$1723,$A60)=0,"",SUMIFS(Data!$F$2:$F$1723,Data!$A$2:$A$1723,E$1,Data!$B$2:$B$1723,$A60))</f>
        <v>59578.8</v>
      </c>
      <c r="F60" s="1">
        <f>IF(COUNTIFS(Data!$A$2:$A$1723,F$1,Data!$B$2:$B$1723,$A60)=0,"",SUMIFS(Data!$F$2:$F$1723,Data!$A$2:$A$1723,F$1,Data!$B$2:$B$1723,$A60))</f>
        <v>38236.550000000003</v>
      </c>
      <c r="G60" s="1">
        <f>IF(COUNTIFS(Data!$A$2:$A$1723,G$1,Data!$B$2:$B$1723,$A60)=0,"",SUMIFS(Data!$F$2:$F$1723,Data!$A$2:$A$1723,G$1,Data!$B$2:$B$1723,$A60))</f>
        <v>52577.15</v>
      </c>
      <c r="H60" s="1">
        <f>IF(COUNTIFS(Data!$A$2:$A$1723,H$1,Data!$B$2:$B$1723,$A60)=0,"",SUMIFS(Data!$F$2:$F$1723,Data!$A$2:$A$1723,H$1,Data!$B$2:$B$1723,$A60))</f>
        <v>27915.1</v>
      </c>
    </row>
    <row r="61" spans="1:8" x14ac:dyDescent="0.25">
      <c r="A61" s="21">
        <v>46036</v>
      </c>
      <c r="B61" s="1">
        <f>IF(COUNTIFS(Data!$A$2:$A$1723,B$1,Data!$B$2:$B$1723,$A61)=0,"",SUMIFS(Data!$F$2:$F$1723,Data!$A$2:$A$1723,B$1,Data!$B$2:$B$1723,$A61))</f>
        <v>25665.599999999999</v>
      </c>
      <c r="C61" s="1">
        <f>IF(COUNTIFS(Data!$A$2:$A$1723,C$1,Data!$B$2:$B$1723,$A61)=0,"",SUMIFS(Data!$F$2:$F$1723,Data!$A$2:$A$1723,C$1,Data!$B$2:$B$1723,$A61))</f>
        <v>59770.5</v>
      </c>
      <c r="D61" s="1">
        <f>IF(COUNTIFS(Data!$A$2:$A$1723,D$1,Data!$B$2:$B$1723,$A61)=0,"",SUMIFS(Data!$F$2:$F$1723,Data!$A$2:$A$1723,D$1,Data!$B$2:$B$1723,$A61))</f>
        <v>17410.849999999999</v>
      </c>
      <c r="E61" s="1">
        <f>IF(COUNTIFS(Data!$A$2:$A$1723,E$1,Data!$B$2:$B$1723,$A61)=0,"",SUMIFS(Data!$F$2:$F$1723,Data!$A$2:$A$1723,E$1,Data!$B$2:$B$1723,$A61))</f>
        <v>59580.15</v>
      </c>
      <c r="F61" s="1">
        <f>IF(COUNTIFS(Data!$A$2:$A$1723,F$1,Data!$B$2:$B$1723,$A61)=0,"",SUMIFS(Data!$F$2:$F$1723,Data!$A$2:$A$1723,F$1,Data!$B$2:$B$1723,$A61))</f>
        <v>37822.699999999997</v>
      </c>
      <c r="G61" s="1">
        <f>IF(COUNTIFS(Data!$A$2:$A$1723,G$1,Data!$B$2:$B$1723,$A61)=0,"",SUMIFS(Data!$F$2:$F$1723,Data!$A$2:$A$1723,G$1,Data!$B$2:$B$1723,$A61))</f>
        <v>52258.65</v>
      </c>
      <c r="H61" s="1">
        <f>IF(COUNTIFS(Data!$A$2:$A$1723,H$1,Data!$B$2:$B$1723,$A61)=0,"",SUMIFS(Data!$F$2:$F$1723,Data!$A$2:$A$1723,H$1,Data!$B$2:$B$1723,$A61))</f>
        <v>27721.85</v>
      </c>
    </row>
    <row r="62" spans="1:8" x14ac:dyDescent="0.25">
      <c r="A62" s="21">
        <v>46038</v>
      </c>
      <c r="B62" s="1">
        <f>IF(COUNTIFS(Data!$A$2:$A$1723,B$1,Data!$B$2:$B$1723,$A62)=0,"",SUMIFS(Data!$F$2:$F$1723,Data!$A$2:$A$1723,B$1,Data!$B$2:$B$1723,$A62))</f>
        <v>25694.35</v>
      </c>
      <c r="C62" s="1">
        <f>IF(COUNTIFS(Data!$A$2:$A$1723,C$1,Data!$B$2:$B$1723,$A62)=0,"",SUMIFS(Data!$F$2:$F$1723,Data!$A$2:$A$1723,C$1,Data!$B$2:$B$1723,$A62))</f>
        <v>59867.8</v>
      </c>
      <c r="D62" s="1">
        <f>IF(COUNTIFS(Data!$A$2:$A$1723,D$1,Data!$B$2:$B$1723,$A62)=0,"",SUMIFS(Data!$F$2:$F$1723,Data!$A$2:$A$1723,D$1,Data!$B$2:$B$1723,$A62))</f>
        <v>17362.3</v>
      </c>
      <c r="E62" s="1">
        <f>IF(COUNTIFS(Data!$A$2:$A$1723,E$1,Data!$B$2:$B$1723,$A62)=0,"",SUMIFS(Data!$F$2:$F$1723,Data!$A$2:$A$1723,E$1,Data!$B$2:$B$1723,$A62))</f>
        <v>60095.15</v>
      </c>
      <c r="F62" s="1">
        <f>IF(COUNTIFS(Data!$A$2:$A$1723,F$1,Data!$B$2:$B$1723,$A62)=0,"",SUMIFS(Data!$F$2:$F$1723,Data!$A$2:$A$1723,F$1,Data!$B$2:$B$1723,$A62))</f>
        <v>39086.65</v>
      </c>
      <c r="G62" s="1">
        <f>IF(COUNTIFS(Data!$A$2:$A$1723,G$1,Data!$B$2:$B$1723,$A62)=0,"",SUMIFS(Data!$F$2:$F$1723,Data!$A$2:$A$1723,G$1,Data!$B$2:$B$1723,$A62))</f>
        <v>52142.5</v>
      </c>
      <c r="H62" s="1">
        <f>IF(COUNTIFS(Data!$A$2:$A$1723,H$1,Data!$B$2:$B$1723,$A62)=0,"",SUMIFS(Data!$F$2:$F$1723,Data!$A$2:$A$1723,H$1,Data!$B$2:$B$1723,$A62))</f>
        <v>27596.25</v>
      </c>
    </row>
    <row r="63" spans="1:8" x14ac:dyDescent="0.25">
      <c r="A63" s="21">
        <v>46041</v>
      </c>
      <c r="B63" s="1">
        <f>IF(COUNTIFS(Data!$A$2:$A$1723,B$1,Data!$B$2:$B$1723,$A63)=0,"",SUMIFS(Data!$F$2:$F$1723,Data!$A$2:$A$1723,B$1,Data!$B$2:$B$1723,$A63))</f>
        <v>25585.5</v>
      </c>
      <c r="C63" s="1">
        <f>IF(COUNTIFS(Data!$A$2:$A$1723,C$1,Data!$B$2:$B$1723,$A63)=0,"",SUMIFS(Data!$F$2:$F$1723,Data!$A$2:$A$1723,C$1,Data!$B$2:$B$1723,$A63))</f>
        <v>59647.65</v>
      </c>
      <c r="D63" s="1">
        <f>IF(COUNTIFS(Data!$A$2:$A$1723,D$1,Data!$B$2:$B$1723,$A63)=0,"",SUMIFS(Data!$F$2:$F$1723,Data!$A$2:$A$1723,D$1,Data!$B$2:$B$1723,$A63))</f>
        <v>17190.7</v>
      </c>
      <c r="E63" s="1">
        <f>IF(COUNTIFS(Data!$A$2:$A$1723,E$1,Data!$B$2:$B$1723,$A63)=0,"",SUMIFS(Data!$F$2:$F$1723,Data!$A$2:$A$1723,E$1,Data!$B$2:$B$1723,$A63))</f>
        <v>59891.35</v>
      </c>
      <c r="F63" s="1">
        <f>IF(COUNTIFS(Data!$A$2:$A$1723,F$1,Data!$B$2:$B$1723,$A63)=0,"",SUMIFS(Data!$F$2:$F$1723,Data!$A$2:$A$1723,F$1,Data!$B$2:$B$1723,$A63))</f>
        <v>38902.5</v>
      </c>
      <c r="G63" s="1">
        <f>IF(COUNTIFS(Data!$A$2:$A$1723,G$1,Data!$B$2:$B$1723,$A63)=0,"",SUMIFS(Data!$F$2:$F$1723,Data!$A$2:$A$1723,G$1,Data!$B$2:$B$1723,$A63))</f>
        <v>52489.95</v>
      </c>
      <c r="H63" s="1">
        <f>IF(COUNTIFS(Data!$A$2:$A$1723,H$1,Data!$B$2:$B$1723,$A63)=0,"",SUMIFS(Data!$F$2:$F$1723,Data!$A$2:$A$1723,H$1,Data!$B$2:$B$1723,$A63))</f>
        <v>27632.45</v>
      </c>
    </row>
    <row r="64" spans="1:8" x14ac:dyDescent="0.25">
      <c r="A64" s="21">
        <v>46042</v>
      </c>
      <c r="B64" s="1">
        <f>IF(COUNTIFS(Data!$A$2:$A$1723,B$1,Data!$B$2:$B$1723,$A64)=0,"",SUMIFS(Data!$F$2:$F$1723,Data!$A$2:$A$1723,B$1,Data!$B$2:$B$1723,$A64))</f>
        <v>25232.5</v>
      </c>
      <c r="C64" s="1">
        <f>IF(COUNTIFS(Data!$A$2:$A$1723,C$1,Data!$B$2:$B$1723,$A64)=0,"",SUMIFS(Data!$F$2:$F$1723,Data!$A$2:$A$1723,C$1,Data!$B$2:$B$1723,$A64))</f>
        <v>58085.35</v>
      </c>
      <c r="D64" s="1">
        <f>IF(COUNTIFS(Data!$A$2:$A$1723,D$1,Data!$B$2:$B$1723,$A64)=0,"",SUMIFS(Data!$F$2:$F$1723,Data!$A$2:$A$1723,D$1,Data!$B$2:$B$1723,$A64))</f>
        <v>16701.05</v>
      </c>
      <c r="E64" s="1">
        <f>IF(COUNTIFS(Data!$A$2:$A$1723,E$1,Data!$B$2:$B$1723,$A64)=0,"",SUMIFS(Data!$F$2:$F$1723,Data!$A$2:$A$1723,E$1,Data!$B$2:$B$1723,$A64))</f>
        <v>59404.2</v>
      </c>
      <c r="F64" s="1">
        <f>IF(COUNTIFS(Data!$A$2:$A$1723,F$1,Data!$B$2:$B$1723,$A64)=0,"",SUMIFS(Data!$F$2:$F$1723,Data!$A$2:$A$1723,F$1,Data!$B$2:$B$1723,$A64))</f>
        <v>38101.050000000003</v>
      </c>
      <c r="G64" s="1">
        <f>IF(COUNTIFS(Data!$A$2:$A$1723,G$1,Data!$B$2:$B$1723,$A64)=0,"",SUMIFS(Data!$F$2:$F$1723,Data!$A$2:$A$1723,G$1,Data!$B$2:$B$1723,$A64))</f>
        <v>51713</v>
      </c>
      <c r="H64" s="1">
        <f>IF(COUNTIFS(Data!$A$2:$A$1723,H$1,Data!$B$2:$B$1723,$A64)=0,"",SUMIFS(Data!$F$2:$F$1723,Data!$A$2:$A$1723,H$1,Data!$B$2:$B$1723,$A64))</f>
        <v>26948.1</v>
      </c>
    </row>
    <row r="65" spans="1:8" x14ac:dyDescent="0.25">
      <c r="A65" s="21">
        <v>46043</v>
      </c>
      <c r="B65" s="1">
        <f>IF(COUNTIFS(Data!$A$2:$A$1723,B$1,Data!$B$2:$B$1723,$A65)=0,"",SUMIFS(Data!$F$2:$F$1723,Data!$A$2:$A$1723,B$1,Data!$B$2:$B$1723,$A65))</f>
        <v>25157.5</v>
      </c>
      <c r="C65" s="1">
        <f>IF(COUNTIFS(Data!$A$2:$A$1723,C$1,Data!$B$2:$B$1723,$A65)=0,"",SUMIFS(Data!$F$2:$F$1723,Data!$A$2:$A$1723,C$1,Data!$B$2:$B$1723,$A65))</f>
        <v>57423.65</v>
      </c>
      <c r="D65" s="1">
        <f>IF(COUNTIFS(Data!$A$2:$A$1723,D$1,Data!$B$2:$B$1723,$A65)=0,"",SUMIFS(Data!$F$2:$F$1723,Data!$A$2:$A$1723,D$1,Data!$B$2:$B$1723,$A65))</f>
        <v>16551.2</v>
      </c>
      <c r="E65" s="1">
        <f>IF(COUNTIFS(Data!$A$2:$A$1723,E$1,Data!$B$2:$B$1723,$A65)=0,"",SUMIFS(Data!$F$2:$F$1723,Data!$A$2:$A$1723,E$1,Data!$B$2:$B$1723,$A65))</f>
        <v>58800.3</v>
      </c>
      <c r="F65" s="1">
        <f>IF(COUNTIFS(Data!$A$2:$A$1723,F$1,Data!$B$2:$B$1723,$A65)=0,"",SUMIFS(Data!$F$2:$F$1723,Data!$A$2:$A$1723,F$1,Data!$B$2:$B$1723,$A65))</f>
        <v>37992.300000000003</v>
      </c>
      <c r="G65" s="1">
        <f>IF(COUNTIFS(Data!$A$2:$A$1723,G$1,Data!$B$2:$B$1723,$A65)=0,"",SUMIFS(Data!$F$2:$F$1723,Data!$A$2:$A$1723,G$1,Data!$B$2:$B$1723,$A65))</f>
        <v>51402.5</v>
      </c>
      <c r="H65" s="1">
        <f>IF(COUNTIFS(Data!$A$2:$A$1723,H$1,Data!$B$2:$B$1723,$A65)=0,"",SUMIFS(Data!$F$2:$F$1723,Data!$A$2:$A$1723,H$1,Data!$B$2:$B$1723,$A65))</f>
        <v>26871.25</v>
      </c>
    </row>
    <row r="66" spans="1:8" x14ac:dyDescent="0.25">
      <c r="A66" s="21">
        <v>46044</v>
      </c>
      <c r="B66" s="1">
        <f>IF(COUNTIFS(Data!$A$2:$A$1723,B$1,Data!$B$2:$B$1723,$A66)=0,"",SUMIFS(Data!$F$2:$F$1723,Data!$A$2:$A$1723,B$1,Data!$B$2:$B$1723,$A66))</f>
        <v>25289.9</v>
      </c>
      <c r="C66" s="1">
        <f>IF(COUNTIFS(Data!$A$2:$A$1723,C$1,Data!$B$2:$B$1723,$A66)=0,"",SUMIFS(Data!$F$2:$F$1723,Data!$A$2:$A$1723,C$1,Data!$B$2:$B$1723,$A66))</f>
        <v>58191.3</v>
      </c>
      <c r="D66" s="1">
        <f>IF(COUNTIFS(Data!$A$2:$A$1723,D$1,Data!$B$2:$B$1723,$A66)=0,"",SUMIFS(Data!$F$2:$F$1723,Data!$A$2:$A$1723,D$1,Data!$B$2:$B$1723,$A66))</f>
        <v>16677.25</v>
      </c>
      <c r="E66" s="1">
        <f>IF(COUNTIFS(Data!$A$2:$A$1723,E$1,Data!$B$2:$B$1723,$A66)=0,"",SUMIFS(Data!$F$2:$F$1723,Data!$A$2:$A$1723,E$1,Data!$B$2:$B$1723,$A66))</f>
        <v>59200.1</v>
      </c>
      <c r="F66" s="1">
        <f>IF(COUNTIFS(Data!$A$2:$A$1723,F$1,Data!$B$2:$B$1723,$A66)=0,"",SUMIFS(Data!$F$2:$F$1723,Data!$A$2:$A$1723,F$1,Data!$B$2:$B$1723,$A66))</f>
        <v>38301.75</v>
      </c>
      <c r="G66" s="1">
        <f>IF(COUNTIFS(Data!$A$2:$A$1723,G$1,Data!$B$2:$B$1723,$A66)=0,"",SUMIFS(Data!$F$2:$F$1723,Data!$A$2:$A$1723,G$1,Data!$B$2:$B$1723,$A66))</f>
        <v>51978.400000000001</v>
      </c>
      <c r="H66" s="1">
        <f>IF(COUNTIFS(Data!$A$2:$A$1723,H$1,Data!$B$2:$B$1723,$A66)=0,"",SUMIFS(Data!$F$2:$F$1723,Data!$A$2:$A$1723,H$1,Data!$B$2:$B$1723,$A66))</f>
        <v>27110.2</v>
      </c>
    </row>
    <row r="67" spans="1:8" x14ac:dyDescent="0.25">
      <c r="A67" s="21">
        <v>46045</v>
      </c>
      <c r="B67" s="1">
        <f>IF(COUNTIFS(Data!$A$2:$A$1723,B$1,Data!$B$2:$B$1723,$A67)=0,"",SUMIFS(Data!$F$2:$F$1723,Data!$A$2:$A$1723,B$1,Data!$B$2:$B$1723,$A67))</f>
        <v>25048.65</v>
      </c>
      <c r="C67" s="1">
        <f>IF(COUNTIFS(Data!$A$2:$A$1723,C$1,Data!$B$2:$B$1723,$A67)=0,"",SUMIFS(Data!$F$2:$F$1723,Data!$A$2:$A$1723,C$1,Data!$B$2:$B$1723,$A67))</f>
        <v>57145.65</v>
      </c>
      <c r="D67" s="1">
        <f>IF(COUNTIFS(Data!$A$2:$A$1723,D$1,Data!$B$2:$B$1723,$A67)=0,"",SUMIFS(Data!$F$2:$F$1723,Data!$A$2:$A$1723,D$1,Data!$B$2:$B$1723,$A67))</f>
        <v>16352.75</v>
      </c>
      <c r="E67" s="1">
        <f>IF(COUNTIFS(Data!$A$2:$A$1723,E$1,Data!$B$2:$B$1723,$A67)=0,"",SUMIFS(Data!$F$2:$F$1723,Data!$A$2:$A$1723,E$1,Data!$B$2:$B$1723,$A67))</f>
        <v>58473.1</v>
      </c>
      <c r="F67" s="1">
        <f>IF(COUNTIFS(Data!$A$2:$A$1723,F$1,Data!$B$2:$B$1723,$A67)=0,"",SUMIFS(Data!$F$2:$F$1723,Data!$A$2:$A$1723,F$1,Data!$B$2:$B$1723,$A67))</f>
        <v>38238.5</v>
      </c>
      <c r="G67" s="1">
        <f>IF(COUNTIFS(Data!$A$2:$A$1723,G$1,Data!$B$2:$B$1723,$A67)=0,"",SUMIFS(Data!$F$2:$F$1723,Data!$A$2:$A$1723,G$1,Data!$B$2:$B$1723,$A67))</f>
        <v>51662.05</v>
      </c>
      <c r="H67" s="1">
        <f>IF(COUNTIFS(Data!$A$2:$A$1723,H$1,Data!$B$2:$B$1723,$A67)=0,"",SUMIFS(Data!$F$2:$F$1723,Data!$A$2:$A$1723,H$1,Data!$B$2:$B$1723,$A67))</f>
        <v>26804.55</v>
      </c>
    </row>
    <row r="68" spans="1:8" x14ac:dyDescent="0.25">
      <c r="A68" s="21">
        <v>46049</v>
      </c>
      <c r="B68" s="1">
        <f>IF(COUNTIFS(Data!$A$2:$A$1723,B$1,Data!$B$2:$B$1723,$A68)=0,"",SUMIFS(Data!$F$2:$F$1723,Data!$A$2:$A$1723,B$1,Data!$B$2:$B$1723,$A68))</f>
        <v>25175.4</v>
      </c>
      <c r="C68" s="1">
        <f>IF(COUNTIFS(Data!$A$2:$A$1723,C$1,Data!$B$2:$B$1723,$A68)=0,"",SUMIFS(Data!$F$2:$F$1723,Data!$A$2:$A$1723,C$1,Data!$B$2:$B$1723,$A68))</f>
        <v>57483.65</v>
      </c>
      <c r="D68" s="1">
        <f>IF(COUNTIFS(Data!$A$2:$A$1723,D$1,Data!$B$2:$B$1723,$A68)=0,"",SUMIFS(Data!$F$2:$F$1723,Data!$A$2:$A$1723,D$1,Data!$B$2:$B$1723,$A68))</f>
        <v>16419.349999999999</v>
      </c>
      <c r="E68" s="1">
        <f>IF(COUNTIFS(Data!$A$2:$A$1723,E$1,Data!$B$2:$B$1723,$A68)=0,"",SUMIFS(Data!$F$2:$F$1723,Data!$A$2:$A$1723,E$1,Data!$B$2:$B$1723,$A68))</f>
        <v>59205.45</v>
      </c>
      <c r="F68" s="1">
        <f>IF(COUNTIFS(Data!$A$2:$A$1723,F$1,Data!$B$2:$B$1723,$A68)=0,"",SUMIFS(Data!$F$2:$F$1723,Data!$A$2:$A$1723,F$1,Data!$B$2:$B$1723,$A68))</f>
        <v>38566.1</v>
      </c>
      <c r="G68" s="1">
        <f>IF(COUNTIFS(Data!$A$2:$A$1723,G$1,Data!$B$2:$B$1723,$A68)=0,"",SUMIFS(Data!$F$2:$F$1723,Data!$A$2:$A$1723,G$1,Data!$B$2:$B$1723,$A68))</f>
        <v>51349.75</v>
      </c>
      <c r="H68" s="1">
        <f>IF(COUNTIFS(Data!$A$2:$A$1723,H$1,Data!$B$2:$B$1723,$A68)=0,"",SUMIFS(Data!$F$2:$F$1723,Data!$A$2:$A$1723,H$1,Data!$B$2:$B$1723,$A68))</f>
        <v>26554</v>
      </c>
    </row>
    <row r="69" spans="1:8" x14ac:dyDescent="0.25">
      <c r="A69" s="21">
        <v>46050</v>
      </c>
      <c r="B69" s="1">
        <f>IF(COUNTIFS(Data!$A$2:$A$1723,B$1,Data!$B$2:$B$1723,$A69)=0,"",SUMIFS(Data!$F$2:$F$1723,Data!$A$2:$A$1723,B$1,Data!$B$2:$B$1723,$A69))</f>
        <v>25342.75</v>
      </c>
      <c r="C69" s="1">
        <f>IF(COUNTIFS(Data!$A$2:$A$1723,C$1,Data!$B$2:$B$1723,$A69)=0,"",SUMIFS(Data!$F$2:$F$1723,Data!$A$2:$A$1723,C$1,Data!$B$2:$B$1723,$A69))</f>
        <v>58438.6</v>
      </c>
      <c r="D69" s="1">
        <f>IF(COUNTIFS(Data!$A$2:$A$1723,D$1,Data!$B$2:$B$1723,$A69)=0,"",SUMIFS(Data!$F$2:$F$1723,Data!$A$2:$A$1723,D$1,Data!$B$2:$B$1723,$A69))</f>
        <v>16790.95</v>
      </c>
      <c r="E69" s="1">
        <f>IF(COUNTIFS(Data!$A$2:$A$1723,E$1,Data!$B$2:$B$1723,$A69)=0,"",SUMIFS(Data!$F$2:$F$1723,Data!$A$2:$A$1723,E$1,Data!$B$2:$B$1723,$A69))</f>
        <v>59598.8</v>
      </c>
      <c r="F69" s="1">
        <f>IF(COUNTIFS(Data!$A$2:$A$1723,F$1,Data!$B$2:$B$1723,$A69)=0,"",SUMIFS(Data!$F$2:$F$1723,Data!$A$2:$A$1723,F$1,Data!$B$2:$B$1723,$A69))</f>
        <v>38725.35</v>
      </c>
      <c r="G69" s="1">
        <f>IF(COUNTIFS(Data!$A$2:$A$1723,G$1,Data!$B$2:$B$1723,$A69)=0,"",SUMIFS(Data!$F$2:$F$1723,Data!$A$2:$A$1723,G$1,Data!$B$2:$B$1723,$A69))</f>
        <v>50985.45</v>
      </c>
      <c r="H69" s="1">
        <f>IF(COUNTIFS(Data!$A$2:$A$1723,H$1,Data!$B$2:$B$1723,$A69)=0,"",SUMIFS(Data!$F$2:$F$1723,Data!$A$2:$A$1723,H$1,Data!$B$2:$B$1723,$A69))</f>
        <v>26737.599999999999</v>
      </c>
    </row>
    <row r="70" spans="1:8" x14ac:dyDescent="0.25">
      <c r="A70" s="21">
        <v>46051</v>
      </c>
      <c r="B70" s="1">
        <f>IF(COUNTIFS(Data!$A$2:$A$1723,B$1,Data!$B$2:$B$1723,$A70)=0,"",SUMIFS(Data!$F$2:$F$1723,Data!$A$2:$A$1723,B$1,Data!$B$2:$B$1723,$A70))</f>
        <v>25418.9</v>
      </c>
      <c r="C70" s="1">
        <f>IF(COUNTIFS(Data!$A$2:$A$1723,C$1,Data!$B$2:$B$1723,$A70)=0,"",SUMIFS(Data!$F$2:$F$1723,Data!$A$2:$A$1723,C$1,Data!$B$2:$B$1723,$A70))</f>
        <v>58541</v>
      </c>
      <c r="D70" s="1">
        <f>IF(COUNTIFS(Data!$A$2:$A$1723,D$1,Data!$B$2:$B$1723,$A70)=0,"",SUMIFS(Data!$F$2:$F$1723,Data!$A$2:$A$1723,D$1,Data!$B$2:$B$1723,$A70))</f>
        <v>16825</v>
      </c>
      <c r="E70" s="1">
        <f>IF(COUNTIFS(Data!$A$2:$A$1723,E$1,Data!$B$2:$B$1723,$A70)=0,"",SUMIFS(Data!$F$2:$F$1723,Data!$A$2:$A$1723,E$1,Data!$B$2:$B$1723,$A70))</f>
        <v>59957.85</v>
      </c>
      <c r="F70" s="1">
        <f>IF(COUNTIFS(Data!$A$2:$A$1723,F$1,Data!$B$2:$B$1723,$A70)=0,"",SUMIFS(Data!$F$2:$F$1723,Data!$A$2:$A$1723,F$1,Data!$B$2:$B$1723,$A70))</f>
        <v>38431.25</v>
      </c>
      <c r="G70" s="1">
        <f>IF(COUNTIFS(Data!$A$2:$A$1723,G$1,Data!$B$2:$B$1723,$A70)=0,"",SUMIFS(Data!$F$2:$F$1723,Data!$A$2:$A$1723,G$1,Data!$B$2:$B$1723,$A70))</f>
        <v>50523.9</v>
      </c>
      <c r="H70" s="1">
        <f>IF(COUNTIFS(Data!$A$2:$A$1723,H$1,Data!$B$2:$B$1723,$A70)=0,"",SUMIFS(Data!$F$2:$F$1723,Data!$A$2:$A$1723,H$1,Data!$B$2:$B$1723,$A70))</f>
        <v>26555.4</v>
      </c>
    </row>
    <row r="71" spans="1:8" x14ac:dyDescent="0.25">
      <c r="A71" s="21">
        <v>46052</v>
      </c>
      <c r="B71" s="1">
        <f>IF(COUNTIFS(Data!$A$2:$A$1723,B$1,Data!$B$2:$B$1723,$A71)=0,"",SUMIFS(Data!$F$2:$F$1723,Data!$A$2:$A$1723,B$1,Data!$B$2:$B$1723,$A71))</f>
        <v>25320.65</v>
      </c>
      <c r="C71" s="1">
        <f>IF(COUNTIFS(Data!$A$2:$A$1723,C$1,Data!$B$2:$B$1723,$A71)=0,"",SUMIFS(Data!$F$2:$F$1723,Data!$A$2:$A$1723,C$1,Data!$B$2:$B$1723,$A71))</f>
        <v>58432</v>
      </c>
      <c r="D71" s="1">
        <f>IF(COUNTIFS(Data!$A$2:$A$1723,D$1,Data!$B$2:$B$1723,$A71)=0,"",SUMIFS(Data!$F$2:$F$1723,Data!$A$2:$A$1723,D$1,Data!$B$2:$B$1723,$A71))</f>
        <v>16879.099999999999</v>
      </c>
      <c r="E71" s="1">
        <f>IF(COUNTIFS(Data!$A$2:$A$1723,E$1,Data!$B$2:$B$1723,$A71)=0,"",SUMIFS(Data!$F$2:$F$1723,Data!$A$2:$A$1723,E$1,Data!$B$2:$B$1723,$A71))</f>
        <v>59610.45</v>
      </c>
      <c r="F71" s="1">
        <f>IF(COUNTIFS(Data!$A$2:$A$1723,F$1,Data!$B$2:$B$1723,$A71)=0,"",SUMIFS(Data!$F$2:$F$1723,Data!$A$2:$A$1723,F$1,Data!$B$2:$B$1723,$A71))</f>
        <v>38036.15</v>
      </c>
      <c r="G71" s="1">
        <f>IF(COUNTIFS(Data!$A$2:$A$1723,G$1,Data!$B$2:$B$1723,$A71)=0,"",SUMIFS(Data!$F$2:$F$1723,Data!$A$2:$A$1723,G$1,Data!$B$2:$B$1723,$A71))</f>
        <v>51215.199999999997</v>
      </c>
      <c r="H71" s="1">
        <f>IF(COUNTIFS(Data!$A$2:$A$1723,H$1,Data!$B$2:$B$1723,$A71)=0,"",SUMIFS(Data!$F$2:$F$1723,Data!$A$2:$A$1723,H$1,Data!$B$2:$B$1723,$A71))</f>
        <v>26750.35</v>
      </c>
    </row>
    <row r="72" spans="1:8" x14ac:dyDescent="0.25">
      <c r="A72" s="21">
        <v>46054</v>
      </c>
      <c r="B72" s="1">
        <f>IF(COUNTIFS(Data!$A$2:$A$1723,B$1,Data!$B$2:$B$1723,$A72)=0,"",SUMIFS(Data!$F$2:$F$1723,Data!$A$2:$A$1723,B$1,Data!$B$2:$B$1723,$A72))</f>
        <v>24825.45</v>
      </c>
      <c r="C72" s="1">
        <f>IF(COUNTIFS(Data!$A$2:$A$1723,C$1,Data!$B$2:$B$1723,$A72)=0,"",SUMIFS(Data!$F$2:$F$1723,Data!$A$2:$A$1723,C$1,Data!$B$2:$B$1723,$A72))</f>
        <v>57120.800000000003</v>
      </c>
      <c r="D72" s="1">
        <f>IF(COUNTIFS(Data!$A$2:$A$1723,D$1,Data!$B$2:$B$1723,$A72)=0,"",SUMIFS(Data!$F$2:$F$1723,Data!$A$2:$A$1723,D$1,Data!$B$2:$B$1723,$A72))</f>
        <v>16418.150000000001</v>
      </c>
      <c r="E72" s="1">
        <f>IF(COUNTIFS(Data!$A$2:$A$1723,E$1,Data!$B$2:$B$1723,$A72)=0,"",SUMIFS(Data!$F$2:$F$1723,Data!$A$2:$A$1723,E$1,Data!$B$2:$B$1723,$A72))</f>
        <v>58417.2</v>
      </c>
      <c r="F72" s="1">
        <f>IF(COUNTIFS(Data!$A$2:$A$1723,F$1,Data!$B$2:$B$1723,$A72)=0,"",SUMIFS(Data!$F$2:$F$1723,Data!$A$2:$A$1723,F$1,Data!$B$2:$B$1723,$A72))</f>
        <v>38252.949999999997</v>
      </c>
      <c r="G72" s="1">
        <f>IF(COUNTIFS(Data!$A$2:$A$1723,G$1,Data!$B$2:$B$1723,$A72)=0,"",SUMIFS(Data!$F$2:$F$1723,Data!$A$2:$A$1723,G$1,Data!$B$2:$B$1723,$A72))</f>
        <v>50042.8</v>
      </c>
      <c r="H72" s="1">
        <f>IF(COUNTIFS(Data!$A$2:$A$1723,H$1,Data!$B$2:$B$1723,$A72)=0,"",SUMIFS(Data!$F$2:$F$1723,Data!$A$2:$A$1723,H$1,Data!$B$2:$B$1723,$A72))</f>
        <v>26190.65</v>
      </c>
    </row>
    <row r="73" spans="1:8" x14ac:dyDescent="0.25">
      <c r="A73" s="21">
        <v>46055</v>
      </c>
      <c r="B73" s="1">
        <f>IF(COUNTIFS(Data!$A$2:$A$1723,B$1,Data!$B$2:$B$1723,$A73)=0,"",SUMIFS(Data!$F$2:$F$1723,Data!$A$2:$A$1723,B$1,Data!$B$2:$B$1723,$A73))</f>
        <v>25088.400000000001</v>
      </c>
      <c r="C73" s="1">
        <f>IF(COUNTIFS(Data!$A$2:$A$1723,C$1,Data!$B$2:$B$1723,$A73)=0,"",SUMIFS(Data!$F$2:$F$1723,Data!$A$2:$A$1723,C$1,Data!$B$2:$B$1723,$A73))</f>
        <v>57667.6</v>
      </c>
      <c r="D73" s="1">
        <f>IF(COUNTIFS(Data!$A$2:$A$1723,D$1,Data!$B$2:$B$1723,$A73)=0,"",SUMIFS(Data!$F$2:$F$1723,Data!$A$2:$A$1723,D$1,Data!$B$2:$B$1723,$A73))</f>
        <v>16523.349999999999</v>
      </c>
      <c r="E73" s="1">
        <f>IF(COUNTIFS(Data!$A$2:$A$1723,E$1,Data!$B$2:$B$1723,$A73)=0,"",SUMIFS(Data!$F$2:$F$1723,Data!$A$2:$A$1723,E$1,Data!$B$2:$B$1723,$A73))</f>
        <v>58619</v>
      </c>
      <c r="F73" s="1">
        <f>IF(COUNTIFS(Data!$A$2:$A$1723,F$1,Data!$B$2:$B$1723,$A73)=0,"",SUMIFS(Data!$F$2:$F$1723,Data!$A$2:$A$1723,F$1,Data!$B$2:$B$1723,$A73))</f>
        <v>38074.15</v>
      </c>
      <c r="G73" s="1">
        <f>IF(COUNTIFS(Data!$A$2:$A$1723,G$1,Data!$B$2:$B$1723,$A73)=0,"",SUMIFS(Data!$F$2:$F$1723,Data!$A$2:$A$1723,G$1,Data!$B$2:$B$1723,$A73))</f>
        <v>50623.199999999997</v>
      </c>
      <c r="H73" s="1">
        <f>IF(COUNTIFS(Data!$A$2:$A$1723,H$1,Data!$B$2:$B$1723,$A73)=0,"",SUMIFS(Data!$F$2:$F$1723,Data!$A$2:$A$1723,H$1,Data!$B$2:$B$1723,$A73))</f>
        <v>26749.15</v>
      </c>
    </row>
    <row r="74" spans="1:8" x14ac:dyDescent="0.25">
      <c r="A74" s="21">
        <v>46056</v>
      </c>
      <c r="B74" s="1">
        <f>IF(COUNTIFS(Data!$A$2:$A$1723,B$1,Data!$B$2:$B$1723,$A74)=0,"",SUMIFS(Data!$F$2:$F$1723,Data!$A$2:$A$1723,B$1,Data!$B$2:$B$1723,$A74))</f>
        <v>25727.55</v>
      </c>
      <c r="C74" s="1">
        <f>IF(COUNTIFS(Data!$A$2:$A$1723,C$1,Data!$B$2:$B$1723,$A74)=0,"",SUMIFS(Data!$F$2:$F$1723,Data!$A$2:$A$1723,C$1,Data!$B$2:$B$1723,$A74))</f>
        <v>59307.1</v>
      </c>
      <c r="D74" s="1">
        <f>IF(COUNTIFS(Data!$A$2:$A$1723,D$1,Data!$B$2:$B$1723,$A74)=0,"",SUMIFS(Data!$F$2:$F$1723,Data!$A$2:$A$1723,D$1,Data!$B$2:$B$1723,$A74))</f>
        <v>16988.95</v>
      </c>
      <c r="E74" s="1">
        <f>IF(COUNTIFS(Data!$A$2:$A$1723,E$1,Data!$B$2:$B$1723,$A74)=0,"",SUMIFS(Data!$F$2:$F$1723,Data!$A$2:$A$1723,E$1,Data!$B$2:$B$1723,$A74))</f>
        <v>60041.3</v>
      </c>
      <c r="F74" s="1">
        <f>IF(COUNTIFS(Data!$A$2:$A$1723,F$1,Data!$B$2:$B$1723,$A74)=0,"",SUMIFS(Data!$F$2:$F$1723,Data!$A$2:$A$1723,F$1,Data!$B$2:$B$1723,$A74))</f>
        <v>38611.75</v>
      </c>
      <c r="G74" s="1">
        <f>IF(COUNTIFS(Data!$A$2:$A$1723,G$1,Data!$B$2:$B$1723,$A74)=0,"",SUMIFS(Data!$F$2:$F$1723,Data!$A$2:$A$1723,G$1,Data!$B$2:$B$1723,$A74))</f>
        <v>50806.65</v>
      </c>
      <c r="H74" s="1">
        <f>IF(COUNTIFS(Data!$A$2:$A$1723,H$1,Data!$B$2:$B$1723,$A74)=0,"",SUMIFS(Data!$F$2:$F$1723,Data!$A$2:$A$1723,H$1,Data!$B$2:$B$1723,$A74))</f>
        <v>27500.3</v>
      </c>
    </row>
    <row r="75" spans="1:8" x14ac:dyDescent="0.25">
      <c r="A75" s="21">
        <v>46057</v>
      </c>
      <c r="B75" s="1">
        <f>IF(COUNTIFS(Data!$A$2:$A$1723,B$1,Data!$B$2:$B$1723,$A75)=0,"",SUMIFS(Data!$F$2:$F$1723,Data!$A$2:$A$1723,B$1,Data!$B$2:$B$1723,$A75))</f>
        <v>25776</v>
      </c>
      <c r="C75" s="1">
        <f>IF(COUNTIFS(Data!$A$2:$A$1723,C$1,Data!$B$2:$B$1723,$A75)=0,"",SUMIFS(Data!$F$2:$F$1723,Data!$A$2:$A$1723,C$1,Data!$B$2:$B$1723,$A75))</f>
        <v>59683.6</v>
      </c>
      <c r="D75" s="1">
        <f>IF(COUNTIFS(Data!$A$2:$A$1723,D$1,Data!$B$2:$B$1723,$A75)=0,"",SUMIFS(Data!$F$2:$F$1723,Data!$A$2:$A$1723,D$1,Data!$B$2:$B$1723,$A75))</f>
        <v>17205.099999999999</v>
      </c>
      <c r="E75" s="1">
        <f>IF(COUNTIFS(Data!$A$2:$A$1723,E$1,Data!$B$2:$B$1723,$A75)=0,"",SUMIFS(Data!$F$2:$F$1723,Data!$A$2:$A$1723,E$1,Data!$B$2:$B$1723,$A75))</f>
        <v>60238.15</v>
      </c>
      <c r="F75" s="1">
        <f>IF(COUNTIFS(Data!$A$2:$A$1723,F$1,Data!$B$2:$B$1723,$A75)=0,"",SUMIFS(Data!$F$2:$F$1723,Data!$A$2:$A$1723,F$1,Data!$B$2:$B$1723,$A75))</f>
        <v>36345.65</v>
      </c>
      <c r="G75" s="1">
        <f>IF(COUNTIFS(Data!$A$2:$A$1723,G$1,Data!$B$2:$B$1723,$A75)=0,"",SUMIFS(Data!$F$2:$F$1723,Data!$A$2:$A$1723,G$1,Data!$B$2:$B$1723,$A75))</f>
        <v>50922.75</v>
      </c>
      <c r="H75" s="1">
        <f>IF(COUNTIFS(Data!$A$2:$A$1723,H$1,Data!$B$2:$B$1723,$A75)=0,"",SUMIFS(Data!$F$2:$F$1723,Data!$A$2:$A$1723,H$1,Data!$B$2:$B$1723,$A75))</f>
        <v>27825.4</v>
      </c>
    </row>
    <row r="76" spans="1:8" x14ac:dyDescent="0.25">
      <c r="A76" s="21">
        <v>46058</v>
      </c>
      <c r="B76" s="1">
        <f>IF(COUNTIFS(Data!$A$2:$A$1723,B$1,Data!$B$2:$B$1723,$A76)=0,"",SUMIFS(Data!$F$2:$F$1723,Data!$A$2:$A$1723,B$1,Data!$B$2:$B$1723,$A76))</f>
        <v>25642.799999999999</v>
      </c>
      <c r="C76" s="1">
        <f>IF(COUNTIFS(Data!$A$2:$A$1723,C$1,Data!$B$2:$B$1723,$A76)=0,"",SUMIFS(Data!$F$2:$F$1723,Data!$A$2:$A$1723,C$1,Data!$B$2:$B$1723,$A76))</f>
        <v>59517.1</v>
      </c>
      <c r="D76" s="1">
        <f>IF(COUNTIFS(Data!$A$2:$A$1723,D$1,Data!$B$2:$B$1723,$A76)=0,"",SUMIFS(Data!$F$2:$F$1723,Data!$A$2:$A$1723,D$1,Data!$B$2:$B$1723,$A76))</f>
        <v>16983.900000000001</v>
      </c>
      <c r="E76" s="1">
        <f>IF(COUNTIFS(Data!$A$2:$A$1723,E$1,Data!$B$2:$B$1723,$A76)=0,"",SUMIFS(Data!$F$2:$F$1723,Data!$A$2:$A$1723,E$1,Data!$B$2:$B$1723,$A76))</f>
        <v>60063.65</v>
      </c>
      <c r="F76" s="1">
        <f>IF(COUNTIFS(Data!$A$2:$A$1723,F$1,Data!$B$2:$B$1723,$A76)=0,"",SUMIFS(Data!$F$2:$F$1723,Data!$A$2:$A$1723,F$1,Data!$B$2:$B$1723,$A76))</f>
        <v>36143.300000000003</v>
      </c>
      <c r="G76" s="1">
        <f>IF(COUNTIFS(Data!$A$2:$A$1723,G$1,Data!$B$2:$B$1723,$A76)=0,"",SUMIFS(Data!$F$2:$F$1723,Data!$A$2:$A$1723,G$1,Data!$B$2:$B$1723,$A76))</f>
        <v>50731.65</v>
      </c>
      <c r="H76" s="1">
        <f>IF(COUNTIFS(Data!$A$2:$A$1723,H$1,Data!$B$2:$B$1723,$A76)=0,"",SUMIFS(Data!$F$2:$F$1723,Data!$A$2:$A$1723,H$1,Data!$B$2:$B$1723,$A76))</f>
        <v>27664.5</v>
      </c>
    </row>
    <row r="77" spans="1:8" x14ac:dyDescent="0.25">
      <c r="A77" s="21">
        <v>46059</v>
      </c>
      <c r="B77" s="1">
        <f>IF(COUNTIFS(Data!$A$2:$A$1723,B$1,Data!$B$2:$B$1723,$A77)=0,"",SUMIFS(Data!$F$2:$F$1723,Data!$A$2:$A$1723,B$1,Data!$B$2:$B$1723,$A77))</f>
        <v>25693.7</v>
      </c>
      <c r="C77" s="1">
        <f>IF(COUNTIFS(Data!$A$2:$A$1723,C$1,Data!$B$2:$B$1723,$A77)=0,"",SUMIFS(Data!$F$2:$F$1723,Data!$A$2:$A$1723,C$1,Data!$B$2:$B$1723,$A77))</f>
        <v>59502.7</v>
      </c>
      <c r="D77" s="1">
        <f>IF(COUNTIFS(Data!$A$2:$A$1723,D$1,Data!$B$2:$B$1723,$A77)=0,"",SUMIFS(Data!$F$2:$F$1723,Data!$A$2:$A$1723,D$1,Data!$B$2:$B$1723,$A77))</f>
        <v>16938.650000000001</v>
      </c>
      <c r="E77" s="1">
        <f>IF(COUNTIFS(Data!$A$2:$A$1723,E$1,Data!$B$2:$B$1723,$A77)=0,"",SUMIFS(Data!$F$2:$F$1723,Data!$A$2:$A$1723,E$1,Data!$B$2:$B$1723,$A77))</f>
        <v>60120.55</v>
      </c>
      <c r="F77" s="1">
        <f>IF(COUNTIFS(Data!$A$2:$A$1723,F$1,Data!$B$2:$B$1723,$A77)=0,"",SUMIFS(Data!$F$2:$F$1723,Data!$A$2:$A$1723,F$1,Data!$B$2:$B$1723,$A77))</f>
        <v>35611.050000000003</v>
      </c>
      <c r="G77" s="1">
        <f>IF(COUNTIFS(Data!$A$2:$A$1723,G$1,Data!$B$2:$B$1723,$A77)=0,"",SUMIFS(Data!$F$2:$F$1723,Data!$A$2:$A$1723,G$1,Data!$B$2:$B$1723,$A77))</f>
        <v>51882.75</v>
      </c>
      <c r="H77" s="1">
        <f>IF(COUNTIFS(Data!$A$2:$A$1723,H$1,Data!$B$2:$B$1723,$A77)=0,"",SUMIFS(Data!$F$2:$F$1723,Data!$A$2:$A$1723,H$1,Data!$B$2:$B$1723,$A77))</f>
        <v>27519.55</v>
      </c>
    </row>
    <row r="78" spans="1:8" x14ac:dyDescent="0.25">
      <c r="A78" s="21">
        <v>46062</v>
      </c>
      <c r="B78" s="1">
        <f>IF(COUNTIFS(Data!$A$2:$A$1723,B$1,Data!$B$2:$B$1723,$A78)=0,"",SUMIFS(Data!$F$2:$F$1723,Data!$A$2:$A$1723,B$1,Data!$B$2:$B$1723,$A78))</f>
        <v>25867.3</v>
      </c>
      <c r="C78" s="1">
        <f>IF(COUNTIFS(Data!$A$2:$A$1723,C$1,Data!$B$2:$B$1723,$A78)=0,"",SUMIFS(Data!$F$2:$F$1723,Data!$A$2:$A$1723,C$1,Data!$B$2:$B$1723,$A78))</f>
        <v>60441.15</v>
      </c>
      <c r="D78" s="1">
        <f>IF(COUNTIFS(Data!$A$2:$A$1723,D$1,Data!$B$2:$B$1723,$A78)=0,"",SUMIFS(Data!$F$2:$F$1723,Data!$A$2:$A$1723,D$1,Data!$B$2:$B$1723,$A78))</f>
        <v>17385.900000000001</v>
      </c>
      <c r="E78" s="1">
        <f>IF(COUNTIFS(Data!$A$2:$A$1723,E$1,Data!$B$2:$B$1723,$A78)=0,"",SUMIFS(Data!$F$2:$F$1723,Data!$A$2:$A$1723,E$1,Data!$B$2:$B$1723,$A78))</f>
        <v>60669.35</v>
      </c>
      <c r="F78" s="1">
        <f>IF(COUNTIFS(Data!$A$2:$A$1723,F$1,Data!$B$2:$B$1723,$A78)=0,"",SUMIFS(Data!$F$2:$F$1723,Data!$A$2:$A$1723,F$1,Data!$B$2:$B$1723,$A78))</f>
        <v>35616.65</v>
      </c>
      <c r="G78" s="1">
        <f>IF(COUNTIFS(Data!$A$2:$A$1723,G$1,Data!$B$2:$B$1723,$A78)=0,"",SUMIFS(Data!$F$2:$F$1723,Data!$A$2:$A$1723,G$1,Data!$B$2:$B$1723,$A78))</f>
        <v>52047.3</v>
      </c>
      <c r="H78" s="1">
        <f>IF(COUNTIFS(Data!$A$2:$A$1723,H$1,Data!$B$2:$B$1723,$A78)=0,"",SUMIFS(Data!$F$2:$F$1723,Data!$A$2:$A$1723,H$1,Data!$B$2:$B$1723,$A78))</f>
        <v>27791.45</v>
      </c>
    </row>
    <row r="79" spans="1:8" x14ac:dyDescent="0.25">
      <c r="A79" s="21">
        <v>46063</v>
      </c>
      <c r="B79" s="1">
        <f>IF(COUNTIFS(Data!$A$2:$A$1723,B$1,Data!$B$2:$B$1723,$A79)=0,"",SUMIFS(Data!$F$2:$F$1723,Data!$A$2:$A$1723,B$1,Data!$B$2:$B$1723,$A79))</f>
        <v>25935.15</v>
      </c>
      <c r="C79" s="1">
        <f>IF(COUNTIFS(Data!$A$2:$A$1723,C$1,Data!$B$2:$B$1723,$A79)=0,"",SUMIFS(Data!$F$2:$F$1723,Data!$A$2:$A$1723,C$1,Data!$B$2:$B$1723,$A79))</f>
        <v>60735.9</v>
      </c>
      <c r="D79" s="1">
        <f>IF(COUNTIFS(Data!$A$2:$A$1723,D$1,Data!$B$2:$B$1723,$A79)=0,"",SUMIFS(Data!$F$2:$F$1723,Data!$A$2:$A$1723,D$1,Data!$B$2:$B$1723,$A79))</f>
        <v>17451.2</v>
      </c>
      <c r="E79" s="1">
        <f>IF(COUNTIFS(Data!$A$2:$A$1723,E$1,Data!$B$2:$B$1723,$A79)=0,"",SUMIFS(Data!$F$2:$F$1723,Data!$A$2:$A$1723,E$1,Data!$B$2:$B$1723,$A79))</f>
        <v>60626.400000000001</v>
      </c>
      <c r="F79" s="1">
        <f>IF(COUNTIFS(Data!$A$2:$A$1723,F$1,Data!$B$2:$B$1723,$A79)=0,"",SUMIFS(Data!$F$2:$F$1723,Data!$A$2:$A$1723,F$1,Data!$B$2:$B$1723,$A79))</f>
        <v>35722.199999999997</v>
      </c>
      <c r="G79" s="1">
        <f>IF(COUNTIFS(Data!$A$2:$A$1723,G$1,Data!$B$2:$B$1723,$A79)=0,"",SUMIFS(Data!$F$2:$F$1723,Data!$A$2:$A$1723,G$1,Data!$B$2:$B$1723,$A79))</f>
        <v>52130.45</v>
      </c>
      <c r="H79" s="1">
        <f>IF(COUNTIFS(Data!$A$2:$A$1723,H$1,Data!$B$2:$B$1723,$A79)=0,"",SUMIFS(Data!$F$2:$F$1723,Data!$A$2:$A$1723,H$1,Data!$B$2:$B$1723,$A79))</f>
        <v>28173.200000000001</v>
      </c>
    </row>
    <row r="80" spans="1:8" x14ac:dyDescent="0.25">
      <c r="A80" s="21">
        <v>46064</v>
      </c>
      <c r="B80" s="1">
        <f>IF(COUNTIFS(Data!$A$2:$A$1723,B$1,Data!$B$2:$B$1723,$A80)=0,"",SUMIFS(Data!$F$2:$F$1723,Data!$A$2:$A$1723,B$1,Data!$B$2:$B$1723,$A80))</f>
        <v>25953.85</v>
      </c>
      <c r="C80" s="1">
        <f>IF(COUNTIFS(Data!$A$2:$A$1723,C$1,Data!$B$2:$B$1723,$A80)=0,"",SUMIFS(Data!$F$2:$F$1723,Data!$A$2:$A$1723,C$1,Data!$B$2:$B$1723,$A80))</f>
        <v>60754.55</v>
      </c>
      <c r="D80" s="1">
        <f>IF(COUNTIFS(Data!$A$2:$A$1723,D$1,Data!$B$2:$B$1723,$A80)=0,"",SUMIFS(Data!$F$2:$F$1723,Data!$A$2:$A$1723,D$1,Data!$B$2:$B$1723,$A80))</f>
        <v>17455</v>
      </c>
      <c r="E80" s="1">
        <f>IF(COUNTIFS(Data!$A$2:$A$1723,E$1,Data!$B$2:$B$1723,$A80)=0,"",SUMIFS(Data!$F$2:$F$1723,Data!$A$2:$A$1723,E$1,Data!$B$2:$B$1723,$A80))</f>
        <v>60745.35</v>
      </c>
      <c r="F80" s="1">
        <f>IF(COUNTIFS(Data!$A$2:$A$1723,F$1,Data!$B$2:$B$1723,$A80)=0,"",SUMIFS(Data!$F$2:$F$1723,Data!$A$2:$A$1723,F$1,Data!$B$2:$B$1723,$A80))</f>
        <v>35095.15</v>
      </c>
      <c r="G80" s="1">
        <f>IF(COUNTIFS(Data!$A$2:$A$1723,G$1,Data!$B$2:$B$1723,$A80)=0,"",SUMIFS(Data!$F$2:$F$1723,Data!$A$2:$A$1723,G$1,Data!$B$2:$B$1723,$A80))</f>
        <v>52152.1</v>
      </c>
      <c r="H80" s="1">
        <f>IF(COUNTIFS(Data!$A$2:$A$1723,H$1,Data!$B$2:$B$1723,$A80)=0,"",SUMIFS(Data!$F$2:$F$1723,Data!$A$2:$A$1723,H$1,Data!$B$2:$B$1723,$A80))</f>
        <v>28538.7</v>
      </c>
    </row>
    <row r="81" spans="1:8" x14ac:dyDescent="0.25">
      <c r="A81" s="21">
        <v>46065</v>
      </c>
      <c r="B81" s="1">
        <f>IF(COUNTIFS(Data!$A$2:$A$1723,B$1,Data!$B$2:$B$1723,$A81)=0,"",SUMIFS(Data!$F$2:$F$1723,Data!$A$2:$A$1723,B$1,Data!$B$2:$B$1723,$A81))</f>
        <v>25807.200000000001</v>
      </c>
      <c r="C81" s="1">
        <f>IF(COUNTIFS(Data!$A$2:$A$1723,C$1,Data!$B$2:$B$1723,$A81)=0,"",SUMIFS(Data!$F$2:$F$1723,Data!$A$2:$A$1723,C$1,Data!$B$2:$B$1723,$A81))</f>
        <v>60470.85</v>
      </c>
      <c r="D81" s="1">
        <f>IF(COUNTIFS(Data!$A$2:$A$1723,D$1,Data!$B$2:$B$1723,$A81)=0,"",SUMIFS(Data!$F$2:$F$1723,Data!$A$2:$A$1723,D$1,Data!$B$2:$B$1723,$A81))</f>
        <v>17344.099999999999</v>
      </c>
      <c r="E81" s="1">
        <f>IF(COUNTIFS(Data!$A$2:$A$1723,E$1,Data!$B$2:$B$1723,$A81)=0,"",SUMIFS(Data!$F$2:$F$1723,Data!$A$2:$A$1723,E$1,Data!$B$2:$B$1723,$A81))</f>
        <v>60739.75</v>
      </c>
      <c r="F81" s="1">
        <f>IF(COUNTIFS(Data!$A$2:$A$1723,F$1,Data!$B$2:$B$1723,$A81)=0,"",SUMIFS(Data!$F$2:$F$1723,Data!$A$2:$A$1723,F$1,Data!$B$2:$B$1723,$A81))</f>
        <v>33160.199999999997</v>
      </c>
      <c r="G81" s="1">
        <f>IF(COUNTIFS(Data!$A$2:$A$1723,G$1,Data!$B$2:$B$1723,$A81)=0,"",SUMIFS(Data!$F$2:$F$1723,Data!$A$2:$A$1723,G$1,Data!$B$2:$B$1723,$A81))</f>
        <v>51885.75</v>
      </c>
      <c r="H81" s="1">
        <f>IF(COUNTIFS(Data!$A$2:$A$1723,H$1,Data!$B$2:$B$1723,$A81)=0,"",SUMIFS(Data!$F$2:$F$1723,Data!$A$2:$A$1723,H$1,Data!$B$2:$B$1723,$A81))</f>
        <v>28504.05</v>
      </c>
    </row>
    <row r="82" spans="1:8" x14ac:dyDescent="0.25">
      <c r="A82" s="21">
        <v>46066</v>
      </c>
      <c r="B82" s="1">
        <f>IF(COUNTIFS(Data!$A$2:$A$1723,B$1,Data!$B$2:$B$1723,$A82)=0,"",SUMIFS(Data!$F$2:$F$1723,Data!$A$2:$A$1723,B$1,Data!$B$2:$B$1723,$A82))</f>
        <v>25471.1</v>
      </c>
      <c r="C82" s="1">
        <f>IF(COUNTIFS(Data!$A$2:$A$1723,C$1,Data!$B$2:$B$1723,$A82)=0,"",SUMIFS(Data!$F$2:$F$1723,Data!$A$2:$A$1723,C$1,Data!$B$2:$B$1723,$A82))</f>
        <v>59438</v>
      </c>
      <c r="D82" s="1">
        <f>IF(COUNTIFS(Data!$A$2:$A$1723,D$1,Data!$B$2:$B$1723,$A82)=0,"",SUMIFS(Data!$F$2:$F$1723,Data!$A$2:$A$1723,D$1,Data!$B$2:$B$1723,$A82))</f>
        <v>17032.900000000001</v>
      </c>
      <c r="E82" s="1">
        <f>IF(COUNTIFS(Data!$A$2:$A$1723,E$1,Data!$B$2:$B$1723,$A82)=0,"",SUMIFS(Data!$F$2:$F$1723,Data!$A$2:$A$1723,E$1,Data!$B$2:$B$1723,$A82))</f>
        <v>60186.65</v>
      </c>
      <c r="F82" s="1">
        <f>IF(COUNTIFS(Data!$A$2:$A$1723,F$1,Data!$B$2:$B$1723,$A82)=0,"",SUMIFS(Data!$F$2:$F$1723,Data!$A$2:$A$1723,F$1,Data!$B$2:$B$1723,$A82))</f>
        <v>32681.5</v>
      </c>
      <c r="G82" s="1">
        <f>IF(COUNTIFS(Data!$A$2:$A$1723,G$1,Data!$B$2:$B$1723,$A82)=0,"",SUMIFS(Data!$F$2:$F$1723,Data!$A$2:$A$1723,G$1,Data!$B$2:$B$1723,$A82))</f>
        <v>50902.15</v>
      </c>
      <c r="H82" s="1">
        <f>IF(COUNTIFS(Data!$A$2:$A$1723,H$1,Data!$B$2:$B$1723,$A82)=0,"",SUMIFS(Data!$F$2:$F$1723,Data!$A$2:$A$1723,H$1,Data!$B$2:$B$1723,$A82))</f>
        <v>28234.3</v>
      </c>
    </row>
    <row r="83" spans="1:8" x14ac:dyDescent="0.25">
      <c r="A83" s="21">
        <v>46069</v>
      </c>
      <c r="B83" s="1">
        <f>IF(COUNTIFS(Data!$A$2:$A$1723,B$1,Data!$B$2:$B$1723,$A83)=0,"",SUMIFS(Data!$F$2:$F$1723,Data!$A$2:$A$1723,B$1,Data!$B$2:$B$1723,$A83))</f>
        <v>25682.75</v>
      </c>
      <c r="C83" s="1">
        <f>IF(COUNTIFS(Data!$A$2:$A$1723,C$1,Data!$B$2:$B$1723,$A83)=0,"",SUMIFS(Data!$F$2:$F$1723,Data!$A$2:$A$1723,C$1,Data!$B$2:$B$1723,$A83))</f>
        <v>59723</v>
      </c>
      <c r="D83" s="1">
        <f>IF(COUNTIFS(Data!$A$2:$A$1723,D$1,Data!$B$2:$B$1723,$A83)=0,"",SUMIFS(Data!$F$2:$F$1723,Data!$A$2:$A$1723,D$1,Data!$B$2:$B$1723,$A83))</f>
        <v>17050.900000000001</v>
      </c>
      <c r="E83" s="1">
        <f>IF(COUNTIFS(Data!$A$2:$A$1723,E$1,Data!$B$2:$B$1723,$A83)=0,"",SUMIFS(Data!$F$2:$F$1723,Data!$A$2:$A$1723,E$1,Data!$B$2:$B$1723,$A83))</f>
        <v>60949.1</v>
      </c>
      <c r="F83" s="1">
        <f>IF(COUNTIFS(Data!$A$2:$A$1723,F$1,Data!$B$2:$B$1723,$A83)=0,"",SUMIFS(Data!$F$2:$F$1723,Data!$A$2:$A$1723,F$1,Data!$B$2:$B$1723,$A83))</f>
        <v>32738.05</v>
      </c>
      <c r="G83" s="1">
        <f>IF(COUNTIFS(Data!$A$2:$A$1723,G$1,Data!$B$2:$B$1723,$A83)=0,"",SUMIFS(Data!$F$2:$F$1723,Data!$A$2:$A$1723,G$1,Data!$B$2:$B$1723,$A83))</f>
        <v>51318.85</v>
      </c>
      <c r="H83" s="1">
        <f>IF(COUNTIFS(Data!$A$2:$A$1723,H$1,Data!$B$2:$B$1723,$A83)=0,"",SUMIFS(Data!$F$2:$F$1723,Data!$A$2:$A$1723,H$1,Data!$B$2:$B$1723,$A83))</f>
        <v>28028.2</v>
      </c>
    </row>
    <row r="84" spans="1:8" x14ac:dyDescent="0.25">
      <c r="A84" s="21">
        <v>46070</v>
      </c>
      <c r="B84" s="1">
        <f>IF(COUNTIFS(Data!$A$2:$A$1723,B$1,Data!$B$2:$B$1723,$A84)=0,"",SUMIFS(Data!$F$2:$F$1723,Data!$A$2:$A$1723,B$1,Data!$B$2:$B$1723,$A84))</f>
        <v>25725.4</v>
      </c>
      <c r="C84" s="1">
        <f>IF(COUNTIFS(Data!$A$2:$A$1723,C$1,Data!$B$2:$B$1723,$A84)=0,"",SUMIFS(Data!$F$2:$F$1723,Data!$A$2:$A$1723,C$1,Data!$B$2:$B$1723,$A84))</f>
        <v>59881.7</v>
      </c>
      <c r="D84" s="1">
        <f>IF(COUNTIFS(Data!$A$2:$A$1723,D$1,Data!$B$2:$B$1723,$A84)=0,"",SUMIFS(Data!$F$2:$F$1723,Data!$A$2:$A$1723,D$1,Data!$B$2:$B$1723,$A84))</f>
        <v>17146.7</v>
      </c>
      <c r="E84" s="1">
        <f>IF(COUNTIFS(Data!$A$2:$A$1723,E$1,Data!$B$2:$B$1723,$A84)=0,"",SUMIFS(Data!$F$2:$F$1723,Data!$A$2:$A$1723,E$1,Data!$B$2:$B$1723,$A84))</f>
        <v>61174</v>
      </c>
      <c r="F84" s="1">
        <f>IF(COUNTIFS(Data!$A$2:$A$1723,F$1,Data!$B$2:$B$1723,$A84)=0,"",SUMIFS(Data!$F$2:$F$1723,Data!$A$2:$A$1723,F$1,Data!$B$2:$B$1723,$A84))</f>
        <v>33075.050000000003</v>
      </c>
      <c r="G84" s="1">
        <f>IF(COUNTIFS(Data!$A$2:$A$1723,G$1,Data!$B$2:$B$1723,$A84)=0,"",SUMIFS(Data!$F$2:$F$1723,Data!$A$2:$A$1723,G$1,Data!$B$2:$B$1723,$A84))</f>
        <v>51778.3</v>
      </c>
      <c r="H84" s="1">
        <f>IF(COUNTIFS(Data!$A$2:$A$1723,H$1,Data!$B$2:$B$1723,$A84)=0,"",SUMIFS(Data!$F$2:$F$1723,Data!$A$2:$A$1723,H$1,Data!$B$2:$B$1723,$A84))</f>
        <v>28174.55</v>
      </c>
    </row>
    <row r="85" spans="1:8" x14ac:dyDescent="0.25">
      <c r="A85" s="21">
        <v>46071</v>
      </c>
      <c r="B85" s="1">
        <f>IF(COUNTIFS(Data!$A$2:$A$1723,B$1,Data!$B$2:$B$1723,$A85)=0,"",SUMIFS(Data!$F$2:$F$1723,Data!$A$2:$A$1723,B$1,Data!$B$2:$B$1723,$A85))</f>
        <v>25819.35</v>
      </c>
      <c r="C85" s="1">
        <f>IF(COUNTIFS(Data!$A$2:$A$1723,C$1,Data!$B$2:$B$1723,$A85)=0,"",SUMIFS(Data!$F$2:$F$1723,Data!$A$2:$A$1723,C$1,Data!$B$2:$B$1723,$A85))</f>
        <v>60183.199999999997</v>
      </c>
      <c r="D85" s="1">
        <f>IF(COUNTIFS(Data!$A$2:$A$1723,D$1,Data!$B$2:$B$1723,$A85)=0,"",SUMIFS(Data!$F$2:$F$1723,Data!$A$2:$A$1723,D$1,Data!$B$2:$B$1723,$A85))</f>
        <v>17239.25</v>
      </c>
      <c r="E85" s="1">
        <f>IF(COUNTIFS(Data!$A$2:$A$1723,E$1,Data!$B$2:$B$1723,$A85)=0,"",SUMIFS(Data!$F$2:$F$1723,Data!$A$2:$A$1723,E$1,Data!$B$2:$B$1723,$A85))</f>
        <v>61550.8</v>
      </c>
      <c r="F85" s="1">
        <f>IF(COUNTIFS(Data!$A$2:$A$1723,F$1,Data!$B$2:$B$1723,$A85)=0,"",SUMIFS(Data!$F$2:$F$1723,Data!$A$2:$A$1723,F$1,Data!$B$2:$B$1723,$A85))</f>
        <v>32668.3</v>
      </c>
      <c r="G85" s="1">
        <f>IF(COUNTIFS(Data!$A$2:$A$1723,G$1,Data!$B$2:$B$1723,$A85)=0,"",SUMIFS(Data!$F$2:$F$1723,Data!$A$2:$A$1723,G$1,Data!$B$2:$B$1723,$A85))</f>
        <v>52406.5</v>
      </c>
      <c r="H85" s="1">
        <f>IF(COUNTIFS(Data!$A$2:$A$1723,H$1,Data!$B$2:$B$1723,$A85)=0,"",SUMIFS(Data!$F$2:$F$1723,Data!$A$2:$A$1723,H$1,Data!$B$2:$B$1723,$A85))</f>
        <v>28327.599999999999</v>
      </c>
    </row>
    <row r="86" spans="1:8" x14ac:dyDescent="0.25">
      <c r="A86" s="21">
        <v>46072</v>
      </c>
      <c r="B86" s="1">
        <f>IF(COUNTIFS(Data!$A$2:$A$1723,B$1,Data!$B$2:$B$1723,$A86)=0,"",SUMIFS(Data!$F$2:$F$1723,Data!$A$2:$A$1723,B$1,Data!$B$2:$B$1723,$A86))</f>
        <v>25454.35</v>
      </c>
      <c r="C86" s="1">
        <f>IF(COUNTIFS(Data!$A$2:$A$1723,C$1,Data!$B$2:$B$1723,$A86)=0,"",SUMIFS(Data!$F$2:$F$1723,Data!$A$2:$A$1723,C$1,Data!$B$2:$B$1723,$A86))</f>
        <v>59227.65</v>
      </c>
      <c r="D86" s="1">
        <f>IF(COUNTIFS(Data!$A$2:$A$1723,D$1,Data!$B$2:$B$1723,$A86)=0,"",SUMIFS(Data!$F$2:$F$1723,Data!$A$2:$A$1723,D$1,Data!$B$2:$B$1723,$A86))</f>
        <v>17020.349999999999</v>
      </c>
      <c r="E86" s="1">
        <f>IF(COUNTIFS(Data!$A$2:$A$1723,E$1,Data!$B$2:$B$1723,$A86)=0,"",SUMIFS(Data!$F$2:$F$1723,Data!$A$2:$A$1723,E$1,Data!$B$2:$B$1723,$A86))</f>
        <v>60739.55</v>
      </c>
      <c r="F86" s="1">
        <f>IF(COUNTIFS(Data!$A$2:$A$1723,F$1,Data!$B$2:$B$1723,$A86)=0,"",SUMIFS(Data!$F$2:$F$1723,Data!$A$2:$A$1723,F$1,Data!$B$2:$B$1723,$A86))</f>
        <v>32319.4</v>
      </c>
      <c r="G86" s="1">
        <f>IF(COUNTIFS(Data!$A$2:$A$1723,G$1,Data!$B$2:$B$1723,$A86)=0,"",SUMIFS(Data!$F$2:$F$1723,Data!$A$2:$A$1723,G$1,Data!$B$2:$B$1723,$A86))</f>
        <v>51483.6</v>
      </c>
      <c r="H86" s="1">
        <f>IF(COUNTIFS(Data!$A$2:$A$1723,H$1,Data!$B$2:$B$1723,$A86)=0,"",SUMIFS(Data!$F$2:$F$1723,Data!$A$2:$A$1723,H$1,Data!$B$2:$B$1723,$A86))</f>
        <v>27734</v>
      </c>
    </row>
    <row r="87" spans="1:8" x14ac:dyDescent="0.25">
      <c r="A87" s="21">
        <v>46073</v>
      </c>
      <c r="B87" s="1">
        <f>IF(COUNTIFS(Data!$A$2:$A$1723,B$1,Data!$B$2:$B$1723,$A87)=0,"",SUMIFS(Data!$F$2:$F$1723,Data!$A$2:$A$1723,B$1,Data!$B$2:$B$1723,$A87))</f>
        <v>25571.25</v>
      </c>
      <c r="C87" s="1">
        <f>IF(COUNTIFS(Data!$A$2:$A$1723,C$1,Data!$B$2:$B$1723,$A87)=0,"",SUMIFS(Data!$F$2:$F$1723,Data!$A$2:$A$1723,C$1,Data!$B$2:$B$1723,$A87))</f>
        <v>59513.95</v>
      </c>
      <c r="D87" s="1">
        <f>IF(COUNTIFS(Data!$A$2:$A$1723,D$1,Data!$B$2:$B$1723,$A87)=0,"",SUMIFS(Data!$F$2:$F$1723,Data!$A$2:$A$1723,D$1,Data!$B$2:$B$1723,$A87))</f>
        <v>17002.150000000001</v>
      </c>
      <c r="E87" s="1">
        <f>IF(COUNTIFS(Data!$A$2:$A$1723,E$1,Data!$B$2:$B$1723,$A87)=0,"",SUMIFS(Data!$F$2:$F$1723,Data!$A$2:$A$1723,E$1,Data!$B$2:$B$1723,$A87))</f>
        <v>61172</v>
      </c>
      <c r="F87" s="1">
        <f>IF(COUNTIFS(Data!$A$2:$A$1723,F$1,Data!$B$2:$B$1723,$A87)=0,"",SUMIFS(Data!$F$2:$F$1723,Data!$A$2:$A$1723,F$1,Data!$B$2:$B$1723,$A87))</f>
        <v>32004.05</v>
      </c>
      <c r="G87" s="1">
        <f>IF(COUNTIFS(Data!$A$2:$A$1723,G$1,Data!$B$2:$B$1723,$A87)=0,"",SUMIFS(Data!$F$2:$F$1723,Data!$A$2:$A$1723,G$1,Data!$B$2:$B$1723,$A87))</f>
        <v>51772.7</v>
      </c>
      <c r="H87" s="1">
        <f>IF(COUNTIFS(Data!$A$2:$A$1723,H$1,Data!$B$2:$B$1723,$A87)=0,"",SUMIFS(Data!$F$2:$F$1723,Data!$A$2:$A$1723,H$1,Data!$B$2:$B$1723,$A87))</f>
        <v>27846.799999999999</v>
      </c>
    </row>
    <row r="88" spans="1:8" x14ac:dyDescent="0.25">
      <c r="A88" s="21">
        <v>46076</v>
      </c>
      <c r="B88" s="1">
        <f>IF(COUNTIFS(Data!$A$2:$A$1723,B$1,Data!$B$2:$B$1723,$A88)=0,"",SUMIFS(Data!$F$2:$F$1723,Data!$A$2:$A$1723,B$1,Data!$B$2:$B$1723,$A88))</f>
        <v>25713</v>
      </c>
      <c r="C88" s="1">
        <f>IF(COUNTIFS(Data!$A$2:$A$1723,C$1,Data!$B$2:$B$1723,$A88)=0,"",SUMIFS(Data!$F$2:$F$1723,Data!$A$2:$A$1723,C$1,Data!$B$2:$B$1723,$A88))</f>
        <v>59255.65</v>
      </c>
      <c r="D88" s="1">
        <f>IF(COUNTIFS(Data!$A$2:$A$1723,D$1,Data!$B$2:$B$1723,$A88)=0,"",SUMIFS(Data!$F$2:$F$1723,Data!$A$2:$A$1723,D$1,Data!$B$2:$B$1723,$A88))</f>
        <v>17051.95</v>
      </c>
      <c r="E88" s="1">
        <f>IF(COUNTIFS(Data!$A$2:$A$1723,E$1,Data!$B$2:$B$1723,$A88)=0,"",SUMIFS(Data!$F$2:$F$1723,Data!$A$2:$A$1723,E$1,Data!$B$2:$B$1723,$A88))</f>
        <v>61264.25</v>
      </c>
      <c r="F88" s="1">
        <f>IF(COUNTIFS(Data!$A$2:$A$1723,F$1,Data!$B$2:$B$1723,$A88)=0,"",SUMIFS(Data!$F$2:$F$1723,Data!$A$2:$A$1723,F$1,Data!$B$2:$B$1723,$A88))</f>
        <v>31550.5</v>
      </c>
      <c r="G88" s="1">
        <f>IF(COUNTIFS(Data!$A$2:$A$1723,G$1,Data!$B$2:$B$1723,$A88)=0,"",SUMIFS(Data!$F$2:$F$1723,Data!$A$2:$A$1723,G$1,Data!$B$2:$B$1723,$A88))</f>
        <v>52136.35</v>
      </c>
      <c r="H88" s="1">
        <f>IF(COUNTIFS(Data!$A$2:$A$1723,H$1,Data!$B$2:$B$1723,$A88)=0,"",SUMIFS(Data!$F$2:$F$1723,Data!$A$2:$A$1723,H$1,Data!$B$2:$B$1723,$A88))</f>
        <v>28077</v>
      </c>
    </row>
    <row r="89" spans="1:8" x14ac:dyDescent="0.25">
      <c r="A89" s="21">
        <v>46077</v>
      </c>
      <c r="B89" s="1">
        <f>IF(COUNTIFS(Data!$A$2:$A$1723,B$1,Data!$B$2:$B$1723,$A89)=0,"",SUMIFS(Data!$F$2:$F$1723,Data!$A$2:$A$1723,B$1,Data!$B$2:$B$1723,$A89))</f>
        <v>25424.65</v>
      </c>
      <c r="C89" s="1">
        <f>IF(COUNTIFS(Data!$A$2:$A$1723,C$1,Data!$B$2:$B$1723,$A89)=0,"",SUMIFS(Data!$F$2:$F$1723,Data!$A$2:$A$1723,C$1,Data!$B$2:$B$1723,$A89))</f>
        <v>59066.35</v>
      </c>
      <c r="D89" s="1">
        <f>IF(COUNTIFS(Data!$A$2:$A$1723,D$1,Data!$B$2:$B$1723,$A89)=0,"",SUMIFS(Data!$F$2:$F$1723,Data!$A$2:$A$1723,D$1,Data!$B$2:$B$1723,$A89))</f>
        <v>16958.650000000001</v>
      </c>
      <c r="E89" s="1">
        <f>IF(COUNTIFS(Data!$A$2:$A$1723,E$1,Data!$B$2:$B$1723,$A89)=0,"",SUMIFS(Data!$F$2:$F$1723,Data!$A$2:$A$1723,E$1,Data!$B$2:$B$1723,$A89))</f>
        <v>61047.3</v>
      </c>
      <c r="F89" s="1">
        <f>IF(COUNTIFS(Data!$A$2:$A$1723,F$1,Data!$B$2:$B$1723,$A89)=0,"",SUMIFS(Data!$F$2:$F$1723,Data!$A$2:$A$1723,F$1,Data!$B$2:$B$1723,$A89))</f>
        <v>30053.5</v>
      </c>
      <c r="G89" s="1">
        <f>IF(COUNTIFS(Data!$A$2:$A$1723,G$1,Data!$B$2:$B$1723,$A89)=0,"",SUMIFS(Data!$F$2:$F$1723,Data!$A$2:$A$1723,G$1,Data!$B$2:$B$1723,$A89))</f>
        <v>52235.25</v>
      </c>
      <c r="H89" s="1">
        <f>IF(COUNTIFS(Data!$A$2:$A$1723,H$1,Data!$B$2:$B$1723,$A89)=0,"",SUMIFS(Data!$F$2:$F$1723,Data!$A$2:$A$1723,H$1,Data!$B$2:$B$1723,$A89))</f>
        <v>27950</v>
      </c>
    </row>
    <row r="90" spans="1:8" x14ac:dyDescent="0.25">
      <c r="A90" s="21">
        <v>46078</v>
      </c>
      <c r="B90" s="1">
        <f>IF(COUNTIFS(Data!$A$2:$A$1723,B$1,Data!$B$2:$B$1723,$A90)=0,"",SUMIFS(Data!$F$2:$F$1723,Data!$A$2:$A$1723,B$1,Data!$B$2:$B$1723,$A90))</f>
        <v>25482.5</v>
      </c>
      <c r="C90" s="1">
        <f>IF(COUNTIFS(Data!$A$2:$A$1723,C$1,Data!$B$2:$B$1723,$A90)=0,"",SUMIFS(Data!$F$2:$F$1723,Data!$A$2:$A$1723,C$1,Data!$B$2:$B$1723,$A90))</f>
        <v>59406.1</v>
      </c>
      <c r="D90" s="1">
        <f>IF(COUNTIFS(Data!$A$2:$A$1723,D$1,Data!$B$2:$B$1723,$A90)=0,"",SUMIFS(Data!$F$2:$F$1723,Data!$A$2:$A$1723,D$1,Data!$B$2:$B$1723,$A90))</f>
        <v>17118.7</v>
      </c>
      <c r="E90" s="1">
        <f>IF(COUNTIFS(Data!$A$2:$A$1723,E$1,Data!$B$2:$B$1723,$A90)=0,"",SUMIFS(Data!$F$2:$F$1723,Data!$A$2:$A$1723,E$1,Data!$B$2:$B$1723,$A90))</f>
        <v>61043.35</v>
      </c>
      <c r="F90" s="1">
        <f>IF(COUNTIFS(Data!$A$2:$A$1723,F$1,Data!$B$2:$B$1723,$A90)=0,"",SUMIFS(Data!$F$2:$F$1723,Data!$A$2:$A$1723,F$1,Data!$B$2:$B$1723,$A90))</f>
        <v>30526.35</v>
      </c>
      <c r="G90" s="1">
        <f>IF(COUNTIFS(Data!$A$2:$A$1723,G$1,Data!$B$2:$B$1723,$A90)=0,"",SUMIFS(Data!$F$2:$F$1723,Data!$A$2:$A$1723,G$1,Data!$B$2:$B$1723,$A90))</f>
        <v>52105.3</v>
      </c>
      <c r="H90" s="1">
        <f>IF(COUNTIFS(Data!$A$2:$A$1723,H$1,Data!$B$2:$B$1723,$A90)=0,"",SUMIFS(Data!$F$2:$F$1723,Data!$A$2:$A$1723,H$1,Data!$B$2:$B$1723,$A90))</f>
        <v>28466.5</v>
      </c>
    </row>
    <row r="91" spans="1:8" x14ac:dyDescent="0.25">
      <c r="A91" s="21">
        <v>46079</v>
      </c>
      <c r="B91" s="1">
        <f>IF(COUNTIFS(Data!$A$2:$A$1723,B$1,Data!$B$2:$B$1723,$A91)=0,"",SUMIFS(Data!$F$2:$F$1723,Data!$A$2:$A$1723,B$1,Data!$B$2:$B$1723,$A91))</f>
        <v>25496.55</v>
      </c>
      <c r="C91" s="1">
        <f>IF(COUNTIFS(Data!$A$2:$A$1723,C$1,Data!$B$2:$B$1723,$A91)=0,"",SUMIFS(Data!$F$2:$F$1723,Data!$A$2:$A$1723,C$1,Data!$B$2:$B$1723,$A91))</f>
        <v>59798.15</v>
      </c>
      <c r="D91" s="1">
        <f>IF(COUNTIFS(Data!$A$2:$A$1723,D$1,Data!$B$2:$B$1723,$A91)=0,"",SUMIFS(Data!$F$2:$F$1723,Data!$A$2:$A$1723,D$1,Data!$B$2:$B$1723,$A91))</f>
        <v>17117.650000000001</v>
      </c>
      <c r="E91" s="1">
        <f>IF(COUNTIFS(Data!$A$2:$A$1723,E$1,Data!$B$2:$B$1723,$A91)=0,"",SUMIFS(Data!$F$2:$F$1723,Data!$A$2:$A$1723,E$1,Data!$B$2:$B$1723,$A91))</f>
        <v>61187.7</v>
      </c>
      <c r="F91" s="1">
        <f>IF(COUNTIFS(Data!$A$2:$A$1723,F$1,Data!$B$2:$B$1723,$A91)=0,"",SUMIFS(Data!$F$2:$F$1723,Data!$A$2:$A$1723,F$1,Data!$B$2:$B$1723,$A91))</f>
        <v>30554.2</v>
      </c>
      <c r="G91" s="1">
        <f>IF(COUNTIFS(Data!$A$2:$A$1723,G$1,Data!$B$2:$B$1723,$A91)=0,"",SUMIFS(Data!$F$2:$F$1723,Data!$A$2:$A$1723,G$1,Data!$B$2:$B$1723,$A91))</f>
        <v>52023</v>
      </c>
      <c r="H91" s="1">
        <f>IF(COUNTIFS(Data!$A$2:$A$1723,H$1,Data!$B$2:$B$1723,$A91)=0,"",SUMIFS(Data!$F$2:$F$1723,Data!$A$2:$A$1723,H$1,Data!$B$2:$B$1723,$A91))</f>
        <v>28693.4</v>
      </c>
    </row>
    <row r="92" spans="1:8" x14ac:dyDescent="0.25">
      <c r="A92" s="21">
        <v>46080</v>
      </c>
      <c r="B92" s="1">
        <f>IF(COUNTIFS(Data!$A$2:$A$1723,B$1,Data!$B$2:$B$1723,$A92)=0,"",SUMIFS(Data!$F$2:$F$1723,Data!$A$2:$A$1723,B$1,Data!$B$2:$B$1723,$A92))</f>
        <v>25178.65</v>
      </c>
      <c r="C92" s="1">
        <f>IF(COUNTIFS(Data!$A$2:$A$1723,C$1,Data!$B$2:$B$1723,$A92)=0,"",SUMIFS(Data!$F$2:$F$1723,Data!$A$2:$A$1723,C$1,Data!$B$2:$B$1723,$A92))</f>
        <v>59115.6</v>
      </c>
      <c r="D92" s="1">
        <f>IF(COUNTIFS(Data!$A$2:$A$1723,D$1,Data!$B$2:$B$1723,$A92)=0,"",SUMIFS(Data!$F$2:$F$1723,Data!$A$2:$A$1723,D$1,Data!$B$2:$B$1723,$A92))</f>
        <v>16928.900000000001</v>
      </c>
      <c r="E92" s="1">
        <f>IF(COUNTIFS(Data!$A$2:$A$1723,E$1,Data!$B$2:$B$1723,$A92)=0,"",SUMIFS(Data!$F$2:$F$1723,Data!$A$2:$A$1723,E$1,Data!$B$2:$B$1723,$A92))</f>
        <v>60529</v>
      </c>
      <c r="F92" s="1">
        <f>IF(COUNTIFS(Data!$A$2:$A$1723,F$1,Data!$B$2:$B$1723,$A92)=0,"",SUMIFS(Data!$F$2:$F$1723,Data!$A$2:$A$1723,F$1,Data!$B$2:$B$1723,$A92))</f>
        <v>30603.85</v>
      </c>
      <c r="G92" s="1">
        <f>IF(COUNTIFS(Data!$A$2:$A$1723,G$1,Data!$B$2:$B$1723,$A92)=0,"",SUMIFS(Data!$F$2:$F$1723,Data!$A$2:$A$1723,G$1,Data!$B$2:$B$1723,$A92))</f>
        <v>51142.2</v>
      </c>
      <c r="H92" s="1">
        <f>IF(COUNTIFS(Data!$A$2:$A$1723,H$1,Data!$B$2:$B$1723,$A92)=0,"",SUMIFS(Data!$F$2:$F$1723,Data!$A$2:$A$1723,H$1,Data!$B$2:$B$1723,$A92))</f>
        <v>28158.85</v>
      </c>
    </row>
    <row r="93" spans="1:8" x14ac:dyDescent="0.25">
      <c r="A93" s="21">
        <v>46083</v>
      </c>
      <c r="B93" s="1">
        <f>IF(COUNTIFS(Data!$A$2:$A$1723,B$1,Data!$B$2:$B$1723,$A93)=0,"",SUMIFS(Data!$F$2:$F$1723,Data!$A$2:$A$1723,B$1,Data!$B$2:$B$1723,$A93))</f>
        <v>24865.7</v>
      </c>
      <c r="C93" s="1">
        <f>IF(COUNTIFS(Data!$A$2:$A$1723,C$1,Data!$B$2:$B$1723,$A93)=0,"",SUMIFS(Data!$F$2:$F$1723,Data!$A$2:$A$1723,C$1,Data!$B$2:$B$1723,$A93))</f>
        <v>58180.5</v>
      </c>
      <c r="D93" s="1">
        <f>IF(COUNTIFS(Data!$A$2:$A$1723,D$1,Data!$B$2:$B$1723,$A93)=0,"",SUMIFS(Data!$F$2:$F$1723,Data!$A$2:$A$1723,D$1,Data!$B$2:$B$1723,$A93))</f>
        <v>16632.400000000001</v>
      </c>
      <c r="E93" s="1">
        <f>IF(COUNTIFS(Data!$A$2:$A$1723,E$1,Data!$B$2:$B$1723,$A93)=0,"",SUMIFS(Data!$F$2:$F$1723,Data!$A$2:$A$1723,E$1,Data!$B$2:$B$1723,$A93))</f>
        <v>59839.65</v>
      </c>
      <c r="F93" s="1">
        <f>IF(COUNTIFS(Data!$A$2:$A$1723,F$1,Data!$B$2:$B$1723,$A93)=0,"",SUMIFS(Data!$F$2:$F$1723,Data!$A$2:$A$1723,F$1,Data!$B$2:$B$1723,$A93))</f>
        <v>30272.95</v>
      </c>
      <c r="G93" s="1">
        <f>IF(COUNTIFS(Data!$A$2:$A$1723,G$1,Data!$B$2:$B$1723,$A93)=0,"",SUMIFS(Data!$F$2:$F$1723,Data!$A$2:$A$1723,G$1,Data!$B$2:$B$1723,$A93))</f>
        <v>50751.65</v>
      </c>
      <c r="H93" s="1">
        <f>IF(COUNTIFS(Data!$A$2:$A$1723,H$1,Data!$B$2:$B$1723,$A93)=0,"",SUMIFS(Data!$F$2:$F$1723,Data!$A$2:$A$1723,H$1,Data!$B$2:$B$1723,$A93))</f>
        <v>27540.1</v>
      </c>
    </row>
    <row r="94" spans="1:8" x14ac:dyDescent="0.25">
      <c r="A94" s="21">
        <v>46085</v>
      </c>
      <c r="B94" s="1">
        <f>IF(COUNTIFS(Data!$A$2:$A$1723,B$1,Data!$B$2:$B$1723,$A94)=0,"",SUMIFS(Data!$F$2:$F$1723,Data!$A$2:$A$1723,B$1,Data!$B$2:$B$1723,$A94))</f>
        <v>24480.5</v>
      </c>
      <c r="C94" s="1">
        <f>IF(COUNTIFS(Data!$A$2:$A$1723,C$1,Data!$B$2:$B$1723,$A94)=0,"",SUMIFS(Data!$F$2:$F$1723,Data!$A$2:$A$1723,C$1,Data!$B$2:$B$1723,$A94))</f>
        <v>56925.15</v>
      </c>
      <c r="D94" s="1">
        <f>IF(COUNTIFS(Data!$A$2:$A$1723,D$1,Data!$B$2:$B$1723,$A94)=0,"",SUMIFS(Data!$F$2:$F$1723,Data!$A$2:$A$1723,D$1,Data!$B$2:$B$1723,$A94))</f>
        <v>16281.5</v>
      </c>
      <c r="E94" s="1">
        <f>IF(COUNTIFS(Data!$A$2:$A$1723,E$1,Data!$B$2:$B$1723,$A94)=0,"",SUMIFS(Data!$F$2:$F$1723,Data!$A$2:$A$1723,E$1,Data!$B$2:$B$1723,$A94))</f>
        <v>58755.25</v>
      </c>
      <c r="F94" s="1">
        <f>IF(COUNTIFS(Data!$A$2:$A$1723,F$1,Data!$B$2:$B$1723,$A94)=0,"",SUMIFS(Data!$F$2:$F$1723,Data!$A$2:$A$1723,F$1,Data!$B$2:$B$1723,$A94))</f>
        <v>30305.25</v>
      </c>
      <c r="G94" s="1">
        <f>IF(COUNTIFS(Data!$A$2:$A$1723,G$1,Data!$B$2:$B$1723,$A94)=0,"",SUMIFS(Data!$F$2:$F$1723,Data!$A$2:$A$1723,G$1,Data!$B$2:$B$1723,$A94))</f>
        <v>49797.5</v>
      </c>
      <c r="H94" s="1">
        <f>IF(COUNTIFS(Data!$A$2:$A$1723,H$1,Data!$B$2:$B$1723,$A94)=0,"",SUMIFS(Data!$F$2:$F$1723,Data!$A$2:$A$1723,H$1,Data!$B$2:$B$1723,$A94))</f>
        <v>26867.15</v>
      </c>
    </row>
    <row r="95" spans="1:8" x14ac:dyDescent="0.25">
      <c r="A95" s="21">
        <v>46086</v>
      </c>
      <c r="B95" s="1">
        <f>IF(COUNTIFS(Data!$A$2:$A$1723,B$1,Data!$B$2:$B$1723,$A95)=0,"",SUMIFS(Data!$F$2:$F$1723,Data!$A$2:$A$1723,B$1,Data!$B$2:$B$1723,$A95))</f>
        <v>24765.9</v>
      </c>
      <c r="C95" s="1">
        <f>IF(COUNTIFS(Data!$A$2:$A$1723,C$1,Data!$B$2:$B$1723,$A95)=0,"",SUMIFS(Data!$F$2:$F$1723,Data!$A$2:$A$1723,C$1,Data!$B$2:$B$1723,$A95))</f>
        <v>57792.55</v>
      </c>
      <c r="D95" s="1">
        <f>IF(COUNTIFS(Data!$A$2:$A$1723,D$1,Data!$B$2:$B$1723,$A95)=0,"",SUMIFS(Data!$F$2:$F$1723,Data!$A$2:$A$1723,D$1,Data!$B$2:$B$1723,$A95))</f>
        <v>16538.8</v>
      </c>
      <c r="E95" s="1">
        <f>IF(COUNTIFS(Data!$A$2:$A$1723,E$1,Data!$B$2:$B$1723,$A95)=0,"",SUMIFS(Data!$F$2:$F$1723,Data!$A$2:$A$1723,E$1,Data!$B$2:$B$1723,$A95))</f>
        <v>59055.85</v>
      </c>
      <c r="F95" s="1">
        <f>IF(COUNTIFS(Data!$A$2:$A$1723,F$1,Data!$B$2:$B$1723,$A95)=0,"",SUMIFS(Data!$F$2:$F$1723,Data!$A$2:$A$1723,F$1,Data!$B$2:$B$1723,$A95))</f>
        <v>30126.799999999999</v>
      </c>
      <c r="G95" s="1">
        <f>IF(COUNTIFS(Data!$A$2:$A$1723,G$1,Data!$B$2:$B$1723,$A95)=0,"",SUMIFS(Data!$F$2:$F$1723,Data!$A$2:$A$1723,G$1,Data!$B$2:$B$1723,$A95))</f>
        <v>50000.800000000003</v>
      </c>
      <c r="H95" s="1">
        <f>IF(COUNTIFS(Data!$A$2:$A$1723,H$1,Data!$B$2:$B$1723,$A95)=0,"",SUMIFS(Data!$F$2:$F$1723,Data!$A$2:$A$1723,H$1,Data!$B$2:$B$1723,$A95))</f>
        <v>27366.799999999999</v>
      </c>
    </row>
    <row r="96" spans="1:8" x14ac:dyDescent="0.25">
      <c r="A96" s="21">
        <v>46087</v>
      </c>
      <c r="B96" s="1">
        <f>IF(COUNTIFS(Data!$A$2:$A$1723,B$1,Data!$B$2:$B$1723,$A96)=0,"",SUMIFS(Data!$F$2:$F$1723,Data!$A$2:$A$1723,B$1,Data!$B$2:$B$1723,$A96))</f>
        <v>24450.45</v>
      </c>
      <c r="C96" s="1">
        <f>IF(COUNTIFS(Data!$A$2:$A$1723,C$1,Data!$B$2:$B$1723,$A96)=0,"",SUMIFS(Data!$F$2:$F$1723,Data!$A$2:$A$1723,C$1,Data!$B$2:$B$1723,$A96))</f>
        <v>57393.35</v>
      </c>
      <c r="D96" s="1">
        <f>IF(COUNTIFS(Data!$A$2:$A$1723,D$1,Data!$B$2:$B$1723,$A96)=0,"",SUMIFS(Data!$F$2:$F$1723,Data!$A$2:$A$1723,D$1,Data!$B$2:$B$1723,$A96))</f>
        <v>16498.900000000001</v>
      </c>
      <c r="E96" s="1">
        <f>IF(COUNTIFS(Data!$A$2:$A$1723,E$1,Data!$B$2:$B$1723,$A96)=0,"",SUMIFS(Data!$F$2:$F$1723,Data!$A$2:$A$1723,E$1,Data!$B$2:$B$1723,$A96))</f>
        <v>57783.25</v>
      </c>
      <c r="F96" s="1">
        <f>IF(COUNTIFS(Data!$A$2:$A$1723,F$1,Data!$B$2:$B$1723,$A96)=0,"",SUMIFS(Data!$F$2:$F$1723,Data!$A$2:$A$1723,F$1,Data!$B$2:$B$1723,$A96))</f>
        <v>30138.400000000001</v>
      </c>
      <c r="G96" s="1">
        <f>IF(COUNTIFS(Data!$A$2:$A$1723,G$1,Data!$B$2:$B$1723,$A96)=0,"",SUMIFS(Data!$F$2:$F$1723,Data!$A$2:$A$1723,G$1,Data!$B$2:$B$1723,$A96))</f>
        <v>49970.6</v>
      </c>
      <c r="H96" s="1">
        <f>IF(COUNTIFS(Data!$A$2:$A$1723,H$1,Data!$B$2:$B$1723,$A96)=0,"",SUMIFS(Data!$F$2:$F$1723,Data!$A$2:$A$1723,H$1,Data!$B$2:$B$1723,$A96))</f>
        <v>27076.400000000001</v>
      </c>
    </row>
    <row r="97" spans="1:8" x14ac:dyDescent="0.25">
      <c r="A97" s="21">
        <v>46090</v>
      </c>
      <c r="B97" s="1">
        <f>IF(COUNTIFS(Data!$A$2:$A$1723,B$1,Data!$B$2:$B$1723,$A97)=0,"",SUMIFS(Data!$F$2:$F$1723,Data!$A$2:$A$1723,B$1,Data!$B$2:$B$1723,$A97))</f>
        <v>24028.05</v>
      </c>
      <c r="C97" s="1">
        <f>IF(COUNTIFS(Data!$A$2:$A$1723,C$1,Data!$B$2:$B$1723,$A97)=0,"",SUMIFS(Data!$F$2:$F$1723,Data!$A$2:$A$1723,C$1,Data!$B$2:$B$1723,$A97))</f>
        <v>56265.5</v>
      </c>
      <c r="D97" s="1">
        <f>IF(COUNTIFS(Data!$A$2:$A$1723,D$1,Data!$B$2:$B$1723,$A97)=0,"",SUMIFS(Data!$F$2:$F$1723,Data!$A$2:$A$1723,D$1,Data!$B$2:$B$1723,$A97))</f>
        <v>16132.2</v>
      </c>
      <c r="E97" s="1">
        <f>IF(COUNTIFS(Data!$A$2:$A$1723,E$1,Data!$B$2:$B$1723,$A97)=0,"",SUMIFS(Data!$F$2:$F$1723,Data!$A$2:$A$1723,E$1,Data!$B$2:$B$1723,$A97))</f>
        <v>56019.8</v>
      </c>
      <c r="F97" s="1">
        <f>IF(COUNTIFS(Data!$A$2:$A$1723,F$1,Data!$B$2:$B$1723,$A97)=0,"",SUMIFS(Data!$F$2:$F$1723,Data!$A$2:$A$1723,F$1,Data!$B$2:$B$1723,$A97))</f>
        <v>30162.05</v>
      </c>
      <c r="G97" s="1">
        <f>IF(COUNTIFS(Data!$A$2:$A$1723,G$1,Data!$B$2:$B$1723,$A97)=0,"",SUMIFS(Data!$F$2:$F$1723,Data!$A$2:$A$1723,G$1,Data!$B$2:$B$1723,$A97))</f>
        <v>49192.4</v>
      </c>
      <c r="H97" s="1">
        <f>IF(COUNTIFS(Data!$A$2:$A$1723,H$1,Data!$B$2:$B$1723,$A97)=0,"",SUMIFS(Data!$F$2:$F$1723,Data!$A$2:$A$1723,H$1,Data!$B$2:$B$1723,$A97))</f>
        <v>25965.95</v>
      </c>
    </row>
    <row r="98" spans="1:8" x14ac:dyDescent="0.25">
      <c r="A98" s="21">
        <v>46091</v>
      </c>
      <c r="B98" s="1">
        <f>IF(COUNTIFS(Data!$A$2:$A$1723,B$1,Data!$B$2:$B$1723,$A98)=0,"",SUMIFS(Data!$F$2:$F$1723,Data!$A$2:$A$1723,B$1,Data!$B$2:$B$1723,$A98))</f>
        <v>24261.599999999999</v>
      </c>
      <c r="C98" s="1">
        <f>IF(COUNTIFS(Data!$A$2:$A$1723,C$1,Data!$B$2:$B$1723,$A98)=0,"",SUMIFS(Data!$F$2:$F$1723,Data!$A$2:$A$1723,C$1,Data!$B$2:$B$1723,$A98))</f>
        <v>57177.65</v>
      </c>
      <c r="D98" s="1">
        <f>IF(COUNTIFS(Data!$A$2:$A$1723,D$1,Data!$B$2:$B$1723,$A98)=0,"",SUMIFS(Data!$F$2:$F$1723,Data!$A$2:$A$1723,D$1,Data!$B$2:$B$1723,$A98))</f>
        <v>16473.8</v>
      </c>
      <c r="E98" s="1">
        <f>IF(COUNTIFS(Data!$A$2:$A$1723,E$1,Data!$B$2:$B$1723,$A98)=0,"",SUMIFS(Data!$F$2:$F$1723,Data!$A$2:$A$1723,E$1,Data!$B$2:$B$1723,$A98))</f>
        <v>56950.8</v>
      </c>
      <c r="F98" s="1">
        <f>IF(COUNTIFS(Data!$A$2:$A$1723,F$1,Data!$B$2:$B$1723,$A98)=0,"",SUMIFS(Data!$F$2:$F$1723,Data!$A$2:$A$1723,F$1,Data!$B$2:$B$1723,$A98))</f>
        <v>30024</v>
      </c>
      <c r="G98" s="1">
        <f>IF(COUNTIFS(Data!$A$2:$A$1723,G$1,Data!$B$2:$B$1723,$A98)=0,"",SUMIFS(Data!$F$2:$F$1723,Data!$A$2:$A$1723,G$1,Data!$B$2:$B$1723,$A98))</f>
        <v>49603.55</v>
      </c>
      <c r="H98" s="1">
        <f>IF(COUNTIFS(Data!$A$2:$A$1723,H$1,Data!$B$2:$B$1723,$A98)=0,"",SUMIFS(Data!$F$2:$F$1723,Data!$A$2:$A$1723,H$1,Data!$B$2:$B$1723,$A98))</f>
        <v>26770.55</v>
      </c>
    </row>
    <row r="99" spans="1:8" x14ac:dyDescent="0.25">
      <c r="A99" s="21">
        <v>46092</v>
      </c>
      <c r="B99" s="1">
        <f>IF(COUNTIFS(Data!$A$2:$A$1723,B$1,Data!$B$2:$B$1723,$A99)=0,"",SUMIFS(Data!$F$2:$F$1723,Data!$A$2:$A$1723,B$1,Data!$B$2:$B$1723,$A99))</f>
        <v>23866.85</v>
      </c>
      <c r="C99" s="1">
        <f>IF(COUNTIFS(Data!$A$2:$A$1723,C$1,Data!$B$2:$B$1723,$A99)=0,"",SUMIFS(Data!$F$2:$F$1723,Data!$A$2:$A$1723,C$1,Data!$B$2:$B$1723,$A99))</f>
        <v>56461.1</v>
      </c>
      <c r="D99" s="1">
        <f>IF(COUNTIFS(Data!$A$2:$A$1723,D$1,Data!$B$2:$B$1723,$A99)=0,"",SUMIFS(Data!$F$2:$F$1723,Data!$A$2:$A$1723,D$1,Data!$B$2:$B$1723,$A99))</f>
        <v>16414.849999999999</v>
      </c>
      <c r="E99" s="1">
        <f>IF(COUNTIFS(Data!$A$2:$A$1723,E$1,Data!$B$2:$B$1723,$A99)=0,"",SUMIFS(Data!$F$2:$F$1723,Data!$A$2:$A$1723,E$1,Data!$B$2:$B$1723,$A99))</f>
        <v>55735.75</v>
      </c>
      <c r="F99" s="1">
        <f>IF(COUNTIFS(Data!$A$2:$A$1723,F$1,Data!$B$2:$B$1723,$A99)=0,"",SUMIFS(Data!$F$2:$F$1723,Data!$A$2:$A$1723,F$1,Data!$B$2:$B$1723,$A99))</f>
        <v>29651.7</v>
      </c>
      <c r="G99" s="1">
        <f>IF(COUNTIFS(Data!$A$2:$A$1723,G$1,Data!$B$2:$B$1723,$A99)=0,"",SUMIFS(Data!$F$2:$F$1723,Data!$A$2:$A$1723,G$1,Data!$B$2:$B$1723,$A99))</f>
        <v>49059.7</v>
      </c>
      <c r="H99" s="1">
        <f>IF(COUNTIFS(Data!$A$2:$A$1723,H$1,Data!$B$2:$B$1723,$A99)=0,"",SUMIFS(Data!$F$2:$F$1723,Data!$A$2:$A$1723,H$1,Data!$B$2:$B$1723,$A99))</f>
        <v>25926</v>
      </c>
    </row>
    <row r="100" spans="1:8" x14ac:dyDescent="0.25">
      <c r="A100" s="21">
        <v>46093</v>
      </c>
      <c r="B100" s="1">
        <f>IF(COUNTIFS(Data!$A$2:$A$1723,B$1,Data!$B$2:$B$1723,$A100)=0,"",SUMIFS(Data!$F$2:$F$1723,Data!$A$2:$A$1723,B$1,Data!$B$2:$B$1723,$A100))</f>
        <v>23639.15</v>
      </c>
      <c r="C100" s="1">
        <f>IF(COUNTIFS(Data!$A$2:$A$1723,C$1,Data!$B$2:$B$1723,$A100)=0,"",SUMIFS(Data!$F$2:$F$1723,Data!$A$2:$A$1723,C$1,Data!$B$2:$B$1723,$A100))</f>
        <v>56253.75</v>
      </c>
      <c r="D100" s="1">
        <f>IF(COUNTIFS(Data!$A$2:$A$1723,D$1,Data!$B$2:$B$1723,$A100)=0,"",SUMIFS(Data!$F$2:$F$1723,Data!$A$2:$A$1723,D$1,Data!$B$2:$B$1723,$A100))</f>
        <v>16305.25</v>
      </c>
      <c r="E100" s="1">
        <f>IF(COUNTIFS(Data!$A$2:$A$1723,E$1,Data!$B$2:$B$1723,$A100)=0,"",SUMIFS(Data!$F$2:$F$1723,Data!$A$2:$A$1723,E$1,Data!$B$2:$B$1723,$A100))</f>
        <v>55100.95</v>
      </c>
      <c r="F100" s="1">
        <f>IF(COUNTIFS(Data!$A$2:$A$1723,F$1,Data!$B$2:$B$1723,$A100)=0,"",SUMIFS(Data!$F$2:$F$1723,Data!$A$2:$A$1723,F$1,Data!$B$2:$B$1723,$A100))</f>
        <v>29579.45</v>
      </c>
      <c r="G100" s="1">
        <f>IF(COUNTIFS(Data!$A$2:$A$1723,G$1,Data!$B$2:$B$1723,$A100)=0,"",SUMIFS(Data!$F$2:$F$1723,Data!$A$2:$A$1723,G$1,Data!$B$2:$B$1723,$A100))</f>
        <v>48189.15</v>
      </c>
      <c r="H100" s="1">
        <f>IF(COUNTIFS(Data!$A$2:$A$1723,H$1,Data!$B$2:$B$1723,$A100)=0,"",SUMIFS(Data!$F$2:$F$1723,Data!$A$2:$A$1723,H$1,Data!$B$2:$B$1723,$A100))</f>
        <v>25098</v>
      </c>
    </row>
    <row r="101" spans="1:8" x14ac:dyDescent="0.25">
      <c r="A101" s="21">
        <v>46094</v>
      </c>
      <c r="B101" s="1">
        <f>IF(COUNTIFS(Data!$A$2:$A$1723,B$1,Data!$B$2:$B$1723,$A101)=0,"",SUMIFS(Data!$F$2:$F$1723,Data!$A$2:$A$1723,B$1,Data!$B$2:$B$1723,$A101))</f>
        <v>23151.1</v>
      </c>
      <c r="C101" s="1">
        <f>IF(COUNTIFS(Data!$A$2:$A$1723,C$1,Data!$B$2:$B$1723,$A101)=0,"",SUMIFS(Data!$F$2:$F$1723,Data!$A$2:$A$1723,C$1,Data!$B$2:$B$1723,$A101))</f>
        <v>54761.1</v>
      </c>
      <c r="D101" s="1">
        <f>IF(COUNTIFS(Data!$A$2:$A$1723,D$1,Data!$B$2:$B$1723,$A101)=0,"",SUMIFS(Data!$F$2:$F$1723,Data!$A$2:$A$1723,D$1,Data!$B$2:$B$1723,$A101))</f>
        <v>15895.25</v>
      </c>
      <c r="E101" s="1">
        <f>IF(COUNTIFS(Data!$A$2:$A$1723,E$1,Data!$B$2:$B$1723,$A101)=0,"",SUMIFS(Data!$F$2:$F$1723,Data!$A$2:$A$1723,E$1,Data!$B$2:$B$1723,$A101))</f>
        <v>53757.85</v>
      </c>
      <c r="F101" s="1">
        <f>IF(COUNTIFS(Data!$A$2:$A$1723,F$1,Data!$B$2:$B$1723,$A101)=0,"",SUMIFS(Data!$F$2:$F$1723,Data!$A$2:$A$1723,F$1,Data!$B$2:$B$1723,$A101))</f>
        <v>29071.25</v>
      </c>
      <c r="G101" s="1">
        <f>IF(COUNTIFS(Data!$A$2:$A$1723,G$1,Data!$B$2:$B$1723,$A101)=0,"",SUMIFS(Data!$F$2:$F$1723,Data!$A$2:$A$1723,G$1,Data!$B$2:$B$1723,$A101))</f>
        <v>47924.15</v>
      </c>
      <c r="H101" s="1">
        <f>IF(COUNTIFS(Data!$A$2:$A$1723,H$1,Data!$B$2:$B$1723,$A101)=0,"",SUMIFS(Data!$F$2:$F$1723,Data!$A$2:$A$1723,H$1,Data!$B$2:$B$1723,$A101))</f>
        <v>24195.1</v>
      </c>
    </row>
    <row r="102" spans="1:8" x14ac:dyDescent="0.25">
      <c r="A102" s="21">
        <v>46097</v>
      </c>
      <c r="B102" s="1">
        <f>IF(COUNTIFS(Data!$A$2:$A$1723,B$1,Data!$B$2:$B$1723,$A102)=0,"",SUMIFS(Data!$F$2:$F$1723,Data!$A$2:$A$1723,B$1,Data!$B$2:$B$1723,$A102))</f>
        <v>23408.799999999999</v>
      </c>
      <c r="C102" s="1">
        <f>IF(COUNTIFS(Data!$A$2:$A$1723,C$1,Data!$B$2:$B$1723,$A102)=0,"",SUMIFS(Data!$F$2:$F$1723,Data!$A$2:$A$1723,C$1,Data!$B$2:$B$1723,$A102))</f>
        <v>54614.95</v>
      </c>
      <c r="D102" s="1">
        <f>IF(COUNTIFS(Data!$A$2:$A$1723,D$1,Data!$B$2:$B$1723,$A102)=0,"",SUMIFS(Data!$F$2:$F$1723,Data!$A$2:$A$1723,D$1,Data!$B$2:$B$1723,$A102))</f>
        <v>15810.35</v>
      </c>
      <c r="E102" s="1">
        <f>IF(COUNTIFS(Data!$A$2:$A$1723,E$1,Data!$B$2:$B$1723,$A102)=0,"",SUMIFS(Data!$F$2:$F$1723,Data!$A$2:$A$1723,E$1,Data!$B$2:$B$1723,$A102))</f>
        <v>54413.4</v>
      </c>
      <c r="F102" s="1">
        <f>IF(COUNTIFS(Data!$A$2:$A$1723,F$1,Data!$B$2:$B$1723,$A102)=0,"",SUMIFS(Data!$F$2:$F$1723,Data!$A$2:$A$1723,F$1,Data!$B$2:$B$1723,$A102))</f>
        <v>29042.55</v>
      </c>
      <c r="G102" s="1">
        <f>IF(COUNTIFS(Data!$A$2:$A$1723,G$1,Data!$B$2:$B$1723,$A102)=0,"",SUMIFS(Data!$F$2:$F$1723,Data!$A$2:$A$1723,G$1,Data!$B$2:$B$1723,$A102))</f>
        <v>48468.85</v>
      </c>
      <c r="H102" s="1">
        <f>IF(COUNTIFS(Data!$A$2:$A$1723,H$1,Data!$B$2:$B$1723,$A102)=0,"",SUMIFS(Data!$F$2:$F$1723,Data!$A$2:$A$1723,H$1,Data!$B$2:$B$1723,$A102))</f>
        <v>24599.1</v>
      </c>
    </row>
    <row r="103" spans="1:8" x14ac:dyDescent="0.25">
      <c r="A103" s="21">
        <v>46098</v>
      </c>
      <c r="B103" s="1">
        <f>IF(COUNTIFS(Data!$A$2:$A$1723,B$1,Data!$B$2:$B$1723,$A103)=0,"",SUMIFS(Data!$F$2:$F$1723,Data!$A$2:$A$1723,B$1,Data!$B$2:$B$1723,$A103))</f>
        <v>23581.15</v>
      </c>
      <c r="C103" s="1">
        <f>IF(COUNTIFS(Data!$A$2:$A$1723,C$1,Data!$B$2:$B$1723,$A103)=0,"",SUMIFS(Data!$F$2:$F$1723,Data!$A$2:$A$1723,C$1,Data!$B$2:$B$1723,$A103))</f>
        <v>55174.400000000001</v>
      </c>
      <c r="D103" s="1">
        <f>IF(COUNTIFS(Data!$A$2:$A$1723,D$1,Data!$B$2:$B$1723,$A103)=0,"",SUMIFS(Data!$F$2:$F$1723,Data!$A$2:$A$1723,D$1,Data!$B$2:$B$1723,$A103))</f>
        <v>15912.9</v>
      </c>
      <c r="E103" s="1">
        <f>IF(COUNTIFS(Data!$A$2:$A$1723,E$1,Data!$B$2:$B$1723,$A103)=0,"",SUMIFS(Data!$F$2:$F$1723,Data!$A$2:$A$1723,E$1,Data!$B$2:$B$1723,$A103))</f>
        <v>54876</v>
      </c>
      <c r="F103" s="1">
        <f>IF(COUNTIFS(Data!$A$2:$A$1723,F$1,Data!$B$2:$B$1723,$A103)=0,"",SUMIFS(Data!$F$2:$F$1723,Data!$A$2:$A$1723,F$1,Data!$B$2:$B$1723,$A103))</f>
        <v>28760.9</v>
      </c>
      <c r="G103" s="1">
        <f>IF(COUNTIFS(Data!$A$2:$A$1723,G$1,Data!$B$2:$B$1723,$A103)=0,"",SUMIFS(Data!$F$2:$F$1723,Data!$A$2:$A$1723,G$1,Data!$B$2:$B$1723,$A103))</f>
        <v>48104.45</v>
      </c>
      <c r="H103" s="1">
        <f>IF(COUNTIFS(Data!$A$2:$A$1723,H$1,Data!$B$2:$B$1723,$A103)=0,"",SUMIFS(Data!$F$2:$F$1723,Data!$A$2:$A$1723,H$1,Data!$B$2:$B$1723,$A103))</f>
        <v>25117.1</v>
      </c>
    </row>
    <row r="104" spans="1:8" x14ac:dyDescent="0.25">
      <c r="A104" s="21">
        <v>46099</v>
      </c>
      <c r="B104" s="1">
        <f>IF(COUNTIFS(Data!$A$2:$A$1723,B$1,Data!$B$2:$B$1723,$A104)=0,"",SUMIFS(Data!$F$2:$F$1723,Data!$A$2:$A$1723,B$1,Data!$B$2:$B$1723,$A104))</f>
        <v>23777.8</v>
      </c>
      <c r="C104" s="1">
        <f>IF(COUNTIFS(Data!$A$2:$A$1723,C$1,Data!$B$2:$B$1723,$A104)=0,"",SUMIFS(Data!$F$2:$F$1723,Data!$A$2:$A$1723,C$1,Data!$B$2:$B$1723,$A104))</f>
        <v>56289.85</v>
      </c>
      <c r="D104" s="1">
        <f>IF(COUNTIFS(Data!$A$2:$A$1723,D$1,Data!$B$2:$B$1723,$A104)=0,"",SUMIFS(Data!$F$2:$F$1723,Data!$A$2:$A$1723,D$1,Data!$B$2:$B$1723,$A104))</f>
        <v>16179.15</v>
      </c>
      <c r="E104" s="1">
        <f>IF(COUNTIFS(Data!$A$2:$A$1723,E$1,Data!$B$2:$B$1723,$A104)=0,"",SUMIFS(Data!$F$2:$F$1723,Data!$A$2:$A$1723,E$1,Data!$B$2:$B$1723,$A104))</f>
        <v>55326.05</v>
      </c>
      <c r="F104" s="1">
        <f>IF(COUNTIFS(Data!$A$2:$A$1723,F$1,Data!$B$2:$B$1723,$A104)=0,"",SUMIFS(Data!$F$2:$F$1723,Data!$A$2:$A$1723,F$1,Data!$B$2:$B$1723,$A104))</f>
        <v>29559.3</v>
      </c>
      <c r="G104" s="1">
        <f>IF(COUNTIFS(Data!$A$2:$A$1723,G$1,Data!$B$2:$B$1723,$A104)=0,"",SUMIFS(Data!$F$2:$F$1723,Data!$A$2:$A$1723,G$1,Data!$B$2:$B$1723,$A104))</f>
        <v>48079</v>
      </c>
      <c r="H104" s="1">
        <f>IF(COUNTIFS(Data!$A$2:$A$1723,H$1,Data!$B$2:$B$1723,$A104)=0,"",SUMIFS(Data!$F$2:$F$1723,Data!$A$2:$A$1723,H$1,Data!$B$2:$B$1723,$A104))</f>
        <v>25598.85</v>
      </c>
    </row>
    <row r="105" spans="1:8" x14ac:dyDescent="0.25">
      <c r="A105" s="21">
        <v>46100</v>
      </c>
      <c r="B105" s="1">
        <f>IF(COUNTIFS(Data!$A$2:$A$1723,B$1,Data!$B$2:$B$1723,$A105)=0,"",SUMIFS(Data!$F$2:$F$1723,Data!$A$2:$A$1723,B$1,Data!$B$2:$B$1723,$A105))</f>
        <v>23002.15</v>
      </c>
      <c r="C105" s="1">
        <f>IF(COUNTIFS(Data!$A$2:$A$1723,C$1,Data!$B$2:$B$1723,$A105)=0,"",SUMIFS(Data!$F$2:$F$1723,Data!$A$2:$A$1723,C$1,Data!$B$2:$B$1723,$A105))</f>
        <v>54492.3</v>
      </c>
      <c r="D105" s="1">
        <f>IF(COUNTIFS(Data!$A$2:$A$1723,D$1,Data!$B$2:$B$1723,$A105)=0,"",SUMIFS(Data!$F$2:$F$1723,Data!$A$2:$A$1723,D$1,Data!$B$2:$B$1723,$A105))</f>
        <v>15704.25</v>
      </c>
      <c r="E105" s="1">
        <f>IF(COUNTIFS(Data!$A$2:$A$1723,E$1,Data!$B$2:$B$1723,$A105)=0,"",SUMIFS(Data!$F$2:$F$1723,Data!$A$2:$A$1723,E$1,Data!$B$2:$B$1723,$A105))</f>
        <v>53451</v>
      </c>
      <c r="F105" s="1">
        <f>IF(COUNTIFS(Data!$A$2:$A$1723,F$1,Data!$B$2:$B$1723,$A105)=0,"",SUMIFS(Data!$F$2:$F$1723,Data!$A$2:$A$1723,F$1,Data!$B$2:$B$1723,$A105))</f>
        <v>28579.599999999999</v>
      </c>
      <c r="G105" s="1">
        <f>IF(COUNTIFS(Data!$A$2:$A$1723,G$1,Data!$B$2:$B$1723,$A105)=0,"",SUMIFS(Data!$F$2:$F$1723,Data!$A$2:$A$1723,G$1,Data!$B$2:$B$1723,$A105))</f>
        <v>46861.95</v>
      </c>
      <c r="H105" s="1">
        <f>IF(COUNTIFS(Data!$A$2:$A$1723,H$1,Data!$B$2:$B$1723,$A105)=0,"",SUMIFS(Data!$F$2:$F$1723,Data!$A$2:$A$1723,H$1,Data!$B$2:$B$1723,$A105))</f>
        <v>24509.9</v>
      </c>
    </row>
    <row r="106" spans="1:8" x14ac:dyDescent="0.25">
      <c r="A106" s="21">
        <v>46101</v>
      </c>
      <c r="B106" s="1">
        <f>IF(COUNTIFS(Data!$A$2:$A$1723,B$1,Data!$B$2:$B$1723,$A106)=0,"",SUMIFS(Data!$F$2:$F$1723,Data!$A$2:$A$1723,B$1,Data!$B$2:$B$1723,$A106))</f>
        <v>23114.5</v>
      </c>
      <c r="C106" s="1">
        <f>IF(COUNTIFS(Data!$A$2:$A$1723,C$1,Data!$B$2:$B$1723,$A106)=0,"",SUMIFS(Data!$F$2:$F$1723,Data!$A$2:$A$1723,C$1,Data!$B$2:$B$1723,$A106))</f>
        <v>54855.5</v>
      </c>
      <c r="D106" s="1">
        <f>IF(COUNTIFS(Data!$A$2:$A$1723,D$1,Data!$B$2:$B$1723,$A106)=0,"",SUMIFS(Data!$F$2:$F$1723,Data!$A$2:$A$1723,D$1,Data!$B$2:$B$1723,$A106))</f>
        <v>15718.6</v>
      </c>
      <c r="E106" s="1">
        <f>IF(COUNTIFS(Data!$A$2:$A$1723,E$1,Data!$B$2:$B$1723,$A106)=0,"",SUMIFS(Data!$F$2:$F$1723,Data!$A$2:$A$1723,E$1,Data!$B$2:$B$1723,$A106))</f>
        <v>53427.05</v>
      </c>
      <c r="F106" s="1">
        <f>IF(COUNTIFS(Data!$A$2:$A$1723,F$1,Data!$B$2:$B$1723,$A106)=0,"",SUMIFS(Data!$F$2:$F$1723,Data!$A$2:$A$1723,F$1,Data!$B$2:$B$1723,$A106))</f>
        <v>29199.599999999999</v>
      </c>
      <c r="G106" s="1">
        <f>IF(COUNTIFS(Data!$A$2:$A$1723,G$1,Data!$B$2:$B$1723,$A106)=0,"",SUMIFS(Data!$F$2:$F$1723,Data!$A$2:$A$1723,G$1,Data!$B$2:$B$1723,$A106))</f>
        <v>47007.55</v>
      </c>
      <c r="H106" s="1">
        <f>IF(COUNTIFS(Data!$A$2:$A$1723,H$1,Data!$B$2:$B$1723,$A106)=0,"",SUMIFS(Data!$F$2:$F$1723,Data!$A$2:$A$1723,H$1,Data!$B$2:$B$1723,$A106))</f>
        <v>24715.9</v>
      </c>
    </row>
    <row r="107" spans="1:8" x14ac:dyDescent="0.25">
      <c r="A107" s="21">
        <v>46104</v>
      </c>
      <c r="B107" s="1">
        <f>IF(COUNTIFS(Data!$A$2:$A$1723,B$1,Data!$B$2:$B$1723,$A107)=0,"",SUMIFS(Data!$F$2:$F$1723,Data!$A$2:$A$1723,B$1,Data!$B$2:$B$1723,$A107))</f>
        <v>22512.65</v>
      </c>
      <c r="C107" s="1">
        <f>IF(COUNTIFS(Data!$A$2:$A$1723,C$1,Data!$B$2:$B$1723,$A107)=0,"",SUMIFS(Data!$F$2:$F$1723,Data!$A$2:$A$1723,C$1,Data!$B$2:$B$1723,$A107))</f>
        <v>52717.55</v>
      </c>
      <c r="D107" s="1">
        <f>IF(COUNTIFS(Data!$A$2:$A$1723,D$1,Data!$B$2:$B$1723,$A107)=0,"",SUMIFS(Data!$F$2:$F$1723,Data!$A$2:$A$1723,D$1,Data!$B$2:$B$1723,$A107))</f>
        <v>15098.7</v>
      </c>
      <c r="E107" s="1">
        <f>IF(COUNTIFS(Data!$A$2:$A$1723,E$1,Data!$B$2:$B$1723,$A107)=0,"",SUMIFS(Data!$F$2:$F$1723,Data!$A$2:$A$1723,E$1,Data!$B$2:$B$1723,$A107))</f>
        <v>51437.75</v>
      </c>
      <c r="F107" s="1">
        <f>IF(COUNTIFS(Data!$A$2:$A$1723,F$1,Data!$B$2:$B$1723,$A107)=0,"",SUMIFS(Data!$F$2:$F$1723,Data!$A$2:$A$1723,F$1,Data!$B$2:$B$1723,$A107))</f>
        <v>29147.05</v>
      </c>
      <c r="G107" s="1">
        <f>IF(COUNTIFS(Data!$A$2:$A$1723,G$1,Data!$B$2:$B$1723,$A107)=0,"",SUMIFS(Data!$F$2:$F$1723,Data!$A$2:$A$1723,G$1,Data!$B$2:$B$1723,$A107))</f>
        <v>45837.05</v>
      </c>
      <c r="H107" s="1">
        <f>IF(COUNTIFS(Data!$A$2:$A$1723,H$1,Data!$B$2:$B$1723,$A107)=0,"",SUMIFS(Data!$F$2:$F$1723,Data!$A$2:$A$1723,H$1,Data!$B$2:$B$1723,$A107))</f>
        <v>23934.75</v>
      </c>
    </row>
    <row r="108" spans="1:8" x14ac:dyDescent="0.25">
      <c r="A108" s="21">
        <v>46105</v>
      </c>
      <c r="B108" s="1">
        <f>IF(COUNTIFS(Data!$A$2:$A$1723,B$1,Data!$B$2:$B$1723,$A108)=0,"",SUMIFS(Data!$F$2:$F$1723,Data!$A$2:$A$1723,B$1,Data!$B$2:$B$1723,$A108))</f>
        <v>22912.400000000001</v>
      </c>
      <c r="C108" s="1">
        <f>IF(COUNTIFS(Data!$A$2:$A$1723,C$1,Data!$B$2:$B$1723,$A108)=0,"",SUMIFS(Data!$F$2:$F$1723,Data!$A$2:$A$1723,C$1,Data!$B$2:$B$1723,$A108))</f>
        <v>54087</v>
      </c>
      <c r="D108" s="1">
        <f>IF(COUNTIFS(Data!$A$2:$A$1723,D$1,Data!$B$2:$B$1723,$A108)=0,"",SUMIFS(Data!$F$2:$F$1723,Data!$A$2:$A$1723,D$1,Data!$B$2:$B$1723,$A108))</f>
        <v>15495.2</v>
      </c>
      <c r="E108" s="1">
        <f>IF(COUNTIFS(Data!$A$2:$A$1723,E$1,Data!$B$2:$B$1723,$A108)=0,"",SUMIFS(Data!$F$2:$F$1723,Data!$A$2:$A$1723,E$1,Data!$B$2:$B$1723,$A108))</f>
        <v>52605.65</v>
      </c>
      <c r="F108" s="1">
        <f>IF(COUNTIFS(Data!$A$2:$A$1723,F$1,Data!$B$2:$B$1723,$A108)=0,"",SUMIFS(Data!$F$2:$F$1723,Data!$A$2:$A$1723,F$1,Data!$B$2:$B$1723,$A108))</f>
        <v>29648.9</v>
      </c>
      <c r="G108" s="1">
        <f>IF(COUNTIFS(Data!$A$2:$A$1723,G$1,Data!$B$2:$B$1723,$A108)=0,"",SUMIFS(Data!$F$2:$F$1723,Data!$A$2:$A$1723,G$1,Data!$B$2:$B$1723,$A108))</f>
        <v>46408.3</v>
      </c>
      <c r="H108" s="1">
        <f>IF(COUNTIFS(Data!$A$2:$A$1723,H$1,Data!$B$2:$B$1723,$A108)=0,"",SUMIFS(Data!$F$2:$F$1723,Data!$A$2:$A$1723,H$1,Data!$B$2:$B$1723,$A108))</f>
        <v>24515.25</v>
      </c>
    </row>
    <row r="109" spans="1:8" x14ac:dyDescent="0.25">
      <c r="A109" s="21">
        <v>46106</v>
      </c>
      <c r="B109" s="1">
        <f>IF(COUNTIFS(Data!$A$2:$A$1723,B$1,Data!$B$2:$B$1723,$A109)=0,"",SUMIFS(Data!$F$2:$F$1723,Data!$A$2:$A$1723,B$1,Data!$B$2:$B$1723,$A109))</f>
        <v>23306.45</v>
      </c>
      <c r="C109" s="1">
        <f>IF(COUNTIFS(Data!$A$2:$A$1723,C$1,Data!$B$2:$B$1723,$A109)=0,"",SUMIFS(Data!$F$2:$F$1723,Data!$A$2:$A$1723,C$1,Data!$B$2:$B$1723,$A109))</f>
        <v>55331.05</v>
      </c>
      <c r="D109" s="1">
        <f>IF(COUNTIFS(Data!$A$2:$A$1723,D$1,Data!$B$2:$B$1723,$A109)=0,"",SUMIFS(Data!$F$2:$F$1723,Data!$A$2:$A$1723,D$1,Data!$B$2:$B$1723,$A109))</f>
        <v>15896.55</v>
      </c>
      <c r="E109" s="1">
        <f>IF(COUNTIFS(Data!$A$2:$A$1723,E$1,Data!$B$2:$B$1723,$A109)=0,"",SUMIFS(Data!$F$2:$F$1723,Data!$A$2:$A$1723,E$1,Data!$B$2:$B$1723,$A109))</f>
        <v>53708.1</v>
      </c>
      <c r="F109" s="1">
        <f>IF(COUNTIFS(Data!$A$2:$A$1723,F$1,Data!$B$2:$B$1723,$A109)=0,"",SUMIFS(Data!$F$2:$F$1723,Data!$A$2:$A$1723,F$1,Data!$B$2:$B$1723,$A109))</f>
        <v>29671.3</v>
      </c>
      <c r="G109" s="1">
        <f>IF(COUNTIFS(Data!$A$2:$A$1723,G$1,Data!$B$2:$B$1723,$A109)=0,"",SUMIFS(Data!$F$2:$F$1723,Data!$A$2:$A$1723,G$1,Data!$B$2:$B$1723,$A109))</f>
        <v>47283.35</v>
      </c>
      <c r="H109" s="1">
        <f>IF(COUNTIFS(Data!$A$2:$A$1723,H$1,Data!$B$2:$B$1723,$A109)=0,"",SUMIFS(Data!$F$2:$F$1723,Data!$A$2:$A$1723,H$1,Data!$B$2:$B$1723,$A109))</f>
        <v>25058.6</v>
      </c>
    </row>
    <row r="110" spans="1:8" x14ac:dyDescent="0.25">
      <c r="A110" s="21">
        <v>46108</v>
      </c>
      <c r="B110" s="1">
        <f>IF(COUNTIFS(Data!$A$2:$A$1723,B$1,Data!$B$2:$B$1723,$A110)=0,"",SUMIFS(Data!$F$2:$F$1723,Data!$A$2:$A$1723,B$1,Data!$B$2:$B$1723,$A110))</f>
        <v>22819.599999999999</v>
      </c>
      <c r="C110" s="1">
        <f>IF(COUNTIFS(Data!$A$2:$A$1723,C$1,Data!$B$2:$B$1723,$A110)=0,"",SUMIFS(Data!$F$2:$F$1723,Data!$A$2:$A$1723,C$1,Data!$B$2:$B$1723,$A110))</f>
        <v>54097.8</v>
      </c>
      <c r="D110" s="1">
        <f>IF(COUNTIFS(Data!$A$2:$A$1723,D$1,Data!$B$2:$B$1723,$A110)=0,"",SUMIFS(Data!$F$2:$F$1723,Data!$A$2:$A$1723,D$1,Data!$B$2:$B$1723,$A110))</f>
        <v>15620</v>
      </c>
      <c r="E110" s="1">
        <f>IF(COUNTIFS(Data!$A$2:$A$1723,E$1,Data!$B$2:$B$1723,$A110)=0,"",SUMIFS(Data!$F$2:$F$1723,Data!$A$2:$A$1723,E$1,Data!$B$2:$B$1723,$A110))</f>
        <v>52274.6</v>
      </c>
      <c r="F110" s="1">
        <f>IF(COUNTIFS(Data!$A$2:$A$1723,F$1,Data!$B$2:$B$1723,$A110)=0,"",SUMIFS(Data!$F$2:$F$1723,Data!$A$2:$A$1723,F$1,Data!$B$2:$B$1723,$A110))</f>
        <v>29541.65</v>
      </c>
      <c r="G110" s="1">
        <f>IF(COUNTIFS(Data!$A$2:$A$1723,G$1,Data!$B$2:$B$1723,$A110)=0,"",SUMIFS(Data!$F$2:$F$1723,Data!$A$2:$A$1723,G$1,Data!$B$2:$B$1723,$A110))</f>
        <v>46427.199999999997</v>
      </c>
      <c r="H110" s="1">
        <f>IF(COUNTIFS(Data!$A$2:$A$1723,H$1,Data!$B$2:$B$1723,$A110)=0,"",SUMIFS(Data!$F$2:$F$1723,Data!$A$2:$A$1723,H$1,Data!$B$2:$B$1723,$A110))</f>
        <v>24351.95</v>
      </c>
    </row>
    <row r="111" spans="1:8" x14ac:dyDescent="0.25">
      <c r="A111" s="21">
        <v>46111</v>
      </c>
      <c r="B111" s="1">
        <f>IF(COUNTIFS(Data!$A$2:$A$1723,B$1,Data!$B$2:$B$1723,$A111)=0,"",SUMIFS(Data!$F$2:$F$1723,Data!$A$2:$A$1723,B$1,Data!$B$2:$B$1723,$A111))</f>
        <v>22331.4</v>
      </c>
      <c r="C111" s="1">
        <f>IF(COUNTIFS(Data!$A$2:$A$1723,C$1,Data!$B$2:$B$1723,$A111)=0,"",SUMIFS(Data!$F$2:$F$1723,Data!$A$2:$A$1723,C$1,Data!$B$2:$B$1723,$A111))</f>
        <v>52650</v>
      </c>
      <c r="D111" s="1">
        <f>IF(COUNTIFS(Data!$A$2:$A$1723,D$1,Data!$B$2:$B$1723,$A111)=0,"",SUMIFS(Data!$F$2:$F$1723,Data!$A$2:$A$1723,D$1,Data!$B$2:$B$1723,$A111))</f>
        <v>15203.8</v>
      </c>
      <c r="E111" s="1">
        <f>IF(COUNTIFS(Data!$A$2:$A$1723,E$1,Data!$B$2:$B$1723,$A111)=0,"",SUMIFS(Data!$F$2:$F$1723,Data!$A$2:$A$1723,E$1,Data!$B$2:$B$1723,$A111))</f>
        <v>50275.35</v>
      </c>
      <c r="F111" s="1">
        <f>IF(COUNTIFS(Data!$A$2:$A$1723,F$1,Data!$B$2:$B$1723,$A111)=0,"",SUMIFS(Data!$F$2:$F$1723,Data!$A$2:$A$1723,F$1,Data!$B$2:$B$1723,$A111))</f>
        <v>29062.6</v>
      </c>
      <c r="G111" s="1">
        <f>IF(COUNTIFS(Data!$A$2:$A$1723,G$1,Data!$B$2:$B$1723,$A111)=0,"",SUMIFS(Data!$F$2:$F$1723,Data!$A$2:$A$1723,G$1,Data!$B$2:$B$1723,$A111))</f>
        <v>45538.65</v>
      </c>
      <c r="H111" s="1">
        <f>IF(COUNTIFS(Data!$A$2:$A$1723,H$1,Data!$B$2:$B$1723,$A111)=0,"",SUMIFS(Data!$F$2:$F$1723,Data!$A$2:$A$1723,H$1,Data!$B$2:$B$1723,$A111))</f>
        <v>23769.599999999999</v>
      </c>
    </row>
    <row r="112" spans="1:8" x14ac:dyDescent="0.25">
      <c r="A112" s="21">
        <v>46113</v>
      </c>
      <c r="B112" s="1">
        <f>IF(COUNTIFS(Data!$A$2:$A$1723,B$1,Data!$B$2:$B$1723,$A112)=0,"",SUMIFS(Data!$F$2:$F$1723,Data!$A$2:$A$1723,B$1,Data!$B$2:$B$1723,$A112))</f>
        <v>22679.4</v>
      </c>
      <c r="C112" s="1">
        <f>IF(COUNTIFS(Data!$A$2:$A$1723,C$1,Data!$B$2:$B$1723,$A112)=0,"",SUMIFS(Data!$F$2:$F$1723,Data!$A$2:$A$1723,C$1,Data!$B$2:$B$1723,$A112))</f>
        <v>53819.15</v>
      </c>
      <c r="D112" s="1">
        <f>IF(COUNTIFS(Data!$A$2:$A$1723,D$1,Data!$B$2:$B$1723,$A112)=0,"",SUMIFS(Data!$F$2:$F$1723,Data!$A$2:$A$1723,D$1,Data!$B$2:$B$1723,$A112))</f>
        <v>15709.8</v>
      </c>
      <c r="E112" s="1">
        <f>IF(COUNTIFS(Data!$A$2:$A$1723,E$1,Data!$B$2:$B$1723,$A112)=0,"",SUMIFS(Data!$F$2:$F$1723,Data!$A$2:$A$1723,E$1,Data!$B$2:$B$1723,$A112))</f>
        <v>51448.65</v>
      </c>
      <c r="F112" s="1">
        <f>IF(COUNTIFS(Data!$A$2:$A$1723,F$1,Data!$B$2:$B$1723,$A112)=0,"",SUMIFS(Data!$F$2:$F$1723,Data!$A$2:$A$1723,F$1,Data!$B$2:$B$1723,$A112))</f>
        <v>29669.05</v>
      </c>
      <c r="G112" s="1">
        <f>IF(COUNTIFS(Data!$A$2:$A$1723,G$1,Data!$B$2:$B$1723,$A112)=0,"",SUMIFS(Data!$F$2:$F$1723,Data!$A$2:$A$1723,G$1,Data!$B$2:$B$1723,$A112))</f>
        <v>46135.95</v>
      </c>
      <c r="H112" s="1">
        <f>IF(COUNTIFS(Data!$A$2:$A$1723,H$1,Data!$B$2:$B$1723,$A112)=0,"",SUMIFS(Data!$F$2:$F$1723,Data!$A$2:$A$1723,H$1,Data!$B$2:$B$1723,$A112))</f>
        <v>24238.85</v>
      </c>
    </row>
    <row r="113" spans="1:8" x14ac:dyDescent="0.25">
      <c r="A113" s="21">
        <v>46114</v>
      </c>
      <c r="B113" s="1">
        <f>IF(COUNTIFS(Data!$A$2:$A$1723,B$1,Data!$B$2:$B$1723,$A113)=0,"",SUMIFS(Data!$F$2:$F$1723,Data!$A$2:$A$1723,B$1,Data!$B$2:$B$1723,$A113))</f>
        <v>22713.1</v>
      </c>
      <c r="C113" s="1">
        <f>IF(COUNTIFS(Data!$A$2:$A$1723,C$1,Data!$B$2:$B$1723,$A113)=0,"",SUMIFS(Data!$F$2:$F$1723,Data!$A$2:$A$1723,C$1,Data!$B$2:$B$1723,$A113))</f>
        <v>53677.05</v>
      </c>
      <c r="D113" s="1">
        <f>IF(COUNTIFS(Data!$A$2:$A$1723,D$1,Data!$B$2:$B$1723,$A113)=0,"",SUMIFS(Data!$F$2:$F$1723,Data!$A$2:$A$1723,D$1,Data!$B$2:$B$1723,$A113))</f>
        <v>15650.5</v>
      </c>
      <c r="E113" s="1">
        <f>IF(COUNTIFS(Data!$A$2:$A$1723,E$1,Data!$B$2:$B$1723,$A113)=0,"",SUMIFS(Data!$F$2:$F$1723,Data!$A$2:$A$1723,E$1,Data!$B$2:$B$1723,$A113))</f>
        <v>51548.75</v>
      </c>
      <c r="F113" s="1">
        <f>IF(COUNTIFS(Data!$A$2:$A$1723,F$1,Data!$B$2:$B$1723,$A113)=0,"",SUMIFS(Data!$F$2:$F$1723,Data!$A$2:$A$1723,F$1,Data!$B$2:$B$1723,$A113))</f>
        <v>30441.45</v>
      </c>
      <c r="G113" s="1">
        <f>IF(COUNTIFS(Data!$A$2:$A$1723,G$1,Data!$B$2:$B$1723,$A113)=0,"",SUMIFS(Data!$F$2:$F$1723,Data!$A$2:$A$1723,G$1,Data!$B$2:$B$1723,$A113))</f>
        <v>46232.15</v>
      </c>
      <c r="H113" s="1">
        <f>IF(COUNTIFS(Data!$A$2:$A$1723,H$1,Data!$B$2:$B$1723,$A113)=0,"",SUMIFS(Data!$F$2:$F$1723,Data!$A$2:$A$1723,H$1,Data!$B$2:$B$1723,$A113))</f>
        <v>24089.65</v>
      </c>
    </row>
    <row r="114" spans="1:8" x14ac:dyDescent="0.25">
      <c r="A114" s="21">
        <v>46118</v>
      </c>
      <c r="B114" s="1">
        <f>IF(COUNTIFS(Data!$A$2:$A$1723,B$1,Data!$B$2:$B$1723,$A114)=0,"",SUMIFS(Data!$F$2:$F$1723,Data!$A$2:$A$1723,B$1,Data!$B$2:$B$1723,$A114))</f>
        <v>22968.25</v>
      </c>
      <c r="C114" s="1">
        <f>IF(COUNTIFS(Data!$A$2:$A$1723,C$1,Data!$B$2:$B$1723,$A114)=0,"",SUMIFS(Data!$F$2:$F$1723,Data!$A$2:$A$1723,C$1,Data!$B$2:$B$1723,$A114))</f>
        <v>54492.65</v>
      </c>
      <c r="D114" s="1">
        <f>IF(COUNTIFS(Data!$A$2:$A$1723,D$1,Data!$B$2:$B$1723,$A114)=0,"",SUMIFS(Data!$F$2:$F$1723,Data!$A$2:$A$1723,D$1,Data!$B$2:$B$1723,$A114))</f>
        <v>15853.05</v>
      </c>
      <c r="E114" s="1">
        <f>IF(COUNTIFS(Data!$A$2:$A$1723,E$1,Data!$B$2:$B$1723,$A114)=0,"",SUMIFS(Data!$F$2:$F$1723,Data!$A$2:$A$1723,E$1,Data!$B$2:$B$1723,$A114))</f>
        <v>52609.1</v>
      </c>
      <c r="F114" s="1">
        <f>IF(COUNTIFS(Data!$A$2:$A$1723,F$1,Data!$B$2:$B$1723,$A114)=0,"",SUMIFS(Data!$F$2:$F$1723,Data!$A$2:$A$1723,F$1,Data!$B$2:$B$1723,$A114))</f>
        <v>30636.55</v>
      </c>
      <c r="G114" s="1">
        <f>IF(COUNTIFS(Data!$A$2:$A$1723,G$1,Data!$B$2:$B$1723,$A114)=0,"",SUMIFS(Data!$F$2:$F$1723,Data!$A$2:$A$1723,G$1,Data!$B$2:$B$1723,$A114))</f>
        <v>46600.05</v>
      </c>
      <c r="H114" s="1">
        <f>IF(COUNTIFS(Data!$A$2:$A$1723,H$1,Data!$B$2:$B$1723,$A114)=0,"",SUMIFS(Data!$F$2:$F$1723,Data!$A$2:$A$1723,H$1,Data!$B$2:$B$1723,$A114))</f>
        <v>24350.400000000001</v>
      </c>
    </row>
    <row r="115" spans="1:8" x14ac:dyDescent="0.25">
      <c r="A115" s="21">
        <v>46119</v>
      </c>
      <c r="B115" s="1">
        <f>IF(COUNTIFS(Data!$A$2:$A$1723,B$1,Data!$B$2:$B$1723,$A115)=0,"",SUMIFS(Data!$F$2:$F$1723,Data!$A$2:$A$1723,B$1,Data!$B$2:$B$1723,$A115))</f>
        <v>23123.65</v>
      </c>
      <c r="C115" s="1">
        <f>IF(COUNTIFS(Data!$A$2:$A$1723,C$1,Data!$B$2:$B$1723,$A115)=0,"",SUMIFS(Data!$F$2:$F$1723,Data!$A$2:$A$1723,C$1,Data!$B$2:$B$1723,$A115))</f>
        <v>54600.55</v>
      </c>
      <c r="D115" s="1">
        <f>IF(COUNTIFS(Data!$A$2:$A$1723,D$1,Data!$B$2:$B$1723,$A115)=0,"",SUMIFS(Data!$F$2:$F$1723,Data!$A$2:$A$1723,D$1,Data!$B$2:$B$1723,$A115))</f>
        <v>15843.3</v>
      </c>
      <c r="E115" s="1">
        <f>IF(COUNTIFS(Data!$A$2:$A$1723,E$1,Data!$B$2:$B$1723,$A115)=0,"",SUMIFS(Data!$F$2:$F$1723,Data!$A$2:$A$1723,E$1,Data!$B$2:$B$1723,$A115))</f>
        <v>52716.25</v>
      </c>
      <c r="F115" s="1">
        <f>IF(COUNTIFS(Data!$A$2:$A$1723,F$1,Data!$B$2:$B$1723,$A115)=0,"",SUMIFS(Data!$F$2:$F$1723,Data!$A$2:$A$1723,F$1,Data!$B$2:$B$1723,$A115))</f>
        <v>31403.35</v>
      </c>
      <c r="G115" s="1">
        <f>IF(COUNTIFS(Data!$A$2:$A$1723,G$1,Data!$B$2:$B$1723,$A115)=0,"",SUMIFS(Data!$F$2:$F$1723,Data!$A$2:$A$1723,G$1,Data!$B$2:$B$1723,$A115))</f>
        <v>46980.1</v>
      </c>
      <c r="H115" s="1">
        <f>IF(COUNTIFS(Data!$A$2:$A$1723,H$1,Data!$B$2:$B$1723,$A115)=0,"",SUMIFS(Data!$F$2:$F$1723,Data!$A$2:$A$1723,H$1,Data!$B$2:$B$1723,$A115))</f>
        <v>24373.3</v>
      </c>
    </row>
    <row r="116" spans="1:8" x14ac:dyDescent="0.25">
      <c r="A116" s="21">
        <v>46120</v>
      </c>
      <c r="B116" s="1">
        <f>IF(COUNTIFS(Data!$A$2:$A$1723,B$1,Data!$B$2:$B$1723,$A116)=0,"",SUMIFS(Data!$F$2:$F$1723,Data!$A$2:$A$1723,B$1,Data!$B$2:$B$1723,$A116))</f>
        <v>23997.35</v>
      </c>
      <c r="C116" s="1">
        <f>IF(COUNTIFS(Data!$A$2:$A$1723,C$1,Data!$B$2:$B$1723,$A116)=0,"",SUMIFS(Data!$F$2:$F$1723,Data!$A$2:$A$1723,C$1,Data!$B$2:$B$1723,$A116))</f>
        <v>56799.5</v>
      </c>
      <c r="D116" s="1">
        <f>IF(COUNTIFS(Data!$A$2:$A$1723,D$1,Data!$B$2:$B$1723,$A116)=0,"",SUMIFS(Data!$F$2:$F$1723,Data!$A$2:$A$1723,D$1,Data!$B$2:$B$1723,$A116))</f>
        <v>16538.05</v>
      </c>
      <c r="E116" s="1">
        <f>IF(COUNTIFS(Data!$A$2:$A$1723,E$1,Data!$B$2:$B$1723,$A116)=0,"",SUMIFS(Data!$F$2:$F$1723,Data!$A$2:$A$1723,E$1,Data!$B$2:$B$1723,$A116))</f>
        <v>55703.9</v>
      </c>
      <c r="F116" s="1">
        <f>IF(COUNTIFS(Data!$A$2:$A$1723,F$1,Data!$B$2:$B$1723,$A116)=0,"",SUMIFS(Data!$F$2:$F$1723,Data!$A$2:$A$1723,F$1,Data!$B$2:$B$1723,$A116))</f>
        <v>31565.8</v>
      </c>
      <c r="G116" s="1">
        <f>IF(COUNTIFS(Data!$A$2:$A$1723,G$1,Data!$B$2:$B$1723,$A116)=0,"",SUMIFS(Data!$F$2:$F$1723,Data!$A$2:$A$1723,G$1,Data!$B$2:$B$1723,$A116))</f>
        <v>47704.25</v>
      </c>
      <c r="H116" s="1">
        <f>IF(COUNTIFS(Data!$A$2:$A$1723,H$1,Data!$B$2:$B$1723,$A116)=0,"",SUMIFS(Data!$F$2:$F$1723,Data!$A$2:$A$1723,H$1,Data!$B$2:$B$1723,$A116))</f>
        <v>26002.95</v>
      </c>
    </row>
    <row r="117" spans="1:8" x14ac:dyDescent="0.25">
      <c r="A117" s="21">
        <v>46121</v>
      </c>
      <c r="B117" s="1">
        <f>IF(COUNTIFS(Data!$A$2:$A$1723,B$1,Data!$B$2:$B$1723,$A117)=0,"",SUMIFS(Data!$F$2:$F$1723,Data!$A$2:$A$1723,B$1,Data!$B$2:$B$1723,$A117))</f>
        <v>23775.1</v>
      </c>
      <c r="C117" s="1">
        <f>IF(COUNTIFS(Data!$A$2:$A$1723,C$1,Data!$B$2:$B$1723,$A117)=0,"",SUMIFS(Data!$F$2:$F$1723,Data!$A$2:$A$1723,C$1,Data!$B$2:$B$1723,$A117))</f>
        <v>56978.75</v>
      </c>
      <c r="D117" s="1">
        <f>IF(COUNTIFS(Data!$A$2:$A$1723,D$1,Data!$B$2:$B$1723,$A117)=0,"",SUMIFS(Data!$F$2:$F$1723,Data!$A$2:$A$1723,D$1,Data!$B$2:$B$1723,$A117))</f>
        <v>16566</v>
      </c>
      <c r="E117" s="1">
        <f>IF(COUNTIFS(Data!$A$2:$A$1723,E$1,Data!$B$2:$B$1723,$A117)=0,"",SUMIFS(Data!$F$2:$F$1723,Data!$A$2:$A$1723,E$1,Data!$B$2:$B$1723,$A117))</f>
        <v>54821.7</v>
      </c>
      <c r="F117" s="1">
        <f>IF(COUNTIFS(Data!$A$2:$A$1723,F$1,Data!$B$2:$B$1723,$A117)=0,"",SUMIFS(Data!$F$2:$F$1723,Data!$A$2:$A$1723,F$1,Data!$B$2:$B$1723,$A117))</f>
        <v>31636.2</v>
      </c>
      <c r="G117" s="1">
        <f>IF(COUNTIFS(Data!$A$2:$A$1723,G$1,Data!$B$2:$B$1723,$A117)=0,"",SUMIFS(Data!$F$2:$F$1723,Data!$A$2:$A$1723,G$1,Data!$B$2:$B$1723,$A117))</f>
        <v>47640.7</v>
      </c>
      <c r="H117" s="1">
        <f>IF(COUNTIFS(Data!$A$2:$A$1723,H$1,Data!$B$2:$B$1723,$A117)=0,"",SUMIFS(Data!$F$2:$F$1723,Data!$A$2:$A$1723,H$1,Data!$B$2:$B$1723,$A117))</f>
        <v>25901.9</v>
      </c>
    </row>
    <row r="118" spans="1:8" x14ac:dyDescent="0.25">
      <c r="A118" s="21">
        <v>46122</v>
      </c>
      <c r="B118" s="1">
        <f>IF(COUNTIFS(Data!$A$2:$A$1723,B$1,Data!$B$2:$B$1723,$A118)=0,"",SUMIFS(Data!$F$2:$F$1723,Data!$A$2:$A$1723,B$1,Data!$B$2:$B$1723,$A118))</f>
        <v>24050.6</v>
      </c>
      <c r="C118" s="1">
        <f>IF(COUNTIFS(Data!$A$2:$A$1723,C$1,Data!$B$2:$B$1723,$A118)=0,"",SUMIFS(Data!$F$2:$F$1723,Data!$A$2:$A$1723,C$1,Data!$B$2:$B$1723,$A118))</f>
        <v>57843.95</v>
      </c>
      <c r="D118" s="1">
        <f>IF(COUNTIFS(Data!$A$2:$A$1723,D$1,Data!$B$2:$B$1723,$A118)=0,"",SUMIFS(Data!$F$2:$F$1723,Data!$A$2:$A$1723,D$1,Data!$B$2:$B$1723,$A118))</f>
        <v>16840.099999999999</v>
      </c>
      <c r="E118" s="1">
        <f>IF(COUNTIFS(Data!$A$2:$A$1723,E$1,Data!$B$2:$B$1723,$A118)=0,"",SUMIFS(Data!$F$2:$F$1723,Data!$A$2:$A$1723,E$1,Data!$B$2:$B$1723,$A118))</f>
        <v>55912.75</v>
      </c>
      <c r="F118" s="1">
        <f>IF(COUNTIFS(Data!$A$2:$A$1723,F$1,Data!$B$2:$B$1723,$A118)=0,"",SUMIFS(Data!$F$2:$F$1723,Data!$A$2:$A$1723,F$1,Data!$B$2:$B$1723,$A118))</f>
        <v>31030.6</v>
      </c>
      <c r="G118" s="1">
        <f>IF(COUNTIFS(Data!$A$2:$A$1723,G$1,Data!$B$2:$B$1723,$A118)=0,"",SUMIFS(Data!$F$2:$F$1723,Data!$A$2:$A$1723,G$1,Data!$B$2:$B$1723,$A118))</f>
        <v>48194.05</v>
      </c>
      <c r="H118" s="1">
        <f>IF(COUNTIFS(Data!$A$2:$A$1723,H$1,Data!$B$2:$B$1723,$A118)=0,"",SUMIFS(Data!$F$2:$F$1723,Data!$A$2:$A$1723,H$1,Data!$B$2:$B$1723,$A118))</f>
        <v>26640.9</v>
      </c>
    </row>
    <row r="119" spans="1:8" x14ac:dyDescent="0.25">
      <c r="A119" s="21">
        <v>46125</v>
      </c>
      <c r="B119" s="1">
        <f>IF(COUNTIFS(Data!$A$2:$A$1723,B$1,Data!$B$2:$B$1723,$A119)=0,"",SUMIFS(Data!$F$2:$F$1723,Data!$A$2:$A$1723,B$1,Data!$B$2:$B$1723,$A119))</f>
        <v>23842.65</v>
      </c>
      <c r="C119" s="1">
        <f>IF(COUNTIFS(Data!$A$2:$A$1723,C$1,Data!$B$2:$B$1723,$A119)=0,"",SUMIFS(Data!$F$2:$F$1723,Data!$A$2:$A$1723,C$1,Data!$B$2:$B$1723,$A119))</f>
        <v>57513.3</v>
      </c>
      <c r="D119" s="1">
        <f>IF(COUNTIFS(Data!$A$2:$A$1723,D$1,Data!$B$2:$B$1723,$A119)=0,"",SUMIFS(Data!$F$2:$F$1723,Data!$A$2:$A$1723,D$1,Data!$B$2:$B$1723,$A119))</f>
        <v>16762</v>
      </c>
      <c r="E119" s="1">
        <f>IF(COUNTIFS(Data!$A$2:$A$1723,E$1,Data!$B$2:$B$1723,$A119)=0,"",SUMIFS(Data!$F$2:$F$1723,Data!$A$2:$A$1723,E$1,Data!$B$2:$B$1723,$A119))</f>
        <v>55605.05</v>
      </c>
      <c r="F119" s="1">
        <f>IF(COUNTIFS(Data!$A$2:$A$1723,F$1,Data!$B$2:$B$1723,$A119)=0,"",SUMIFS(Data!$F$2:$F$1723,Data!$A$2:$A$1723,F$1,Data!$B$2:$B$1723,$A119))</f>
        <v>30669.8</v>
      </c>
      <c r="G119" s="1">
        <f>IF(COUNTIFS(Data!$A$2:$A$1723,G$1,Data!$B$2:$B$1723,$A119)=0,"",SUMIFS(Data!$F$2:$F$1723,Data!$A$2:$A$1723,G$1,Data!$B$2:$B$1723,$A119))</f>
        <v>47570.400000000001</v>
      </c>
      <c r="H119" s="1">
        <f>IF(COUNTIFS(Data!$A$2:$A$1723,H$1,Data!$B$2:$B$1723,$A119)=0,"",SUMIFS(Data!$F$2:$F$1723,Data!$A$2:$A$1723,H$1,Data!$B$2:$B$1723,$A119))</f>
        <v>26084.55</v>
      </c>
    </row>
    <row r="120" spans="1:8" x14ac:dyDescent="0.25">
      <c r="A120" s="21">
        <v>46127</v>
      </c>
      <c r="B120" s="1">
        <f>IF(COUNTIFS(Data!$A$2:$A$1723,B$1,Data!$B$2:$B$1723,$A120)=0,"",SUMIFS(Data!$F$2:$F$1723,Data!$A$2:$A$1723,B$1,Data!$B$2:$B$1723,$A120))</f>
        <v>24231.3</v>
      </c>
      <c r="C120" s="1">
        <f>IF(COUNTIFS(Data!$A$2:$A$1723,C$1,Data!$B$2:$B$1723,$A120)=0,"",SUMIFS(Data!$F$2:$F$1723,Data!$A$2:$A$1723,C$1,Data!$B$2:$B$1723,$A120))</f>
        <v>58777.75</v>
      </c>
      <c r="D120" s="1">
        <f>IF(COUNTIFS(Data!$A$2:$A$1723,D$1,Data!$B$2:$B$1723,$A120)=0,"",SUMIFS(Data!$F$2:$F$1723,Data!$A$2:$A$1723,D$1,Data!$B$2:$B$1723,$A120))</f>
        <v>17156.400000000001</v>
      </c>
      <c r="E120" s="1">
        <f>IF(COUNTIFS(Data!$A$2:$A$1723,E$1,Data!$B$2:$B$1723,$A120)=0,"",SUMIFS(Data!$F$2:$F$1723,Data!$A$2:$A$1723,E$1,Data!$B$2:$B$1723,$A120))</f>
        <v>56301.95</v>
      </c>
      <c r="F120" s="1">
        <f>IF(COUNTIFS(Data!$A$2:$A$1723,F$1,Data!$B$2:$B$1723,$A120)=0,"",SUMIFS(Data!$F$2:$F$1723,Data!$A$2:$A$1723,F$1,Data!$B$2:$B$1723,$A120))</f>
        <v>31539.75</v>
      </c>
      <c r="G120" s="1">
        <f>IF(COUNTIFS(Data!$A$2:$A$1723,G$1,Data!$B$2:$B$1723,$A120)=0,"",SUMIFS(Data!$F$2:$F$1723,Data!$A$2:$A$1723,G$1,Data!$B$2:$B$1723,$A120))</f>
        <v>48290.400000000001</v>
      </c>
      <c r="H120" s="1">
        <f>IF(COUNTIFS(Data!$A$2:$A$1723,H$1,Data!$B$2:$B$1723,$A120)=0,"",SUMIFS(Data!$F$2:$F$1723,Data!$A$2:$A$1723,H$1,Data!$B$2:$B$1723,$A120))</f>
        <v>26483.1</v>
      </c>
    </row>
    <row r="121" spans="1:8" x14ac:dyDescent="0.25">
      <c r="A121" s="21">
        <v>46128</v>
      </c>
      <c r="B121" s="1">
        <f>IF(COUNTIFS(Data!$A$2:$A$1723,B$1,Data!$B$2:$B$1723,$A121)=0,"",SUMIFS(Data!$F$2:$F$1723,Data!$A$2:$A$1723,B$1,Data!$B$2:$B$1723,$A121))</f>
        <v>24196.75</v>
      </c>
      <c r="C121" s="1">
        <f>IF(COUNTIFS(Data!$A$2:$A$1723,C$1,Data!$B$2:$B$1723,$A121)=0,"",SUMIFS(Data!$F$2:$F$1723,Data!$A$2:$A$1723,C$1,Data!$B$2:$B$1723,$A121))</f>
        <v>59146.75</v>
      </c>
      <c r="D121" s="1">
        <f>IF(COUNTIFS(Data!$A$2:$A$1723,D$1,Data!$B$2:$B$1723,$A121)=0,"",SUMIFS(Data!$F$2:$F$1723,Data!$A$2:$A$1723,D$1,Data!$B$2:$B$1723,$A121))</f>
        <v>17308.849999999999</v>
      </c>
      <c r="E121" s="1">
        <f>IF(COUNTIFS(Data!$A$2:$A$1723,E$1,Data!$B$2:$B$1723,$A121)=0,"",SUMIFS(Data!$F$2:$F$1723,Data!$A$2:$A$1723,E$1,Data!$B$2:$B$1723,$A121))</f>
        <v>56086.400000000001</v>
      </c>
      <c r="F121" s="1">
        <f>IF(COUNTIFS(Data!$A$2:$A$1723,F$1,Data!$B$2:$B$1723,$A121)=0,"",SUMIFS(Data!$F$2:$F$1723,Data!$A$2:$A$1723,F$1,Data!$B$2:$B$1723,$A121))</f>
        <v>31817.5</v>
      </c>
      <c r="G121" s="1">
        <f>IF(COUNTIFS(Data!$A$2:$A$1723,G$1,Data!$B$2:$B$1723,$A121)=0,"",SUMIFS(Data!$F$2:$F$1723,Data!$A$2:$A$1723,G$1,Data!$B$2:$B$1723,$A121))</f>
        <v>48377.9</v>
      </c>
      <c r="H121" s="1">
        <f>IF(COUNTIFS(Data!$A$2:$A$1723,H$1,Data!$B$2:$B$1723,$A121)=0,"",SUMIFS(Data!$F$2:$F$1723,Data!$A$2:$A$1723,H$1,Data!$B$2:$B$1723,$A121))</f>
        <v>26382.75</v>
      </c>
    </row>
    <row r="122" spans="1:8" x14ac:dyDescent="0.25">
      <c r="A122" s="21">
        <v>46129</v>
      </c>
      <c r="B122" s="1">
        <f>IF(COUNTIFS(Data!$A$2:$A$1723,B$1,Data!$B$2:$B$1723,$A122)=0,"",SUMIFS(Data!$F$2:$F$1723,Data!$A$2:$A$1723,B$1,Data!$B$2:$B$1723,$A122))</f>
        <v>24353.55</v>
      </c>
      <c r="C122" s="1">
        <f>IF(COUNTIFS(Data!$A$2:$A$1723,C$1,Data!$B$2:$B$1723,$A122)=0,"",SUMIFS(Data!$F$2:$F$1723,Data!$A$2:$A$1723,C$1,Data!$B$2:$B$1723,$A122))</f>
        <v>59898.2</v>
      </c>
      <c r="D122" s="1">
        <f>IF(COUNTIFS(Data!$A$2:$A$1723,D$1,Data!$B$2:$B$1723,$A122)=0,"",SUMIFS(Data!$F$2:$F$1723,Data!$A$2:$A$1723,D$1,Data!$B$2:$B$1723,$A122))</f>
        <v>17565.7</v>
      </c>
      <c r="E122" s="1">
        <f>IF(COUNTIFS(Data!$A$2:$A$1723,E$1,Data!$B$2:$B$1723,$A122)=0,"",SUMIFS(Data!$F$2:$F$1723,Data!$A$2:$A$1723,E$1,Data!$B$2:$B$1723,$A122))</f>
        <v>56565.7</v>
      </c>
      <c r="F122" s="1">
        <f>IF(COUNTIFS(Data!$A$2:$A$1723,F$1,Data!$B$2:$B$1723,$A122)=0,"",SUMIFS(Data!$F$2:$F$1723,Data!$A$2:$A$1723,F$1,Data!$B$2:$B$1723,$A122))</f>
        <v>31809.85</v>
      </c>
      <c r="G122" s="1">
        <f>IF(COUNTIFS(Data!$A$2:$A$1723,G$1,Data!$B$2:$B$1723,$A122)=0,"",SUMIFS(Data!$F$2:$F$1723,Data!$A$2:$A$1723,G$1,Data!$B$2:$B$1723,$A122))</f>
        <v>49657.75</v>
      </c>
      <c r="H122" s="1">
        <f>IF(COUNTIFS(Data!$A$2:$A$1723,H$1,Data!$B$2:$B$1723,$A122)=0,"",SUMIFS(Data!$F$2:$F$1723,Data!$A$2:$A$1723,H$1,Data!$B$2:$B$1723,$A122))</f>
        <v>26435</v>
      </c>
    </row>
    <row r="123" spans="1:8" x14ac:dyDescent="0.25">
      <c r="A123" s="21">
        <v>46132</v>
      </c>
      <c r="B123" s="1">
        <f>IF(COUNTIFS(Data!$A$2:$A$1723,B$1,Data!$B$2:$B$1723,$A123)=0,"",SUMIFS(Data!$F$2:$F$1723,Data!$A$2:$A$1723,B$1,Data!$B$2:$B$1723,$A123))</f>
        <v>24364.85</v>
      </c>
      <c r="C123" s="1">
        <f>IF(COUNTIFS(Data!$A$2:$A$1723,C$1,Data!$B$2:$B$1723,$A123)=0,"",SUMIFS(Data!$F$2:$F$1723,Data!$A$2:$A$1723,C$1,Data!$B$2:$B$1723,$A123))</f>
        <v>59790.75</v>
      </c>
      <c r="D123" s="1">
        <f>IF(COUNTIFS(Data!$A$2:$A$1723,D$1,Data!$B$2:$B$1723,$A123)=0,"",SUMIFS(Data!$F$2:$F$1723,Data!$A$2:$A$1723,D$1,Data!$B$2:$B$1723,$A123))</f>
        <v>17486.900000000001</v>
      </c>
      <c r="E123" s="1">
        <f>IF(COUNTIFS(Data!$A$2:$A$1723,E$1,Data!$B$2:$B$1723,$A123)=0,"",SUMIFS(Data!$F$2:$F$1723,Data!$A$2:$A$1723,E$1,Data!$B$2:$B$1723,$A123))</f>
        <v>56582.35</v>
      </c>
      <c r="F123" s="1">
        <f>IF(COUNTIFS(Data!$A$2:$A$1723,F$1,Data!$B$2:$B$1723,$A123)=0,"",SUMIFS(Data!$F$2:$F$1723,Data!$A$2:$A$1723,F$1,Data!$B$2:$B$1723,$A123))</f>
        <v>31585.75</v>
      </c>
      <c r="G123" s="1">
        <f>IF(COUNTIFS(Data!$A$2:$A$1723,G$1,Data!$B$2:$B$1723,$A123)=0,"",SUMIFS(Data!$F$2:$F$1723,Data!$A$2:$A$1723,G$1,Data!$B$2:$B$1723,$A123))</f>
        <v>49555.75</v>
      </c>
      <c r="H123" s="1">
        <f>IF(COUNTIFS(Data!$A$2:$A$1723,H$1,Data!$B$2:$B$1723,$A123)=0,"",SUMIFS(Data!$F$2:$F$1723,Data!$A$2:$A$1723,H$1,Data!$B$2:$B$1723,$A123))</f>
        <v>26522.3</v>
      </c>
    </row>
    <row r="124" spans="1:8" x14ac:dyDescent="0.25">
      <c r="A124" s="21">
        <v>46133</v>
      </c>
      <c r="B124" s="1">
        <f>IF(COUNTIFS(Data!$A$2:$A$1723,B$1,Data!$B$2:$B$1723,$A124)=0,"",SUMIFS(Data!$F$2:$F$1723,Data!$A$2:$A$1723,B$1,Data!$B$2:$B$1723,$A124))</f>
        <v>24576.6</v>
      </c>
      <c r="C124" s="1">
        <f>IF(COUNTIFS(Data!$A$2:$A$1723,C$1,Data!$B$2:$B$1723,$A124)=0,"",SUMIFS(Data!$F$2:$F$1723,Data!$A$2:$A$1723,C$1,Data!$B$2:$B$1723,$A124))</f>
        <v>60086.7</v>
      </c>
      <c r="D124" s="1">
        <f>IF(COUNTIFS(Data!$A$2:$A$1723,D$1,Data!$B$2:$B$1723,$A124)=0,"",SUMIFS(Data!$F$2:$F$1723,Data!$A$2:$A$1723,D$1,Data!$B$2:$B$1723,$A124))</f>
        <v>17641.5</v>
      </c>
      <c r="E124" s="1">
        <f>IF(COUNTIFS(Data!$A$2:$A$1723,E$1,Data!$B$2:$B$1723,$A124)=0,"",SUMIFS(Data!$F$2:$F$1723,Data!$A$2:$A$1723,E$1,Data!$B$2:$B$1723,$A124))</f>
        <v>57371.45</v>
      </c>
      <c r="F124" s="1">
        <f>IF(COUNTIFS(Data!$A$2:$A$1723,F$1,Data!$B$2:$B$1723,$A124)=0,"",SUMIFS(Data!$F$2:$F$1723,Data!$A$2:$A$1723,F$1,Data!$B$2:$B$1723,$A124))</f>
        <v>31729.1</v>
      </c>
      <c r="G124" s="1">
        <f>IF(COUNTIFS(Data!$A$2:$A$1723,G$1,Data!$B$2:$B$1723,$A124)=0,"",SUMIFS(Data!$F$2:$F$1723,Data!$A$2:$A$1723,G$1,Data!$B$2:$B$1723,$A124))</f>
        <v>50820.1</v>
      </c>
      <c r="H124" s="1">
        <f>IF(COUNTIFS(Data!$A$2:$A$1723,H$1,Data!$B$2:$B$1723,$A124)=0,"",SUMIFS(Data!$F$2:$F$1723,Data!$A$2:$A$1723,H$1,Data!$B$2:$B$1723,$A124))</f>
        <v>26625.200000000001</v>
      </c>
    </row>
    <row r="125" spans="1:8" x14ac:dyDescent="0.25">
      <c r="A125" s="21">
        <v>46134</v>
      </c>
      <c r="B125" s="1">
        <f>IF(COUNTIFS(Data!$A$2:$A$1723,B$1,Data!$B$2:$B$1723,$A125)=0,"",SUMIFS(Data!$F$2:$F$1723,Data!$A$2:$A$1723,B$1,Data!$B$2:$B$1723,$A125))</f>
        <v>24378.1</v>
      </c>
      <c r="C125" s="1">
        <f>IF(COUNTIFS(Data!$A$2:$A$1723,C$1,Data!$B$2:$B$1723,$A125)=0,"",SUMIFS(Data!$F$2:$F$1723,Data!$A$2:$A$1723,C$1,Data!$B$2:$B$1723,$A125))</f>
        <v>60201.599999999999</v>
      </c>
      <c r="D125" s="1">
        <f>IF(COUNTIFS(Data!$A$2:$A$1723,D$1,Data!$B$2:$B$1723,$A125)=0,"",SUMIFS(Data!$F$2:$F$1723,Data!$A$2:$A$1723,D$1,Data!$B$2:$B$1723,$A125))</f>
        <v>17840.349999999999</v>
      </c>
      <c r="E125" s="1">
        <f>IF(COUNTIFS(Data!$A$2:$A$1723,E$1,Data!$B$2:$B$1723,$A125)=0,"",SUMIFS(Data!$F$2:$F$1723,Data!$A$2:$A$1723,E$1,Data!$B$2:$B$1723,$A125))</f>
        <v>57124.45</v>
      </c>
      <c r="F125" s="1">
        <f>IF(COUNTIFS(Data!$A$2:$A$1723,F$1,Data!$B$2:$B$1723,$A125)=0,"",SUMIFS(Data!$F$2:$F$1723,Data!$A$2:$A$1723,F$1,Data!$B$2:$B$1723,$A125))</f>
        <v>30496.25</v>
      </c>
      <c r="G125" s="1">
        <f>IF(COUNTIFS(Data!$A$2:$A$1723,G$1,Data!$B$2:$B$1723,$A125)=0,"",SUMIFS(Data!$F$2:$F$1723,Data!$A$2:$A$1723,G$1,Data!$B$2:$B$1723,$A125))</f>
        <v>51199</v>
      </c>
      <c r="H125" s="1">
        <f>IF(COUNTIFS(Data!$A$2:$A$1723,H$1,Data!$B$2:$B$1723,$A125)=0,"",SUMIFS(Data!$F$2:$F$1723,Data!$A$2:$A$1723,H$1,Data!$B$2:$B$1723,$A125))</f>
        <v>26450.25</v>
      </c>
    </row>
    <row r="126" spans="1:8" x14ac:dyDescent="0.25">
      <c r="A126" s="21">
        <v>46135</v>
      </c>
      <c r="B126" s="1">
        <f>IF(COUNTIFS(Data!$A$2:$A$1723,B$1,Data!$B$2:$B$1723,$A126)=0,"",SUMIFS(Data!$F$2:$F$1723,Data!$A$2:$A$1723,B$1,Data!$B$2:$B$1723,$A126))</f>
        <v>24173.05</v>
      </c>
      <c r="C126" s="1">
        <f>IF(COUNTIFS(Data!$A$2:$A$1723,C$1,Data!$B$2:$B$1723,$A126)=0,"",SUMIFS(Data!$F$2:$F$1723,Data!$A$2:$A$1723,C$1,Data!$B$2:$B$1723,$A126))</f>
        <v>59952.800000000003</v>
      </c>
      <c r="D126" s="1">
        <f>IF(COUNTIFS(Data!$A$2:$A$1723,D$1,Data!$B$2:$B$1723,$A126)=0,"",SUMIFS(Data!$F$2:$F$1723,Data!$A$2:$A$1723,D$1,Data!$B$2:$B$1723,$A126))</f>
        <v>17720.75</v>
      </c>
      <c r="E126" s="1">
        <f>IF(COUNTIFS(Data!$A$2:$A$1723,E$1,Data!$B$2:$B$1723,$A126)=0,"",SUMIFS(Data!$F$2:$F$1723,Data!$A$2:$A$1723,E$1,Data!$B$2:$B$1723,$A126))</f>
        <v>56305</v>
      </c>
      <c r="F126" s="1">
        <f>IF(COUNTIFS(Data!$A$2:$A$1723,F$1,Data!$B$2:$B$1723,$A126)=0,"",SUMIFS(Data!$F$2:$F$1723,Data!$A$2:$A$1723,F$1,Data!$B$2:$B$1723,$A126))</f>
        <v>30124.3</v>
      </c>
      <c r="G126" s="1">
        <f>IF(COUNTIFS(Data!$A$2:$A$1723,G$1,Data!$B$2:$B$1723,$A126)=0,"",SUMIFS(Data!$F$2:$F$1723,Data!$A$2:$A$1723,G$1,Data!$B$2:$B$1723,$A126))</f>
        <v>51140.5</v>
      </c>
      <c r="H126" s="1">
        <f>IF(COUNTIFS(Data!$A$2:$A$1723,H$1,Data!$B$2:$B$1723,$A126)=0,"",SUMIFS(Data!$F$2:$F$1723,Data!$A$2:$A$1723,H$1,Data!$B$2:$B$1723,$A126))</f>
        <v>25828.1</v>
      </c>
    </row>
    <row r="127" spans="1:8" x14ac:dyDescent="0.25">
      <c r="A127" s="21">
        <v>46136</v>
      </c>
      <c r="B127" s="1">
        <f>IF(COUNTIFS(Data!$A$2:$A$1723,B$1,Data!$B$2:$B$1723,$A127)=0,"",SUMIFS(Data!$F$2:$F$1723,Data!$A$2:$A$1723,B$1,Data!$B$2:$B$1723,$A127))</f>
        <v>23897.95</v>
      </c>
      <c r="C127" s="1">
        <f>IF(COUNTIFS(Data!$A$2:$A$1723,C$1,Data!$B$2:$B$1723,$A127)=0,"",SUMIFS(Data!$F$2:$F$1723,Data!$A$2:$A$1723,C$1,Data!$B$2:$B$1723,$A127))</f>
        <v>59374.8</v>
      </c>
      <c r="D127" s="1">
        <f>IF(COUNTIFS(Data!$A$2:$A$1723,D$1,Data!$B$2:$B$1723,$A127)=0,"",SUMIFS(Data!$F$2:$F$1723,Data!$A$2:$A$1723,D$1,Data!$B$2:$B$1723,$A127))</f>
        <v>17567.2</v>
      </c>
      <c r="E127" s="1">
        <f>IF(COUNTIFS(Data!$A$2:$A$1723,E$1,Data!$B$2:$B$1723,$A127)=0,"",SUMIFS(Data!$F$2:$F$1723,Data!$A$2:$A$1723,E$1,Data!$B$2:$B$1723,$A127))</f>
        <v>56089.75</v>
      </c>
      <c r="F127" s="1">
        <f>IF(COUNTIFS(Data!$A$2:$A$1723,F$1,Data!$B$2:$B$1723,$A127)=0,"",SUMIFS(Data!$F$2:$F$1723,Data!$A$2:$A$1723,F$1,Data!$B$2:$B$1723,$A127))</f>
        <v>28530.6</v>
      </c>
      <c r="G127" s="1">
        <f>IF(COUNTIFS(Data!$A$2:$A$1723,G$1,Data!$B$2:$B$1723,$A127)=0,"",SUMIFS(Data!$F$2:$F$1723,Data!$A$2:$A$1723,G$1,Data!$B$2:$B$1723,$A127))</f>
        <v>50766.25</v>
      </c>
      <c r="H127" s="1">
        <f>IF(COUNTIFS(Data!$A$2:$A$1723,H$1,Data!$B$2:$B$1723,$A127)=0,"",SUMIFS(Data!$F$2:$F$1723,Data!$A$2:$A$1723,H$1,Data!$B$2:$B$1723,$A127))</f>
        <v>25652.85</v>
      </c>
    </row>
    <row r="128" spans="1:8" x14ac:dyDescent="0.25">
      <c r="A128" s="21">
        <v>46139</v>
      </c>
      <c r="B128" s="1">
        <f>IF(COUNTIFS(Data!$A$2:$A$1723,B$1,Data!$B$2:$B$1723,$A128)=0,"",SUMIFS(Data!$F$2:$F$1723,Data!$A$2:$A$1723,B$1,Data!$B$2:$B$1723,$A128))</f>
        <v>24092.7</v>
      </c>
      <c r="C128" s="1">
        <f>IF(COUNTIFS(Data!$A$2:$A$1723,C$1,Data!$B$2:$B$1723,$A128)=0,"",SUMIFS(Data!$F$2:$F$1723,Data!$A$2:$A$1723,C$1,Data!$B$2:$B$1723,$A128))</f>
        <v>60248.35</v>
      </c>
      <c r="D128" s="1">
        <f>IF(COUNTIFS(Data!$A$2:$A$1723,D$1,Data!$B$2:$B$1723,$A128)=0,"",SUMIFS(Data!$F$2:$F$1723,Data!$A$2:$A$1723,D$1,Data!$B$2:$B$1723,$A128))</f>
        <v>17900.650000000001</v>
      </c>
      <c r="E128" s="1">
        <f>IF(COUNTIFS(Data!$A$2:$A$1723,E$1,Data!$B$2:$B$1723,$A128)=0,"",SUMIFS(Data!$F$2:$F$1723,Data!$A$2:$A$1723,E$1,Data!$B$2:$B$1723,$A128))</f>
        <v>56264.3</v>
      </c>
      <c r="F128" s="1">
        <f>IF(COUNTIFS(Data!$A$2:$A$1723,F$1,Data!$B$2:$B$1723,$A128)=0,"",SUMIFS(Data!$F$2:$F$1723,Data!$A$2:$A$1723,F$1,Data!$B$2:$B$1723,$A128))</f>
        <v>29159.15</v>
      </c>
      <c r="G128" s="1">
        <f>IF(COUNTIFS(Data!$A$2:$A$1723,G$1,Data!$B$2:$B$1723,$A128)=0,"",SUMIFS(Data!$F$2:$F$1723,Data!$A$2:$A$1723,G$1,Data!$B$2:$B$1723,$A128))</f>
        <v>51046.5</v>
      </c>
      <c r="H128" s="1">
        <f>IF(COUNTIFS(Data!$A$2:$A$1723,H$1,Data!$B$2:$B$1723,$A128)=0,"",SUMIFS(Data!$F$2:$F$1723,Data!$A$2:$A$1723,H$1,Data!$B$2:$B$1723,$A128))</f>
        <v>26053.15</v>
      </c>
    </row>
    <row r="129" spans="1:8" x14ac:dyDescent="0.25">
      <c r="A129" s="21">
        <v>46140</v>
      </c>
      <c r="B129" s="1">
        <f>IF(COUNTIFS(Data!$A$2:$A$1723,B$1,Data!$B$2:$B$1723,$A129)=0,"",SUMIFS(Data!$F$2:$F$1723,Data!$A$2:$A$1723,B$1,Data!$B$2:$B$1723,$A129))</f>
        <v>23995.7</v>
      </c>
      <c r="C129" s="1">
        <f>IF(COUNTIFS(Data!$A$2:$A$1723,C$1,Data!$B$2:$B$1723,$A129)=0,"",SUMIFS(Data!$F$2:$F$1723,Data!$A$2:$A$1723,C$1,Data!$B$2:$B$1723,$A129))</f>
        <v>60419.4</v>
      </c>
      <c r="D129" s="1">
        <f>IF(COUNTIFS(Data!$A$2:$A$1723,D$1,Data!$B$2:$B$1723,$A129)=0,"",SUMIFS(Data!$F$2:$F$1723,Data!$A$2:$A$1723,D$1,Data!$B$2:$B$1723,$A129))</f>
        <v>17976.099999999999</v>
      </c>
      <c r="E129" s="1">
        <f>IF(COUNTIFS(Data!$A$2:$A$1723,E$1,Data!$B$2:$B$1723,$A129)=0,"",SUMIFS(Data!$F$2:$F$1723,Data!$A$2:$A$1723,E$1,Data!$B$2:$B$1723,$A129))</f>
        <v>55400.35</v>
      </c>
      <c r="F129" s="1">
        <f>IF(COUNTIFS(Data!$A$2:$A$1723,F$1,Data!$B$2:$B$1723,$A129)=0,"",SUMIFS(Data!$F$2:$F$1723,Data!$A$2:$A$1723,F$1,Data!$B$2:$B$1723,$A129))</f>
        <v>28959.9</v>
      </c>
      <c r="G129" s="1">
        <f>IF(COUNTIFS(Data!$A$2:$A$1723,G$1,Data!$B$2:$B$1723,$A129)=0,"",SUMIFS(Data!$F$2:$F$1723,Data!$A$2:$A$1723,G$1,Data!$B$2:$B$1723,$A129))</f>
        <v>50882.75</v>
      </c>
      <c r="H129" s="1">
        <f>IF(COUNTIFS(Data!$A$2:$A$1723,H$1,Data!$B$2:$B$1723,$A129)=0,"",SUMIFS(Data!$F$2:$F$1723,Data!$A$2:$A$1723,H$1,Data!$B$2:$B$1723,$A129))</f>
        <v>25790.35</v>
      </c>
    </row>
    <row r="130" spans="1:8" x14ac:dyDescent="0.25">
      <c r="A130" s="21">
        <v>46141</v>
      </c>
      <c r="B130" s="1">
        <f>IF(COUNTIFS(Data!$A$2:$A$1723,B$1,Data!$B$2:$B$1723,$A130)=0,"",SUMIFS(Data!$F$2:$F$1723,Data!$A$2:$A$1723,B$1,Data!$B$2:$B$1723,$A130))</f>
        <v>24177.65</v>
      </c>
      <c r="C130" s="1">
        <f>IF(COUNTIFS(Data!$A$2:$A$1723,C$1,Data!$B$2:$B$1723,$A130)=0,"",SUMIFS(Data!$F$2:$F$1723,Data!$A$2:$A$1723,C$1,Data!$B$2:$B$1723,$A130))</f>
        <v>60376.9</v>
      </c>
      <c r="D130" s="1">
        <f>IF(COUNTIFS(Data!$A$2:$A$1723,D$1,Data!$B$2:$B$1723,$A130)=0,"",SUMIFS(Data!$F$2:$F$1723,Data!$A$2:$A$1723,D$1,Data!$B$2:$B$1723,$A130))</f>
        <v>18093.150000000001</v>
      </c>
      <c r="E130" s="1">
        <f>IF(COUNTIFS(Data!$A$2:$A$1723,E$1,Data!$B$2:$B$1723,$A130)=0,"",SUMIFS(Data!$F$2:$F$1723,Data!$A$2:$A$1723,E$1,Data!$B$2:$B$1723,$A130))</f>
        <v>55403.6</v>
      </c>
      <c r="F130" s="1">
        <f>IF(COUNTIFS(Data!$A$2:$A$1723,F$1,Data!$B$2:$B$1723,$A130)=0,"",SUMIFS(Data!$F$2:$F$1723,Data!$A$2:$A$1723,F$1,Data!$B$2:$B$1723,$A130))</f>
        <v>29245.200000000001</v>
      </c>
      <c r="G130" s="1">
        <f>IF(COUNTIFS(Data!$A$2:$A$1723,G$1,Data!$B$2:$B$1723,$A130)=0,"",SUMIFS(Data!$F$2:$F$1723,Data!$A$2:$A$1723,G$1,Data!$B$2:$B$1723,$A130))</f>
        <v>51771.8</v>
      </c>
      <c r="H130" s="1">
        <f>IF(COUNTIFS(Data!$A$2:$A$1723,H$1,Data!$B$2:$B$1723,$A130)=0,"",SUMIFS(Data!$F$2:$F$1723,Data!$A$2:$A$1723,H$1,Data!$B$2:$B$1723,$A130))</f>
        <v>26085.75</v>
      </c>
    </row>
    <row r="131" spans="1:8" x14ac:dyDescent="0.25">
      <c r="A131" s="21">
        <v>46142</v>
      </c>
      <c r="B131" s="1">
        <f>IF(COUNTIFS(Data!$A$2:$A$1723,B$1,Data!$B$2:$B$1723,$A131)=0,"",SUMIFS(Data!$F$2:$F$1723,Data!$A$2:$A$1723,B$1,Data!$B$2:$B$1723,$A131))</f>
        <v>23997.55</v>
      </c>
      <c r="C131" s="1">
        <f>IF(COUNTIFS(Data!$A$2:$A$1723,C$1,Data!$B$2:$B$1723,$A131)=0,"",SUMIFS(Data!$F$2:$F$1723,Data!$A$2:$A$1723,C$1,Data!$B$2:$B$1723,$A131))</f>
        <v>59784.85</v>
      </c>
      <c r="D131" s="1">
        <f>IF(COUNTIFS(Data!$A$2:$A$1723,D$1,Data!$B$2:$B$1723,$A131)=0,"",SUMIFS(Data!$F$2:$F$1723,Data!$A$2:$A$1723,D$1,Data!$B$2:$B$1723,$A131))</f>
        <v>18007.150000000001</v>
      </c>
      <c r="E131" s="1">
        <f>IF(COUNTIFS(Data!$A$2:$A$1723,E$1,Data!$B$2:$B$1723,$A131)=0,"",SUMIFS(Data!$F$2:$F$1723,Data!$A$2:$A$1723,E$1,Data!$B$2:$B$1723,$A131))</f>
        <v>54863.35</v>
      </c>
      <c r="F131" s="1">
        <f>IF(COUNTIFS(Data!$A$2:$A$1723,F$1,Data!$B$2:$B$1723,$A131)=0,"",SUMIFS(Data!$F$2:$F$1723,Data!$A$2:$A$1723,F$1,Data!$B$2:$B$1723,$A131))</f>
        <v>29353.9</v>
      </c>
      <c r="G131" s="1">
        <f>IF(COUNTIFS(Data!$A$2:$A$1723,G$1,Data!$B$2:$B$1723,$A131)=0,"",SUMIFS(Data!$F$2:$F$1723,Data!$A$2:$A$1723,G$1,Data!$B$2:$B$1723,$A131))</f>
        <v>51072.1</v>
      </c>
      <c r="H131" s="1">
        <f>IF(COUNTIFS(Data!$A$2:$A$1723,H$1,Data!$B$2:$B$1723,$A131)=0,"",SUMIFS(Data!$F$2:$F$1723,Data!$A$2:$A$1723,H$1,Data!$B$2:$B$1723,$A131))</f>
        <v>25917.599999999999</v>
      </c>
    </row>
    <row r="132" spans="1:8" x14ac:dyDescent="0.25">
      <c r="A132" s="21">
        <v>46146</v>
      </c>
      <c r="B132" s="1">
        <f>IF(COUNTIFS(Data!$A$2:$A$1723,B$1,Data!$B$2:$B$1723,$A132)=0,"",SUMIFS(Data!$F$2:$F$1723,Data!$A$2:$A$1723,B$1,Data!$B$2:$B$1723,$A132))</f>
        <v>24119.3</v>
      </c>
      <c r="C132" s="1">
        <f>IF(COUNTIFS(Data!$A$2:$A$1723,C$1,Data!$B$2:$B$1723,$A132)=0,"",SUMIFS(Data!$F$2:$F$1723,Data!$A$2:$A$1723,C$1,Data!$B$2:$B$1723,$A132))</f>
        <v>60159.75</v>
      </c>
      <c r="D132" s="1">
        <f>IF(COUNTIFS(Data!$A$2:$A$1723,D$1,Data!$B$2:$B$1723,$A132)=0,"",SUMIFS(Data!$F$2:$F$1723,Data!$A$2:$A$1723,D$1,Data!$B$2:$B$1723,$A132))</f>
        <v>18132.5</v>
      </c>
      <c r="E132" s="1">
        <f>IF(COUNTIFS(Data!$A$2:$A$1723,E$1,Data!$B$2:$B$1723,$A132)=0,"",SUMIFS(Data!$F$2:$F$1723,Data!$A$2:$A$1723,E$1,Data!$B$2:$B$1723,$A132))</f>
        <v>54878.5</v>
      </c>
      <c r="F132" s="1">
        <f>IF(COUNTIFS(Data!$A$2:$A$1723,F$1,Data!$B$2:$B$1723,$A132)=0,"",SUMIFS(Data!$F$2:$F$1723,Data!$A$2:$A$1723,F$1,Data!$B$2:$B$1723,$A132))</f>
        <v>29076.1</v>
      </c>
      <c r="G132" s="1">
        <f>IF(COUNTIFS(Data!$A$2:$A$1723,G$1,Data!$B$2:$B$1723,$A132)=0,"",SUMIFS(Data!$F$2:$F$1723,Data!$A$2:$A$1723,G$1,Data!$B$2:$B$1723,$A132))</f>
        <v>51266</v>
      </c>
      <c r="H132" s="1">
        <f>IF(COUNTIFS(Data!$A$2:$A$1723,H$1,Data!$B$2:$B$1723,$A132)=0,"",SUMIFS(Data!$F$2:$F$1723,Data!$A$2:$A$1723,H$1,Data!$B$2:$B$1723,$A132))</f>
        <v>26027.7</v>
      </c>
    </row>
    <row r="133" spans="1:8" x14ac:dyDescent="0.25">
      <c r="A133" s="21">
        <v>46147</v>
      </c>
      <c r="B133" s="1">
        <f>IF(COUNTIFS(Data!$A$2:$A$1723,B$1,Data!$B$2:$B$1723,$A133)=0,"",SUMIFS(Data!$F$2:$F$1723,Data!$A$2:$A$1723,B$1,Data!$B$2:$B$1723,$A133))</f>
        <v>24032.799999999999</v>
      </c>
      <c r="C133" s="1">
        <f>IF(COUNTIFS(Data!$A$2:$A$1723,C$1,Data!$B$2:$B$1723,$A133)=0,"",SUMIFS(Data!$F$2:$F$1723,Data!$A$2:$A$1723,C$1,Data!$B$2:$B$1723,$A133))</f>
        <v>60264.5</v>
      </c>
      <c r="D133" s="1">
        <f>IF(COUNTIFS(Data!$A$2:$A$1723,D$1,Data!$B$2:$B$1723,$A133)=0,"",SUMIFS(Data!$F$2:$F$1723,Data!$A$2:$A$1723,D$1,Data!$B$2:$B$1723,$A133))</f>
        <v>18182.400000000001</v>
      </c>
      <c r="E133" s="1">
        <f>IF(COUNTIFS(Data!$A$2:$A$1723,E$1,Data!$B$2:$B$1723,$A133)=0,"",SUMIFS(Data!$F$2:$F$1723,Data!$A$2:$A$1723,E$1,Data!$B$2:$B$1723,$A133))</f>
        <v>54547.05</v>
      </c>
      <c r="F133" s="1">
        <f>IF(COUNTIFS(Data!$A$2:$A$1723,F$1,Data!$B$2:$B$1723,$A133)=0,"",SUMIFS(Data!$F$2:$F$1723,Data!$A$2:$A$1723,F$1,Data!$B$2:$B$1723,$A133))</f>
        <v>29107.3</v>
      </c>
      <c r="G133" s="1">
        <f>IF(COUNTIFS(Data!$A$2:$A$1723,G$1,Data!$B$2:$B$1723,$A133)=0,"",SUMIFS(Data!$F$2:$F$1723,Data!$A$2:$A$1723,G$1,Data!$B$2:$B$1723,$A133))</f>
        <v>51593.55</v>
      </c>
      <c r="H133" s="1">
        <f>IF(COUNTIFS(Data!$A$2:$A$1723,H$1,Data!$B$2:$B$1723,$A133)=0,"",SUMIFS(Data!$F$2:$F$1723,Data!$A$2:$A$1723,H$1,Data!$B$2:$B$1723,$A133))</f>
        <v>26192.1</v>
      </c>
    </row>
    <row r="134" spans="1:8" x14ac:dyDescent="0.25">
      <c r="A134" s="21">
        <v>46148</v>
      </c>
      <c r="B134" s="1">
        <f>IF(COUNTIFS(Data!$A$2:$A$1723,B$1,Data!$B$2:$B$1723,$A134)=0,"",SUMIFS(Data!$F$2:$F$1723,Data!$A$2:$A$1723,B$1,Data!$B$2:$B$1723,$A134))</f>
        <v>24330.95</v>
      </c>
      <c r="C134" s="1">
        <f>IF(COUNTIFS(Data!$A$2:$A$1723,C$1,Data!$B$2:$B$1723,$A134)=0,"",SUMIFS(Data!$F$2:$F$1723,Data!$A$2:$A$1723,C$1,Data!$B$2:$B$1723,$A134))</f>
        <v>61326.7</v>
      </c>
      <c r="D134" s="1">
        <f>IF(COUNTIFS(Data!$A$2:$A$1723,D$1,Data!$B$2:$B$1723,$A134)=0,"",SUMIFS(Data!$F$2:$F$1723,Data!$A$2:$A$1723,D$1,Data!$B$2:$B$1723,$A134))</f>
        <v>18534.099999999999</v>
      </c>
      <c r="E134" s="1">
        <f>IF(COUNTIFS(Data!$A$2:$A$1723,E$1,Data!$B$2:$B$1723,$A134)=0,"",SUMIFS(Data!$F$2:$F$1723,Data!$A$2:$A$1723,E$1,Data!$B$2:$B$1723,$A134))</f>
        <v>55981.05</v>
      </c>
      <c r="F134" s="1">
        <f>IF(COUNTIFS(Data!$A$2:$A$1723,F$1,Data!$B$2:$B$1723,$A134)=0,"",SUMIFS(Data!$F$2:$F$1723,Data!$A$2:$A$1723,F$1,Data!$B$2:$B$1723,$A134))</f>
        <v>29267.95</v>
      </c>
      <c r="G134" s="1">
        <f>IF(COUNTIFS(Data!$A$2:$A$1723,G$1,Data!$B$2:$B$1723,$A134)=0,"",SUMIFS(Data!$F$2:$F$1723,Data!$A$2:$A$1723,G$1,Data!$B$2:$B$1723,$A134))</f>
        <v>51460.55</v>
      </c>
      <c r="H134" s="1">
        <f>IF(COUNTIFS(Data!$A$2:$A$1723,H$1,Data!$B$2:$B$1723,$A134)=0,"",SUMIFS(Data!$F$2:$F$1723,Data!$A$2:$A$1723,H$1,Data!$B$2:$B$1723,$A134))</f>
        <v>26823</v>
      </c>
    </row>
    <row r="135" spans="1:8" x14ac:dyDescent="0.25">
      <c r="A135" s="21">
        <v>46149</v>
      </c>
      <c r="B135" s="1">
        <f>IF(COUNTIFS(Data!$A$2:$A$1723,B$1,Data!$B$2:$B$1723,$A135)=0,"",SUMIFS(Data!$F$2:$F$1723,Data!$A$2:$A$1723,B$1,Data!$B$2:$B$1723,$A135))</f>
        <v>24326.65</v>
      </c>
      <c r="C135" s="1">
        <f>IF(COUNTIFS(Data!$A$2:$A$1723,C$1,Data!$B$2:$B$1723,$A135)=0,"",SUMIFS(Data!$F$2:$F$1723,Data!$A$2:$A$1723,C$1,Data!$B$2:$B$1723,$A135))</f>
        <v>62003.15</v>
      </c>
      <c r="D135" s="1">
        <f>IF(COUNTIFS(Data!$A$2:$A$1723,D$1,Data!$B$2:$B$1723,$A135)=0,"",SUMIFS(Data!$F$2:$F$1723,Data!$A$2:$A$1723,D$1,Data!$B$2:$B$1723,$A135))</f>
        <v>18695.650000000001</v>
      </c>
      <c r="E135" s="1">
        <f>IF(COUNTIFS(Data!$A$2:$A$1723,E$1,Data!$B$2:$B$1723,$A135)=0,"",SUMIFS(Data!$F$2:$F$1723,Data!$A$2:$A$1723,E$1,Data!$B$2:$B$1723,$A135))</f>
        <v>56047.4</v>
      </c>
      <c r="F135" s="1">
        <f>IF(COUNTIFS(Data!$A$2:$A$1723,F$1,Data!$B$2:$B$1723,$A135)=0,"",SUMIFS(Data!$F$2:$F$1723,Data!$A$2:$A$1723,F$1,Data!$B$2:$B$1723,$A135))</f>
        <v>29043.5</v>
      </c>
      <c r="G135" s="1">
        <f>IF(COUNTIFS(Data!$A$2:$A$1723,G$1,Data!$B$2:$B$1723,$A135)=0,"",SUMIFS(Data!$F$2:$F$1723,Data!$A$2:$A$1723,G$1,Data!$B$2:$B$1723,$A135))</f>
        <v>51068.45</v>
      </c>
      <c r="H135" s="1">
        <f>IF(COUNTIFS(Data!$A$2:$A$1723,H$1,Data!$B$2:$B$1723,$A135)=0,"",SUMIFS(Data!$F$2:$F$1723,Data!$A$2:$A$1723,H$1,Data!$B$2:$B$1723,$A135))</f>
        <v>27339.95</v>
      </c>
    </row>
    <row r="136" spans="1:8" x14ac:dyDescent="0.25">
      <c r="A136" s="21">
        <v>46150</v>
      </c>
      <c r="B136" s="1">
        <f>IF(COUNTIFS(Data!$A$2:$A$1723,B$1,Data!$B$2:$B$1723,$A136)=0,"",SUMIFS(Data!$F$2:$F$1723,Data!$A$2:$A$1723,B$1,Data!$B$2:$B$1723,$A136))</f>
        <v>24176.15</v>
      </c>
      <c r="C136" s="1">
        <f>IF(COUNTIFS(Data!$A$2:$A$1723,C$1,Data!$B$2:$B$1723,$A136)=0,"",SUMIFS(Data!$F$2:$F$1723,Data!$A$2:$A$1723,C$1,Data!$B$2:$B$1723,$A136))</f>
        <v>61910.9</v>
      </c>
      <c r="D136" s="1">
        <f>IF(COUNTIFS(Data!$A$2:$A$1723,D$1,Data!$B$2:$B$1723,$A136)=0,"",SUMIFS(Data!$F$2:$F$1723,Data!$A$2:$A$1723,D$1,Data!$B$2:$B$1723,$A136))</f>
        <v>18737</v>
      </c>
      <c r="E136" s="1">
        <f>IF(COUNTIFS(Data!$A$2:$A$1723,E$1,Data!$B$2:$B$1723,$A136)=0,"",SUMIFS(Data!$F$2:$F$1723,Data!$A$2:$A$1723,E$1,Data!$B$2:$B$1723,$A136))</f>
        <v>55310.55</v>
      </c>
      <c r="F136" s="1">
        <f>IF(COUNTIFS(Data!$A$2:$A$1723,F$1,Data!$B$2:$B$1723,$A136)=0,"",SUMIFS(Data!$F$2:$F$1723,Data!$A$2:$A$1723,F$1,Data!$B$2:$B$1723,$A136))</f>
        <v>29394.2</v>
      </c>
      <c r="G136" s="1">
        <f>IF(COUNTIFS(Data!$A$2:$A$1723,G$1,Data!$B$2:$B$1723,$A136)=0,"",SUMIFS(Data!$F$2:$F$1723,Data!$A$2:$A$1723,G$1,Data!$B$2:$B$1723,$A136))</f>
        <v>51165.9</v>
      </c>
      <c r="H136" s="1">
        <f>IF(COUNTIFS(Data!$A$2:$A$1723,H$1,Data!$B$2:$B$1723,$A136)=0,"",SUMIFS(Data!$F$2:$F$1723,Data!$A$2:$A$1723,H$1,Data!$B$2:$B$1723,$A136))</f>
        <v>27259.85</v>
      </c>
    </row>
    <row r="137" spans="1:8" x14ac:dyDescent="0.25">
      <c r="A137" s="21">
        <v>46153</v>
      </c>
      <c r="B137" s="1">
        <f>IF(COUNTIFS(Data!$A$2:$A$1723,B$1,Data!$B$2:$B$1723,$A137)=0,"",SUMIFS(Data!$F$2:$F$1723,Data!$A$2:$A$1723,B$1,Data!$B$2:$B$1723,$A137))</f>
        <v>23815.85</v>
      </c>
      <c r="C137" s="1">
        <f>IF(COUNTIFS(Data!$A$2:$A$1723,C$1,Data!$B$2:$B$1723,$A137)=0,"",SUMIFS(Data!$F$2:$F$1723,Data!$A$2:$A$1723,C$1,Data!$B$2:$B$1723,$A137))</f>
        <v>61258.400000000001</v>
      </c>
      <c r="D137" s="1">
        <f>IF(COUNTIFS(Data!$A$2:$A$1723,D$1,Data!$B$2:$B$1723,$A137)=0,"",SUMIFS(Data!$F$2:$F$1723,Data!$A$2:$A$1723,D$1,Data!$B$2:$B$1723,$A137))</f>
        <v>18525.8</v>
      </c>
      <c r="E137" s="1">
        <f>IF(COUNTIFS(Data!$A$2:$A$1723,E$1,Data!$B$2:$B$1723,$A137)=0,"",SUMIFS(Data!$F$2:$F$1723,Data!$A$2:$A$1723,E$1,Data!$B$2:$B$1723,$A137))</f>
        <v>54439.9</v>
      </c>
      <c r="F137" s="1">
        <f>IF(COUNTIFS(Data!$A$2:$A$1723,F$1,Data!$B$2:$B$1723,$A137)=0,"",SUMIFS(Data!$F$2:$F$1723,Data!$A$2:$A$1723,F$1,Data!$B$2:$B$1723,$A137))</f>
        <v>29329.45</v>
      </c>
      <c r="G137" s="1">
        <f>IF(COUNTIFS(Data!$A$2:$A$1723,G$1,Data!$B$2:$B$1723,$A137)=0,"",SUMIFS(Data!$F$2:$F$1723,Data!$A$2:$A$1723,G$1,Data!$B$2:$B$1723,$A137))</f>
        <v>51205.65</v>
      </c>
      <c r="H137" s="1">
        <f>IF(COUNTIFS(Data!$A$2:$A$1723,H$1,Data!$B$2:$B$1723,$A137)=0,"",SUMIFS(Data!$F$2:$F$1723,Data!$A$2:$A$1723,H$1,Data!$B$2:$B$1723,$A137))</f>
        <v>26753.4</v>
      </c>
    </row>
    <row r="138" spans="1:8" x14ac:dyDescent="0.25">
      <c r="A138" s="21">
        <v>46154</v>
      </c>
      <c r="B138" s="1">
        <f>IF(COUNTIFS(Data!$A$2:$A$1723,B$1,Data!$B$2:$B$1723,$A138)=0,"",SUMIFS(Data!$F$2:$F$1723,Data!$A$2:$A$1723,B$1,Data!$B$2:$B$1723,$A138))</f>
        <v>23379.55</v>
      </c>
      <c r="C138" s="1">
        <f>IF(COUNTIFS(Data!$A$2:$A$1723,C$1,Data!$B$2:$B$1723,$A138)=0,"",SUMIFS(Data!$F$2:$F$1723,Data!$A$2:$A$1723,C$1,Data!$B$2:$B$1723,$A138))</f>
        <v>59704.65</v>
      </c>
      <c r="D138" s="1">
        <f>IF(COUNTIFS(Data!$A$2:$A$1723,D$1,Data!$B$2:$B$1723,$A138)=0,"",SUMIFS(Data!$F$2:$F$1723,Data!$A$2:$A$1723,D$1,Data!$B$2:$B$1723,$A138))</f>
        <v>17939</v>
      </c>
      <c r="E138" s="1">
        <f>IF(COUNTIFS(Data!$A$2:$A$1723,E$1,Data!$B$2:$B$1723,$A138)=0,"",SUMIFS(Data!$F$2:$F$1723,Data!$A$2:$A$1723,E$1,Data!$B$2:$B$1723,$A138))</f>
        <v>53555.199999999997</v>
      </c>
      <c r="F138" s="1">
        <f>IF(COUNTIFS(Data!$A$2:$A$1723,F$1,Data!$B$2:$B$1723,$A138)=0,"",SUMIFS(Data!$F$2:$F$1723,Data!$A$2:$A$1723,F$1,Data!$B$2:$B$1723,$A138))</f>
        <v>28234.9</v>
      </c>
      <c r="G138" s="1">
        <f>IF(COUNTIFS(Data!$A$2:$A$1723,G$1,Data!$B$2:$B$1723,$A138)=0,"",SUMIFS(Data!$F$2:$F$1723,Data!$A$2:$A$1723,G$1,Data!$B$2:$B$1723,$A138))</f>
        <v>50453.9</v>
      </c>
      <c r="H138" s="1">
        <f>IF(COUNTIFS(Data!$A$2:$A$1723,H$1,Data!$B$2:$B$1723,$A138)=0,"",SUMIFS(Data!$F$2:$F$1723,Data!$A$2:$A$1723,H$1,Data!$B$2:$B$1723,$A138))</f>
        <v>26142.6</v>
      </c>
    </row>
    <row r="139" spans="1:8" x14ac:dyDescent="0.25">
      <c r="A139" s="21">
        <v>46155</v>
      </c>
      <c r="B139" s="1">
        <f>IF(COUNTIFS(Data!$A$2:$A$1723,B$1,Data!$B$2:$B$1723,$A139)=0,"",SUMIFS(Data!$F$2:$F$1723,Data!$A$2:$A$1723,B$1,Data!$B$2:$B$1723,$A139))</f>
        <v>23412.6</v>
      </c>
      <c r="C139" s="1">
        <f>IF(COUNTIFS(Data!$A$2:$A$1723,C$1,Data!$B$2:$B$1723,$A139)=0,"",SUMIFS(Data!$F$2:$F$1723,Data!$A$2:$A$1723,C$1,Data!$B$2:$B$1723,$A139))</f>
        <v>60164.65</v>
      </c>
      <c r="D139" s="1">
        <f>IF(COUNTIFS(Data!$A$2:$A$1723,D$1,Data!$B$2:$B$1723,$A139)=0,"",SUMIFS(Data!$F$2:$F$1723,Data!$A$2:$A$1723,D$1,Data!$B$2:$B$1723,$A139))</f>
        <v>17994.05</v>
      </c>
      <c r="E139" s="1">
        <f>IF(COUNTIFS(Data!$A$2:$A$1723,E$1,Data!$B$2:$B$1723,$A139)=0,"",SUMIFS(Data!$F$2:$F$1723,Data!$A$2:$A$1723,E$1,Data!$B$2:$B$1723,$A139))</f>
        <v>53456.15</v>
      </c>
      <c r="F139" s="1">
        <f>IF(COUNTIFS(Data!$A$2:$A$1723,F$1,Data!$B$2:$B$1723,$A139)=0,"",SUMIFS(Data!$F$2:$F$1723,Data!$A$2:$A$1723,F$1,Data!$B$2:$B$1723,$A139))</f>
        <v>27916.65</v>
      </c>
      <c r="G139" s="1">
        <f>IF(COUNTIFS(Data!$A$2:$A$1723,G$1,Data!$B$2:$B$1723,$A139)=0,"",SUMIFS(Data!$F$2:$F$1723,Data!$A$2:$A$1723,G$1,Data!$B$2:$B$1723,$A139))</f>
        <v>50604.85</v>
      </c>
      <c r="H139" s="1">
        <f>IF(COUNTIFS(Data!$A$2:$A$1723,H$1,Data!$B$2:$B$1723,$A139)=0,"",SUMIFS(Data!$F$2:$F$1723,Data!$A$2:$A$1723,H$1,Data!$B$2:$B$1723,$A139))</f>
        <v>25888.95</v>
      </c>
    </row>
    <row r="140" spans="1:8" x14ac:dyDescent="0.25">
      <c r="A140" s="21">
        <v>46156</v>
      </c>
      <c r="B140" s="1">
        <f>IF(COUNTIFS(Data!$A$2:$A$1723,B$1,Data!$B$2:$B$1723,$A140)=0,"",SUMIFS(Data!$F$2:$F$1723,Data!$A$2:$A$1723,B$1,Data!$B$2:$B$1723,$A140))</f>
        <v>23689.599999999999</v>
      </c>
      <c r="C140" s="1">
        <f>IF(COUNTIFS(Data!$A$2:$A$1723,C$1,Data!$B$2:$B$1723,$A140)=0,"",SUMIFS(Data!$F$2:$F$1723,Data!$A$2:$A$1723,C$1,Data!$B$2:$B$1723,$A140))</f>
        <v>60839.7</v>
      </c>
      <c r="D140" s="1">
        <f>IF(COUNTIFS(Data!$A$2:$A$1723,D$1,Data!$B$2:$B$1723,$A140)=0,"",SUMIFS(Data!$F$2:$F$1723,Data!$A$2:$A$1723,D$1,Data!$B$2:$B$1723,$A140))</f>
        <v>17991.55</v>
      </c>
      <c r="E140" s="1">
        <f>IF(COUNTIFS(Data!$A$2:$A$1723,E$1,Data!$B$2:$B$1723,$A140)=0,"",SUMIFS(Data!$F$2:$F$1723,Data!$A$2:$A$1723,E$1,Data!$B$2:$B$1723,$A140))</f>
        <v>54128.95</v>
      </c>
      <c r="F140" s="1">
        <f>IF(COUNTIFS(Data!$A$2:$A$1723,F$1,Data!$B$2:$B$1723,$A140)=0,"",SUMIFS(Data!$F$2:$F$1723,Data!$A$2:$A$1723,F$1,Data!$B$2:$B$1723,$A140))</f>
        <v>27360.35</v>
      </c>
      <c r="G140" s="1">
        <f>IF(COUNTIFS(Data!$A$2:$A$1723,G$1,Data!$B$2:$B$1723,$A140)=0,"",SUMIFS(Data!$F$2:$F$1723,Data!$A$2:$A$1723,G$1,Data!$B$2:$B$1723,$A140))</f>
        <v>50779.15</v>
      </c>
      <c r="H140" s="1">
        <f>IF(COUNTIFS(Data!$A$2:$A$1723,H$1,Data!$B$2:$B$1723,$A140)=0,"",SUMIFS(Data!$F$2:$F$1723,Data!$A$2:$A$1723,H$1,Data!$B$2:$B$1723,$A140))</f>
        <v>26049.7</v>
      </c>
    </row>
    <row r="141" spans="1:8" x14ac:dyDescent="0.25">
      <c r="A141" s="21">
        <v>46157</v>
      </c>
      <c r="B141" s="1">
        <f>IF(COUNTIFS(Data!$A$2:$A$1723,B$1,Data!$B$2:$B$1723,$A141)=0,"",SUMIFS(Data!$F$2:$F$1723,Data!$A$2:$A$1723,B$1,Data!$B$2:$B$1723,$A141))</f>
        <v>23643.5</v>
      </c>
      <c r="C141" s="1">
        <f>IF(COUNTIFS(Data!$A$2:$A$1723,C$1,Data!$B$2:$B$1723,$A141)=0,"",SUMIFS(Data!$F$2:$F$1723,Data!$A$2:$A$1723,C$1,Data!$B$2:$B$1723,$A141))</f>
        <v>60567.15</v>
      </c>
      <c r="D141" s="1">
        <f>IF(COUNTIFS(Data!$A$2:$A$1723,D$1,Data!$B$2:$B$1723,$A141)=0,"",SUMIFS(Data!$F$2:$F$1723,Data!$A$2:$A$1723,D$1,Data!$B$2:$B$1723,$A141))</f>
        <v>17882.599999999999</v>
      </c>
      <c r="E141" s="1">
        <f>IF(COUNTIFS(Data!$A$2:$A$1723,E$1,Data!$B$2:$B$1723,$A141)=0,"",SUMIFS(Data!$F$2:$F$1723,Data!$A$2:$A$1723,E$1,Data!$B$2:$B$1723,$A141))</f>
        <v>53710.35</v>
      </c>
      <c r="F141" s="1">
        <f>IF(COUNTIFS(Data!$A$2:$A$1723,F$1,Data!$B$2:$B$1723,$A141)=0,"",SUMIFS(Data!$F$2:$F$1723,Data!$A$2:$A$1723,F$1,Data!$B$2:$B$1723,$A141))</f>
        <v>27716.9</v>
      </c>
      <c r="G141" s="1">
        <f>IF(COUNTIFS(Data!$A$2:$A$1723,G$1,Data!$B$2:$B$1723,$A141)=0,"",SUMIFS(Data!$F$2:$F$1723,Data!$A$2:$A$1723,G$1,Data!$B$2:$B$1723,$A141))</f>
        <v>51051.35</v>
      </c>
      <c r="H141" s="1">
        <f>IF(COUNTIFS(Data!$A$2:$A$1723,H$1,Data!$B$2:$B$1723,$A141)=0,"",SUMIFS(Data!$F$2:$F$1723,Data!$A$2:$A$1723,H$1,Data!$B$2:$B$1723,$A141))</f>
        <v>26070.7</v>
      </c>
    </row>
    <row r="142" spans="1:8" x14ac:dyDescent="0.25">
      <c r="A142" s="21">
        <v>46160</v>
      </c>
      <c r="B142" s="1">
        <f>IF(COUNTIFS(Data!$A$2:$A$1723,B$1,Data!$B$2:$B$1723,$A142)=0,"",SUMIFS(Data!$F$2:$F$1723,Data!$A$2:$A$1723,B$1,Data!$B$2:$B$1723,$A142))</f>
        <v>23649.95</v>
      </c>
      <c r="C142" s="1">
        <f>IF(COUNTIFS(Data!$A$2:$A$1723,C$1,Data!$B$2:$B$1723,$A142)=0,"",SUMIFS(Data!$F$2:$F$1723,Data!$A$2:$A$1723,C$1,Data!$B$2:$B$1723,$A142))</f>
        <v>60473.8</v>
      </c>
      <c r="D142" s="1">
        <f>IF(COUNTIFS(Data!$A$2:$A$1723,D$1,Data!$B$2:$B$1723,$A142)=0,"",SUMIFS(Data!$F$2:$F$1723,Data!$A$2:$A$1723,D$1,Data!$B$2:$B$1723,$A142))</f>
        <v>17656.75</v>
      </c>
      <c r="E142" s="1">
        <f>IF(COUNTIFS(Data!$A$2:$A$1723,E$1,Data!$B$2:$B$1723,$A142)=0,"",SUMIFS(Data!$F$2:$F$1723,Data!$A$2:$A$1723,E$1,Data!$B$2:$B$1723,$A142))</f>
        <v>53537</v>
      </c>
      <c r="F142" s="1">
        <f>IF(COUNTIFS(Data!$A$2:$A$1723,F$1,Data!$B$2:$B$1723,$A142)=0,"",SUMIFS(Data!$F$2:$F$1723,Data!$A$2:$A$1723,F$1,Data!$B$2:$B$1723,$A142))</f>
        <v>28389.8</v>
      </c>
      <c r="G142" s="1">
        <f>IF(COUNTIFS(Data!$A$2:$A$1723,G$1,Data!$B$2:$B$1723,$A142)=0,"",SUMIFS(Data!$F$2:$F$1723,Data!$A$2:$A$1723,G$1,Data!$B$2:$B$1723,$A142))</f>
        <v>50900.1</v>
      </c>
      <c r="H142" s="1">
        <f>IF(COUNTIFS(Data!$A$2:$A$1723,H$1,Data!$B$2:$B$1723,$A142)=0,"",SUMIFS(Data!$F$2:$F$1723,Data!$A$2:$A$1723,H$1,Data!$B$2:$B$1723,$A142))</f>
        <v>25624.3</v>
      </c>
    </row>
    <row r="143" spans="1:8" x14ac:dyDescent="0.25">
      <c r="A143" s="21">
        <v>46161</v>
      </c>
      <c r="B143" s="1">
        <f>IF(COUNTIFS(Data!$A$2:$A$1723,B$1,Data!$B$2:$B$1723,$A143)=0,"",SUMIFS(Data!$F$2:$F$1723,Data!$A$2:$A$1723,B$1,Data!$B$2:$B$1723,$A143))</f>
        <v>23618</v>
      </c>
      <c r="C143" s="1">
        <f>IF(COUNTIFS(Data!$A$2:$A$1723,C$1,Data!$B$2:$B$1723,$A143)=0,"",SUMIFS(Data!$F$2:$F$1723,Data!$A$2:$A$1723,C$1,Data!$B$2:$B$1723,$A143))</f>
        <v>61022</v>
      </c>
      <c r="D143" s="1">
        <f>IF(COUNTIFS(Data!$A$2:$A$1723,D$1,Data!$B$2:$B$1723,$A143)=0,"",SUMIFS(Data!$F$2:$F$1723,Data!$A$2:$A$1723,D$1,Data!$B$2:$B$1723,$A143))</f>
        <v>17863.55</v>
      </c>
      <c r="E143" s="1">
        <f>IF(COUNTIFS(Data!$A$2:$A$1723,E$1,Data!$B$2:$B$1723,$A143)=0,"",SUMIFS(Data!$F$2:$F$1723,Data!$A$2:$A$1723,E$1,Data!$B$2:$B$1723,$A143))</f>
        <v>53409.15</v>
      </c>
      <c r="F143" s="1">
        <f>IF(COUNTIFS(Data!$A$2:$A$1723,F$1,Data!$B$2:$B$1723,$A143)=0,"",SUMIFS(Data!$F$2:$F$1723,Data!$A$2:$A$1723,F$1,Data!$B$2:$B$1723,$A143))</f>
        <v>29308</v>
      </c>
      <c r="G143" s="1">
        <f>IF(COUNTIFS(Data!$A$2:$A$1723,G$1,Data!$B$2:$B$1723,$A143)=0,"",SUMIFS(Data!$F$2:$F$1723,Data!$A$2:$A$1723,G$1,Data!$B$2:$B$1723,$A143))</f>
        <v>50883.35</v>
      </c>
      <c r="H143" s="1">
        <f>IF(COUNTIFS(Data!$A$2:$A$1723,H$1,Data!$B$2:$B$1723,$A143)=0,"",SUMIFS(Data!$F$2:$F$1723,Data!$A$2:$A$1723,H$1,Data!$B$2:$B$1723,$A143))</f>
        <v>25698.799999999999</v>
      </c>
    </row>
    <row r="144" spans="1:8" x14ac:dyDescent="0.25">
      <c r="A144" s="21">
        <v>46162</v>
      </c>
      <c r="B144" s="1">
        <f>IF(COUNTIFS(Data!$A$2:$A$1723,B$1,Data!$B$2:$B$1723,$A144)=0,"",SUMIFS(Data!$F$2:$F$1723,Data!$A$2:$A$1723,B$1,Data!$B$2:$B$1723,$A144))</f>
        <v>23659</v>
      </c>
      <c r="C144" s="1">
        <f>IF(COUNTIFS(Data!$A$2:$A$1723,C$1,Data!$B$2:$B$1723,$A144)=0,"",SUMIFS(Data!$F$2:$F$1723,Data!$A$2:$A$1723,C$1,Data!$B$2:$B$1723,$A144))</f>
        <v>61323.3</v>
      </c>
      <c r="D144" s="1">
        <f>IF(COUNTIFS(Data!$A$2:$A$1723,D$1,Data!$B$2:$B$1723,$A144)=0,"",SUMIFS(Data!$F$2:$F$1723,Data!$A$2:$A$1723,D$1,Data!$B$2:$B$1723,$A144))</f>
        <v>17870.900000000001</v>
      </c>
      <c r="E144" s="1">
        <f>IF(COUNTIFS(Data!$A$2:$A$1723,E$1,Data!$B$2:$B$1723,$A144)=0,"",SUMIFS(Data!$F$2:$F$1723,Data!$A$2:$A$1723,E$1,Data!$B$2:$B$1723,$A144))</f>
        <v>53562.2</v>
      </c>
      <c r="F144" s="1">
        <f>IF(COUNTIFS(Data!$A$2:$A$1723,F$1,Data!$B$2:$B$1723,$A144)=0,"",SUMIFS(Data!$F$2:$F$1723,Data!$A$2:$A$1723,F$1,Data!$B$2:$B$1723,$A144))</f>
        <v>29185.15</v>
      </c>
      <c r="G144" s="1">
        <f>IF(COUNTIFS(Data!$A$2:$A$1723,G$1,Data!$B$2:$B$1723,$A144)=0,"",SUMIFS(Data!$F$2:$F$1723,Data!$A$2:$A$1723,G$1,Data!$B$2:$B$1723,$A144))</f>
        <v>50520.55</v>
      </c>
      <c r="H144" s="1">
        <f>IF(COUNTIFS(Data!$A$2:$A$1723,H$1,Data!$B$2:$B$1723,$A144)=0,"",SUMIFS(Data!$F$2:$F$1723,Data!$A$2:$A$1723,H$1,Data!$B$2:$B$1723,$A144))</f>
        <v>25914.35</v>
      </c>
    </row>
    <row r="145" spans="1:8" x14ac:dyDescent="0.25">
      <c r="A145" s="21">
        <v>46163</v>
      </c>
      <c r="B145" s="1">
        <f>IF(COUNTIFS(Data!$A$2:$A$1723,B$1,Data!$B$2:$B$1723,$A145)=0,"",SUMIFS(Data!$F$2:$F$1723,Data!$A$2:$A$1723,B$1,Data!$B$2:$B$1723,$A145))</f>
        <v>23654.7</v>
      </c>
      <c r="C145" s="1">
        <f>IF(COUNTIFS(Data!$A$2:$A$1723,C$1,Data!$B$2:$B$1723,$A145)=0,"",SUMIFS(Data!$F$2:$F$1723,Data!$A$2:$A$1723,C$1,Data!$B$2:$B$1723,$A145))</f>
        <v>61300.6</v>
      </c>
      <c r="D145" s="1">
        <f>IF(COUNTIFS(Data!$A$2:$A$1723,D$1,Data!$B$2:$B$1723,$A145)=0,"",SUMIFS(Data!$F$2:$F$1723,Data!$A$2:$A$1723,D$1,Data!$B$2:$B$1723,$A145))</f>
        <v>17983.05</v>
      </c>
      <c r="E145" s="1">
        <f>IF(COUNTIFS(Data!$A$2:$A$1723,E$1,Data!$B$2:$B$1723,$A145)=0,"",SUMIFS(Data!$F$2:$F$1723,Data!$A$2:$A$1723,E$1,Data!$B$2:$B$1723,$A145))</f>
        <v>53439.4</v>
      </c>
      <c r="F145" s="1">
        <f>IF(COUNTIFS(Data!$A$2:$A$1723,F$1,Data!$B$2:$B$1723,$A145)=0,"",SUMIFS(Data!$F$2:$F$1723,Data!$A$2:$A$1723,F$1,Data!$B$2:$B$1723,$A145))</f>
        <v>29021.1</v>
      </c>
      <c r="G145" s="1">
        <f>IF(COUNTIFS(Data!$A$2:$A$1723,G$1,Data!$B$2:$B$1723,$A145)=0,"",SUMIFS(Data!$F$2:$F$1723,Data!$A$2:$A$1723,G$1,Data!$B$2:$B$1723,$A145))</f>
        <v>50263.55</v>
      </c>
      <c r="H145" s="1">
        <f>IF(COUNTIFS(Data!$A$2:$A$1723,H$1,Data!$B$2:$B$1723,$A145)=0,"",SUMIFS(Data!$F$2:$F$1723,Data!$A$2:$A$1723,H$1,Data!$B$2:$B$1723,$A145))</f>
        <v>25986.25</v>
      </c>
    </row>
    <row r="146" spans="1:8" x14ac:dyDescent="0.25">
      <c r="A146" s="21">
        <v>46164</v>
      </c>
      <c r="B146" s="1">
        <f>IF(COUNTIFS(Data!$A$2:$A$1723,B$1,Data!$B$2:$B$1723,$A146)=0,"",SUMIFS(Data!$F$2:$F$1723,Data!$A$2:$A$1723,B$1,Data!$B$2:$B$1723,$A146))</f>
        <v>23719.3</v>
      </c>
      <c r="C146" s="1">
        <f>IF(COUNTIFS(Data!$A$2:$A$1723,C$1,Data!$B$2:$B$1723,$A146)=0,"",SUMIFS(Data!$F$2:$F$1723,Data!$A$2:$A$1723,C$1,Data!$B$2:$B$1723,$A146))</f>
        <v>61389.3</v>
      </c>
      <c r="D146" s="1">
        <f>IF(COUNTIFS(Data!$A$2:$A$1723,D$1,Data!$B$2:$B$1723,$A146)=0,"",SUMIFS(Data!$F$2:$F$1723,Data!$A$2:$A$1723,D$1,Data!$B$2:$B$1723,$A146))</f>
        <v>17956.2</v>
      </c>
      <c r="E146" s="1">
        <f>IF(COUNTIFS(Data!$A$2:$A$1723,E$1,Data!$B$2:$B$1723,$A146)=0,"",SUMIFS(Data!$F$2:$F$1723,Data!$A$2:$A$1723,E$1,Data!$B$2:$B$1723,$A146))</f>
        <v>54055.35</v>
      </c>
      <c r="F146" s="1">
        <f>IF(COUNTIFS(Data!$A$2:$A$1723,F$1,Data!$B$2:$B$1723,$A146)=0,"",SUMIFS(Data!$F$2:$F$1723,Data!$A$2:$A$1723,F$1,Data!$B$2:$B$1723,$A146))</f>
        <v>28912.45</v>
      </c>
      <c r="G146" s="1">
        <f>IF(COUNTIFS(Data!$A$2:$A$1723,G$1,Data!$B$2:$B$1723,$A146)=0,"",SUMIFS(Data!$F$2:$F$1723,Data!$A$2:$A$1723,G$1,Data!$B$2:$B$1723,$A146))</f>
        <v>50249.8</v>
      </c>
      <c r="H146" s="1">
        <f>IF(COUNTIFS(Data!$A$2:$A$1723,H$1,Data!$B$2:$B$1723,$A146)=0,"",SUMIFS(Data!$F$2:$F$1723,Data!$A$2:$A$1723,H$1,Data!$B$2:$B$1723,$A146))</f>
        <v>26017.1</v>
      </c>
    </row>
    <row r="147" spans="1:8" x14ac:dyDescent="0.25">
      <c r="A147" s="21">
        <v>46167</v>
      </c>
      <c r="B147" s="1">
        <f>IF(COUNTIFS(Data!$A$2:$A$1723,B$1,Data!$B$2:$B$1723,$A147)=0,"",SUMIFS(Data!$F$2:$F$1723,Data!$A$2:$A$1723,B$1,Data!$B$2:$B$1723,$A147))</f>
        <v>24031.7</v>
      </c>
      <c r="C147" s="1">
        <f>IF(COUNTIFS(Data!$A$2:$A$1723,C$1,Data!$B$2:$B$1723,$A147)=0,"",SUMIFS(Data!$F$2:$F$1723,Data!$A$2:$A$1723,C$1,Data!$B$2:$B$1723,$A147))</f>
        <v>61966.6</v>
      </c>
      <c r="D147" s="1">
        <f>IF(COUNTIFS(Data!$A$2:$A$1723,D$1,Data!$B$2:$B$1723,$A147)=0,"",SUMIFS(Data!$F$2:$F$1723,Data!$A$2:$A$1723,D$1,Data!$B$2:$B$1723,$A147))</f>
        <v>18202.7</v>
      </c>
      <c r="E147" s="1">
        <f>IF(COUNTIFS(Data!$A$2:$A$1723,E$1,Data!$B$2:$B$1723,$A147)=0,"",SUMIFS(Data!$F$2:$F$1723,Data!$A$2:$A$1723,E$1,Data!$B$2:$B$1723,$A147))</f>
        <v>55293.65</v>
      </c>
      <c r="F147" s="1">
        <f>IF(COUNTIFS(Data!$A$2:$A$1723,F$1,Data!$B$2:$B$1723,$A147)=0,"",SUMIFS(Data!$F$2:$F$1723,Data!$A$2:$A$1723,F$1,Data!$B$2:$B$1723,$A147))</f>
        <v>28979.85</v>
      </c>
      <c r="G147" s="1">
        <f>IF(COUNTIFS(Data!$A$2:$A$1723,G$1,Data!$B$2:$B$1723,$A147)=0,"",SUMIFS(Data!$F$2:$F$1723,Data!$A$2:$A$1723,G$1,Data!$B$2:$B$1723,$A147))</f>
        <v>50157.75</v>
      </c>
      <c r="H147" s="1">
        <f>IF(COUNTIFS(Data!$A$2:$A$1723,H$1,Data!$B$2:$B$1723,$A147)=0,"",SUMIFS(Data!$F$2:$F$1723,Data!$A$2:$A$1723,H$1,Data!$B$2:$B$1723,$A147))</f>
        <v>26463.05</v>
      </c>
    </row>
    <row r="148" spans="1:8" x14ac:dyDescent="0.25">
      <c r="A148" s="21">
        <v>46168</v>
      </c>
      <c r="B148" s="1">
        <f>IF(COUNTIFS(Data!$A$2:$A$1723,B$1,Data!$B$2:$B$1723,$A148)=0,"",SUMIFS(Data!$F$2:$F$1723,Data!$A$2:$A$1723,B$1,Data!$B$2:$B$1723,$A148))</f>
        <v>23913.7</v>
      </c>
      <c r="C148" s="1">
        <f>IF(COUNTIFS(Data!$A$2:$A$1723,C$1,Data!$B$2:$B$1723,$A148)=0,"",SUMIFS(Data!$F$2:$F$1723,Data!$A$2:$A$1723,C$1,Data!$B$2:$B$1723,$A148))</f>
        <v>62298.9</v>
      </c>
      <c r="D148" s="1">
        <f>IF(COUNTIFS(Data!$A$2:$A$1723,D$1,Data!$B$2:$B$1723,$A148)=0,"",SUMIFS(Data!$F$2:$F$1723,Data!$A$2:$A$1723,D$1,Data!$B$2:$B$1723,$A148))</f>
        <v>18267.2</v>
      </c>
      <c r="E148" s="1">
        <f>IF(COUNTIFS(Data!$A$2:$A$1723,E$1,Data!$B$2:$B$1723,$A148)=0,"",SUMIFS(Data!$F$2:$F$1723,Data!$A$2:$A$1723,E$1,Data!$B$2:$B$1723,$A148))</f>
        <v>55092.9</v>
      </c>
      <c r="F148" s="1">
        <f>IF(COUNTIFS(Data!$A$2:$A$1723,F$1,Data!$B$2:$B$1723,$A148)=0,"",SUMIFS(Data!$F$2:$F$1723,Data!$A$2:$A$1723,F$1,Data!$B$2:$B$1723,$A148))</f>
        <v>28978.5</v>
      </c>
      <c r="G148" s="1">
        <f>IF(COUNTIFS(Data!$A$2:$A$1723,G$1,Data!$B$2:$B$1723,$A148)=0,"",SUMIFS(Data!$F$2:$F$1723,Data!$A$2:$A$1723,G$1,Data!$B$2:$B$1723,$A148))</f>
        <v>50227.35</v>
      </c>
      <c r="H148" s="1">
        <f>IF(COUNTIFS(Data!$A$2:$A$1723,H$1,Data!$B$2:$B$1723,$A148)=0,"",SUMIFS(Data!$F$2:$F$1723,Data!$A$2:$A$1723,H$1,Data!$B$2:$B$1723,$A148))</f>
        <v>26480.5</v>
      </c>
    </row>
    <row r="149" spans="1:8" x14ac:dyDescent="0.25">
      <c r="A149" s="21">
        <v>46169</v>
      </c>
      <c r="B149" s="1">
        <f>IF(COUNTIFS(Data!$A$2:$A$1723,B$1,Data!$B$2:$B$1723,$A149)=0,"",SUMIFS(Data!$F$2:$F$1723,Data!$A$2:$A$1723,B$1,Data!$B$2:$B$1723,$A149))</f>
        <v>23907.15</v>
      </c>
      <c r="C149" s="1">
        <f>IF(COUNTIFS(Data!$A$2:$A$1723,C$1,Data!$B$2:$B$1723,$A149)=0,"",SUMIFS(Data!$F$2:$F$1723,Data!$A$2:$A$1723,C$1,Data!$B$2:$B$1723,$A149))</f>
        <v>62558.85</v>
      </c>
      <c r="D149" s="1">
        <f>IF(COUNTIFS(Data!$A$2:$A$1723,D$1,Data!$B$2:$B$1723,$A149)=0,"",SUMIFS(Data!$F$2:$F$1723,Data!$A$2:$A$1723,D$1,Data!$B$2:$B$1723,$A149))</f>
        <v>18294.3</v>
      </c>
      <c r="E149" s="1">
        <f>IF(COUNTIFS(Data!$A$2:$A$1723,E$1,Data!$B$2:$B$1723,$A149)=0,"",SUMIFS(Data!$F$2:$F$1723,Data!$A$2:$A$1723,E$1,Data!$B$2:$B$1723,$A149))</f>
        <v>54853.85</v>
      </c>
      <c r="F149" s="1">
        <f>IF(COUNTIFS(Data!$A$2:$A$1723,F$1,Data!$B$2:$B$1723,$A149)=0,"",SUMIFS(Data!$F$2:$F$1723,Data!$A$2:$A$1723,F$1,Data!$B$2:$B$1723,$A149))</f>
        <v>28906.7</v>
      </c>
      <c r="G149" s="1">
        <f>IF(COUNTIFS(Data!$A$2:$A$1723,G$1,Data!$B$2:$B$1723,$A149)=0,"",SUMIFS(Data!$F$2:$F$1723,Data!$A$2:$A$1723,G$1,Data!$B$2:$B$1723,$A149))</f>
        <v>50141.9</v>
      </c>
      <c r="H149" s="1">
        <f>IF(COUNTIFS(Data!$A$2:$A$1723,H$1,Data!$B$2:$B$1723,$A149)=0,"",SUMIFS(Data!$F$2:$F$1723,Data!$A$2:$A$1723,H$1,Data!$B$2:$B$1723,$A149))</f>
        <v>26864.2</v>
      </c>
    </row>
    <row r="150" spans="1:8" x14ac:dyDescent="0.25">
      <c r="A150" s="21">
        <v>46171</v>
      </c>
      <c r="B150" s="1">
        <f>IF(COUNTIFS(Data!$A$2:$A$1723,B$1,Data!$B$2:$B$1723,$A150)=0,"",SUMIFS(Data!$F$2:$F$1723,Data!$A$2:$A$1723,B$1,Data!$B$2:$B$1723,$A150))</f>
        <v>23547.75</v>
      </c>
      <c r="C150" s="1">
        <f>IF(COUNTIFS(Data!$A$2:$A$1723,C$1,Data!$B$2:$B$1723,$A150)=0,"",SUMIFS(Data!$F$2:$F$1723,Data!$A$2:$A$1723,C$1,Data!$B$2:$B$1723,$A150))</f>
        <v>61723.8</v>
      </c>
      <c r="D150" s="1">
        <f>IF(COUNTIFS(Data!$A$2:$A$1723,D$1,Data!$B$2:$B$1723,$A150)=0,"",SUMIFS(Data!$F$2:$F$1723,Data!$A$2:$A$1723,D$1,Data!$B$2:$B$1723,$A150))</f>
        <v>18138.8</v>
      </c>
      <c r="E150" s="1">
        <f>IF(COUNTIFS(Data!$A$2:$A$1723,E$1,Data!$B$2:$B$1723,$A150)=0,"",SUMIFS(Data!$F$2:$F$1723,Data!$A$2:$A$1723,E$1,Data!$B$2:$B$1723,$A150))</f>
        <v>54239.199999999997</v>
      </c>
      <c r="F150" s="1">
        <f>IF(COUNTIFS(Data!$A$2:$A$1723,F$1,Data!$B$2:$B$1723,$A150)=0,"",SUMIFS(Data!$F$2:$F$1723,Data!$A$2:$A$1723,F$1,Data!$B$2:$B$1723,$A150))</f>
        <v>29080.15</v>
      </c>
      <c r="G150" s="1">
        <f>IF(COUNTIFS(Data!$A$2:$A$1723,G$1,Data!$B$2:$B$1723,$A150)=0,"",SUMIFS(Data!$F$2:$F$1723,Data!$A$2:$A$1723,G$1,Data!$B$2:$B$1723,$A150))</f>
        <v>49383.35</v>
      </c>
      <c r="H150" s="1">
        <f>IF(COUNTIFS(Data!$A$2:$A$1723,H$1,Data!$B$2:$B$1723,$A150)=0,"",SUMIFS(Data!$F$2:$F$1723,Data!$A$2:$A$1723,H$1,Data!$B$2:$B$1723,$A150))</f>
        <v>26338.45</v>
      </c>
    </row>
    <row r="151" spans="1:8" x14ac:dyDescent="0.25">
      <c r="A151" s="21">
        <v>46174</v>
      </c>
      <c r="B151" s="1">
        <f>IF(COUNTIFS(Data!$A$2:$A$1723,B$1,Data!$B$2:$B$1723,$A151)=0,"",SUMIFS(Data!$F$2:$F$1723,Data!$A$2:$A$1723,B$1,Data!$B$2:$B$1723,$A151))</f>
        <v>23382.6</v>
      </c>
      <c r="C151" s="1">
        <f>IF(COUNTIFS(Data!$A$2:$A$1723,C$1,Data!$B$2:$B$1723,$A151)=0,"",SUMIFS(Data!$F$2:$F$1723,Data!$A$2:$A$1723,C$1,Data!$B$2:$B$1723,$A151))</f>
        <v>60827.95</v>
      </c>
      <c r="D151" s="1">
        <f>IF(COUNTIFS(Data!$A$2:$A$1723,D$1,Data!$B$2:$B$1723,$A151)=0,"",SUMIFS(Data!$F$2:$F$1723,Data!$A$2:$A$1723,D$1,Data!$B$2:$B$1723,$A151))</f>
        <v>17979.8</v>
      </c>
      <c r="E151" s="1">
        <f>IF(COUNTIFS(Data!$A$2:$A$1723,E$1,Data!$B$2:$B$1723,$A151)=0,"",SUMIFS(Data!$F$2:$F$1723,Data!$A$2:$A$1723,E$1,Data!$B$2:$B$1723,$A151))</f>
        <v>53643.1</v>
      </c>
      <c r="F151" s="1">
        <f>IF(COUNTIFS(Data!$A$2:$A$1723,F$1,Data!$B$2:$B$1723,$A151)=0,"",SUMIFS(Data!$F$2:$F$1723,Data!$A$2:$A$1723,F$1,Data!$B$2:$B$1723,$A151))</f>
        <v>29854.25</v>
      </c>
      <c r="G151" s="1">
        <f>IF(COUNTIFS(Data!$A$2:$A$1723,G$1,Data!$B$2:$B$1723,$A151)=0,"",SUMIFS(Data!$F$2:$F$1723,Data!$A$2:$A$1723,G$1,Data!$B$2:$B$1723,$A151))</f>
        <v>48247.7</v>
      </c>
      <c r="H151" s="1">
        <f>IF(COUNTIFS(Data!$A$2:$A$1723,H$1,Data!$B$2:$B$1723,$A151)=0,"",SUMIFS(Data!$F$2:$F$1723,Data!$A$2:$A$1723,H$1,Data!$B$2:$B$1723,$A151))</f>
        <v>25891.9</v>
      </c>
    </row>
    <row r="152" spans="1:8" x14ac:dyDescent="0.25">
      <c r="A152" s="21">
        <v>46175</v>
      </c>
      <c r="B152" s="1">
        <f>IF(COUNTIFS(Data!$A$2:$A$1723,B$1,Data!$B$2:$B$1723,$A152)=0,"",SUMIFS(Data!$F$2:$F$1723,Data!$A$2:$A$1723,B$1,Data!$B$2:$B$1723,$A152))</f>
        <v>23483.55</v>
      </c>
      <c r="C152" s="1">
        <f>IF(COUNTIFS(Data!$A$2:$A$1723,C$1,Data!$B$2:$B$1723,$A152)=0,"",SUMIFS(Data!$F$2:$F$1723,Data!$A$2:$A$1723,C$1,Data!$B$2:$B$1723,$A152))</f>
        <v>60942</v>
      </c>
      <c r="D152" s="1">
        <f>IF(COUNTIFS(Data!$A$2:$A$1723,D$1,Data!$B$2:$B$1723,$A152)=0,"",SUMIFS(Data!$F$2:$F$1723,Data!$A$2:$A$1723,D$1,Data!$B$2:$B$1723,$A152))</f>
        <v>18052.3</v>
      </c>
      <c r="E152" s="1">
        <f>IF(COUNTIFS(Data!$A$2:$A$1723,E$1,Data!$B$2:$B$1723,$A152)=0,"",SUMIFS(Data!$F$2:$F$1723,Data!$A$2:$A$1723,E$1,Data!$B$2:$B$1723,$A152))</f>
        <v>53714.65</v>
      </c>
      <c r="F152" s="1">
        <f>IF(COUNTIFS(Data!$A$2:$A$1723,F$1,Data!$B$2:$B$1723,$A152)=0,"",SUMIFS(Data!$F$2:$F$1723,Data!$A$2:$A$1723,F$1,Data!$B$2:$B$1723,$A152))</f>
        <v>31116.55</v>
      </c>
      <c r="G152" s="1">
        <f>IF(COUNTIFS(Data!$A$2:$A$1723,G$1,Data!$B$2:$B$1723,$A152)=0,"",SUMIFS(Data!$F$2:$F$1723,Data!$A$2:$A$1723,G$1,Data!$B$2:$B$1723,$A152))</f>
        <v>48612.800000000003</v>
      </c>
      <c r="H152" s="1">
        <f>IF(COUNTIFS(Data!$A$2:$A$1723,H$1,Data!$B$2:$B$1723,$A152)=0,"",SUMIFS(Data!$F$2:$F$1723,Data!$A$2:$A$1723,H$1,Data!$B$2:$B$1723,$A152))</f>
        <v>26079.45</v>
      </c>
    </row>
    <row r="153" spans="1:8" x14ac:dyDescent="0.25">
      <c r="A153" s="21">
        <v>46176</v>
      </c>
      <c r="B153" s="1">
        <f>IF(COUNTIFS(Data!$A$2:$A$1723,B$1,Data!$B$2:$B$1723,$A153)=0,"",SUMIFS(Data!$F$2:$F$1723,Data!$A$2:$A$1723,B$1,Data!$B$2:$B$1723,$A153))</f>
        <v>23405.599999999999</v>
      </c>
      <c r="C153" s="1">
        <f>IF(COUNTIFS(Data!$A$2:$A$1723,C$1,Data!$B$2:$B$1723,$A153)=0,"",SUMIFS(Data!$F$2:$F$1723,Data!$A$2:$A$1723,C$1,Data!$B$2:$B$1723,$A153))</f>
        <v>60687.199999999997</v>
      </c>
      <c r="D153" s="1">
        <f>IF(COUNTIFS(Data!$A$2:$A$1723,D$1,Data!$B$2:$B$1723,$A153)=0,"",SUMIFS(Data!$F$2:$F$1723,Data!$A$2:$A$1723,D$1,Data!$B$2:$B$1723,$A153))</f>
        <v>18032.05</v>
      </c>
      <c r="E153" s="1">
        <f>IF(COUNTIFS(Data!$A$2:$A$1723,E$1,Data!$B$2:$B$1723,$A153)=0,"",SUMIFS(Data!$F$2:$F$1723,Data!$A$2:$A$1723,E$1,Data!$B$2:$B$1723,$A153))</f>
        <v>54185.95</v>
      </c>
      <c r="F153" s="1">
        <f>IF(COUNTIFS(Data!$A$2:$A$1723,F$1,Data!$B$2:$B$1723,$A153)=0,"",SUMIFS(Data!$F$2:$F$1723,Data!$A$2:$A$1723,F$1,Data!$B$2:$B$1723,$A153))</f>
        <v>29384.45</v>
      </c>
      <c r="G153" s="1">
        <f>IF(COUNTIFS(Data!$A$2:$A$1723,G$1,Data!$B$2:$B$1723,$A153)=0,"",SUMIFS(Data!$F$2:$F$1723,Data!$A$2:$A$1723,G$1,Data!$B$2:$B$1723,$A153))</f>
        <v>48123.95</v>
      </c>
      <c r="H153" s="1">
        <f>IF(COUNTIFS(Data!$A$2:$A$1723,H$1,Data!$B$2:$B$1723,$A153)=0,"",SUMIFS(Data!$F$2:$F$1723,Data!$A$2:$A$1723,H$1,Data!$B$2:$B$1723,$A153))</f>
        <v>26092.799999999999</v>
      </c>
    </row>
    <row r="154" spans="1:8" x14ac:dyDescent="0.25">
      <c r="A154" s="21">
        <v>46177</v>
      </c>
      <c r="B154" s="1">
        <f>IF(COUNTIFS(Data!$A$2:$A$1723,B$1,Data!$B$2:$B$1723,$A154)=0,"",SUMIFS(Data!$F$2:$F$1723,Data!$A$2:$A$1723,B$1,Data!$B$2:$B$1723,$A154))</f>
        <v>23416.55</v>
      </c>
      <c r="C154" s="1">
        <f>IF(COUNTIFS(Data!$A$2:$A$1723,C$1,Data!$B$2:$B$1723,$A154)=0,"",SUMIFS(Data!$F$2:$F$1723,Data!$A$2:$A$1723,C$1,Data!$B$2:$B$1723,$A154))</f>
        <v>60966.65</v>
      </c>
      <c r="D154" s="1">
        <f>IF(COUNTIFS(Data!$A$2:$A$1723,D$1,Data!$B$2:$B$1723,$A154)=0,"",SUMIFS(Data!$F$2:$F$1723,Data!$A$2:$A$1723,D$1,Data!$B$2:$B$1723,$A154))</f>
        <v>18121.05</v>
      </c>
      <c r="E154" s="1">
        <f>IF(COUNTIFS(Data!$A$2:$A$1723,E$1,Data!$B$2:$B$1723,$A154)=0,"",SUMIFS(Data!$F$2:$F$1723,Data!$A$2:$A$1723,E$1,Data!$B$2:$B$1723,$A154))</f>
        <v>54307.85</v>
      </c>
      <c r="F154" s="1">
        <f>IF(COUNTIFS(Data!$A$2:$A$1723,F$1,Data!$B$2:$B$1723,$A154)=0,"",SUMIFS(Data!$F$2:$F$1723,Data!$A$2:$A$1723,F$1,Data!$B$2:$B$1723,$A154))</f>
        <v>29300.6</v>
      </c>
      <c r="G154" s="1">
        <f>IF(COUNTIFS(Data!$A$2:$A$1723,G$1,Data!$B$2:$B$1723,$A154)=0,"",SUMIFS(Data!$F$2:$F$1723,Data!$A$2:$A$1723,G$1,Data!$B$2:$B$1723,$A154))</f>
        <v>48216</v>
      </c>
      <c r="H154" s="1">
        <f>IF(COUNTIFS(Data!$A$2:$A$1723,H$1,Data!$B$2:$B$1723,$A154)=0,"",SUMIFS(Data!$F$2:$F$1723,Data!$A$2:$A$1723,H$1,Data!$B$2:$B$1723,$A154))</f>
        <v>26144.35</v>
      </c>
    </row>
    <row r="155" spans="1:8" x14ac:dyDescent="0.25">
      <c r="A155" s="21">
        <v>46178</v>
      </c>
      <c r="B155" s="1">
        <f>IF(COUNTIFS(Data!$A$2:$A$1723,B$1,Data!$B$2:$B$1723,$A155)=0,"",SUMIFS(Data!$F$2:$F$1723,Data!$A$2:$A$1723,B$1,Data!$B$2:$B$1723,$A155))</f>
        <v>23366.7</v>
      </c>
      <c r="C155" s="1">
        <f>IF(COUNTIFS(Data!$A$2:$A$1723,C$1,Data!$B$2:$B$1723,$A155)=0,"",SUMIFS(Data!$F$2:$F$1723,Data!$A$2:$A$1723,C$1,Data!$B$2:$B$1723,$A155))</f>
        <v>60754.9</v>
      </c>
      <c r="D155" s="1">
        <f>IF(COUNTIFS(Data!$A$2:$A$1723,D$1,Data!$B$2:$B$1723,$A155)=0,"",SUMIFS(Data!$F$2:$F$1723,Data!$A$2:$A$1723,D$1,Data!$B$2:$B$1723,$A155))</f>
        <v>18110.3</v>
      </c>
      <c r="E155" s="1">
        <f>IF(COUNTIFS(Data!$A$2:$A$1723,E$1,Data!$B$2:$B$1723,$A155)=0,"",SUMIFS(Data!$F$2:$F$1723,Data!$A$2:$A$1723,E$1,Data!$B$2:$B$1723,$A155))</f>
        <v>54496.25</v>
      </c>
      <c r="F155" s="1">
        <f>IF(COUNTIFS(Data!$A$2:$A$1723,F$1,Data!$B$2:$B$1723,$A155)=0,"",SUMIFS(Data!$F$2:$F$1723,Data!$A$2:$A$1723,F$1,Data!$B$2:$B$1723,$A155))</f>
        <v>29010.3</v>
      </c>
      <c r="G155" s="1">
        <f>IF(COUNTIFS(Data!$A$2:$A$1723,G$1,Data!$B$2:$B$1723,$A155)=0,"",SUMIFS(Data!$F$2:$F$1723,Data!$A$2:$A$1723,G$1,Data!$B$2:$B$1723,$A155))</f>
        <v>48302.45</v>
      </c>
      <c r="H155" s="1">
        <f>IF(COUNTIFS(Data!$A$2:$A$1723,H$1,Data!$B$2:$B$1723,$A155)=0,"",SUMIFS(Data!$F$2:$F$1723,Data!$A$2:$A$1723,H$1,Data!$B$2:$B$1723,$A155))</f>
        <v>26165.95</v>
      </c>
    </row>
    <row r="156" spans="1:8" x14ac:dyDescent="0.25">
      <c r="A156" s="21">
        <v>46181</v>
      </c>
      <c r="B156" s="1">
        <f>IF(COUNTIFS(Data!$A$2:$A$1723,B$1,Data!$B$2:$B$1723,$A156)=0,"",SUMIFS(Data!$F$2:$F$1723,Data!$A$2:$A$1723,B$1,Data!$B$2:$B$1723,$A156))</f>
        <v>23123</v>
      </c>
      <c r="C156" s="1">
        <f>IF(COUNTIFS(Data!$A$2:$A$1723,C$1,Data!$B$2:$B$1723,$A156)=0,"",SUMIFS(Data!$F$2:$F$1723,Data!$A$2:$A$1723,C$1,Data!$B$2:$B$1723,$A156))</f>
        <v>59905.65</v>
      </c>
      <c r="D156" s="1">
        <f>IF(COUNTIFS(Data!$A$2:$A$1723,D$1,Data!$B$2:$B$1723,$A156)=0,"",SUMIFS(Data!$F$2:$F$1723,Data!$A$2:$A$1723,D$1,Data!$B$2:$B$1723,$A156))</f>
        <v>17763.45</v>
      </c>
      <c r="E156" s="1">
        <f>IF(COUNTIFS(Data!$A$2:$A$1723,E$1,Data!$B$2:$B$1723,$A156)=0,"",SUMIFS(Data!$F$2:$F$1723,Data!$A$2:$A$1723,E$1,Data!$B$2:$B$1723,$A156))</f>
        <v>54063.75</v>
      </c>
      <c r="F156" s="1">
        <f>IF(COUNTIFS(Data!$A$2:$A$1723,F$1,Data!$B$2:$B$1723,$A156)=0,"",SUMIFS(Data!$F$2:$F$1723,Data!$A$2:$A$1723,F$1,Data!$B$2:$B$1723,$A156))</f>
        <v>28653.55</v>
      </c>
      <c r="G156" s="1">
        <f>IF(COUNTIFS(Data!$A$2:$A$1723,G$1,Data!$B$2:$B$1723,$A156)=0,"",SUMIFS(Data!$F$2:$F$1723,Data!$A$2:$A$1723,G$1,Data!$B$2:$B$1723,$A156))</f>
        <v>48098.65</v>
      </c>
      <c r="H156" s="1">
        <f>IF(COUNTIFS(Data!$A$2:$A$1723,H$1,Data!$B$2:$B$1723,$A156)=0,"",SUMIFS(Data!$F$2:$F$1723,Data!$A$2:$A$1723,H$1,Data!$B$2:$B$1723,$A156))</f>
        <v>25681.8</v>
      </c>
    </row>
    <row r="157" spans="1:8" x14ac:dyDescent="0.25">
      <c r="A157" s="21">
        <v>46182</v>
      </c>
      <c r="B157" s="1">
        <f>IF(COUNTIFS(Data!$A$2:$A$1723,B$1,Data!$B$2:$B$1723,$A157)=0,"",SUMIFS(Data!$F$2:$F$1723,Data!$A$2:$A$1723,B$1,Data!$B$2:$B$1723,$A157))</f>
        <v>23242.1</v>
      </c>
      <c r="C157" s="1">
        <f>IF(COUNTIFS(Data!$A$2:$A$1723,C$1,Data!$B$2:$B$1723,$A157)=0,"",SUMIFS(Data!$F$2:$F$1723,Data!$A$2:$A$1723,C$1,Data!$B$2:$B$1723,$A157))</f>
        <v>60715.45</v>
      </c>
      <c r="D157" s="1">
        <f>IF(COUNTIFS(Data!$A$2:$A$1723,D$1,Data!$B$2:$B$1723,$A157)=0,"",SUMIFS(Data!$F$2:$F$1723,Data!$A$2:$A$1723,D$1,Data!$B$2:$B$1723,$A157))</f>
        <v>18063.599999999999</v>
      </c>
      <c r="E157" s="1">
        <f>IF(COUNTIFS(Data!$A$2:$A$1723,E$1,Data!$B$2:$B$1723,$A157)=0,"",SUMIFS(Data!$F$2:$F$1723,Data!$A$2:$A$1723,E$1,Data!$B$2:$B$1723,$A157))</f>
        <v>55194.5</v>
      </c>
      <c r="F157" s="1">
        <f>IF(COUNTIFS(Data!$A$2:$A$1723,F$1,Data!$B$2:$B$1723,$A157)=0,"",SUMIFS(Data!$F$2:$F$1723,Data!$A$2:$A$1723,F$1,Data!$B$2:$B$1723,$A157))</f>
        <v>28516.25</v>
      </c>
      <c r="G157" s="1">
        <f>IF(COUNTIFS(Data!$A$2:$A$1723,G$1,Data!$B$2:$B$1723,$A157)=0,"",SUMIFS(Data!$F$2:$F$1723,Data!$A$2:$A$1723,G$1,Data!$B$2:$B$1723,$A157))</f>
        <v>48447.4</v>
      </c>
      <c r="H157" s="1">
        <f>IF(COUNTIFS(Data!$A$2:$A$1723,H$1,Data!$B$2:$B$1723,$A157)=0,"",SUMIFS(Data!$F$2:$F$1723,Data!$A$2:$A$1723,H$1,Data!$B$2:$B$1723,$A157))</f>
        <v>26025.65</v>
      </c>
    </row>
    <row r="158" spans="1:8" x14ac:dyDescent="0.25">
      <c r="A158" s="21">
        <v>46183</v>
      </c>
      <c r="B158" s="1">
        <f>IF(COUNTIFS(Data!$A$2:$A$1723,B$1,Data!$B$2:$B$1723,$A158)=0,"",SUMIFS(Data!$F$2:$F$1723,Data!$A$2:$A$1723,B$1,Data!$B$2:$B$1723,$A158))</f>
        <v>23214.95</v>
      </c>
      <c r="C158" s="1">
        <f>IF(COUNTIFS(Data!$A$2:$A$1723,C$1,Data!$B$2:$B$1723,$A158)=0,"",SUMIFS(Data!$F$2:$F$1723,Data!$A$2:$A$1723,C$1,Data!$B$2:$B$1723,$A158))</f>
        <v>59810.2</v>
      </c>
      <c r="D158" s="1">
        <f>IF(COUNTIFS(Data!$A$2:$A$1723,D$1,Data!$B$2:$B$1723,$A158)=0,"",SUMIFS(Data!$F$2:$F$1723,Data!$A$2:$A$1723,D$1,Data!$B$2:$B$1723,$A158))</f>
        <v>17822.5</v>
      </c>
      <c r="E158" s="1">
        <f>IF(COUNTIFS(Data!$A$2:$A$1723,E$1,Data!$B$2:$B$1723,$A158)=0,"",SUMIFS(Data!$F$2:$F$1723,Data!$A$2:$A$1723,E$1,Data!$B$2:$B$1723,$A158))</f>
        <v>55100.3</v>
      </c>
      <c r="F158" s="1">
        <f>IF(COUNTIFS(Data!$A$2:$A$1723,F$1,Data!$B$2:$B$1723,$A158)=0,"",SUMIFS(Data!$F$2:$F$1723,Data!$A$2:$A$1723,F$1,Data!$B$2:$B$1723,$A158))</f>
        <v>28279.9</v>
      </c>
      <c r="G158" s="1">
        <f>IF(COUNTIFS(Data!$A$2:$A$1723,G$1,Data!$B$2:$B$1723,$A158)=0,"",SUMIFS(Data!$F$2:$F$1723,Data!$A$2:$A$1723,G$1,Data!$B$2:$B$1723,$A158))</f>
        <v>48957</v>
      </c>
      <c r="H158" s="1">
        <f>IF(COUNTIFS(Data!$A$2:$A$1723,H$1,Data!$B$2:$B$1723,$A158)=0,"",SUMIFS(Data!$F$2:$F$1723,Data!$A$2:$A$1723,H$1,Data!$B$2:$B$1723,$A158))</f>
        <v>25833.55</v>
      </c>
    </row>
    <row r="159" spans="1:8" x14ac:dyDescent="0.25">
      <c r="A159" s="21">
        <v>46184</v>
      </c>
      <c r="B159" s="1">
        <f>IF(COUNTIFS(Data!$A$2:$A$1723,B$1,Data!$B$2:$B$1723,$A159)=0,"",SUMIFS(Data!$F$2:$F$1723,Data!$A$2:$A$1723,B$1,Data!$B$2:$B$1723,$A159))</f>
        <v>23161.599999999999</v>
      </c>
      <c r="C159" s="1">
        <f>IF(COUNTIFS(Data!$A$2:$A$1723,C$1,Data!$B$2:$B$1723,$A159)=0,"",SUMIFS(Data!$F$2:$F$1723,Data!$A$2:$A$1723,C$1,Data!$B$2:$B$1723,$A159))</f>
        <v>59325.4</v>
      </c>
      <c r="D159" s="1">
        <f>IF(COUNTIFS(Data!$A$2:$A$1723,D$1,Data!$B$2:$B$1723,$A159)=0,"",SUMIFS(Data!$F$2:$F$1723,Data!$A$2:$A$1723,D$1,Data!$B$2:$B$1723,$A159))</f>
        <v>17702.599999999999</v>
      </c>
      <c r="E159" s="1">
        <f>IF(COUNTIFS(Data!$A$2:$A$1723,E$1,Data!$B$2:$B$1723,$A159)=0,"",SUMIFS(Data!$F$2:$F$1723,Data!$A$2:$A$1723,E$1,Data!$B$2:$B$1723,$A159))</f>
        <v>55176.75</v>
      </c>
      <c r="F159" s="1">
        <f>IF(COUNTIFS(Data!$A$2:$A$1723,F$1,Data!$B$2:$B$1723,$A159)=0,"",SUMIFS(Data!$F$2:$F$1723,Data!$A$2:$A$1723,F$1,Data!$B$2:$B$1723,$A159))</f>
        <v>27821</v>
      </c>
      <c r="G159" s="1">
        <f>IF(COUNTIFS(Data!$A$2:$A$1723,G$1,Data!$B$2:$B$1723,$A159)=0,"",SUMIFS(Data!$F$2:$F$1723,Data!$A$2:$A$1723,G$1,Data!$B$2:$B$1723,$A159))</f>
        <v>48521.8</v>
      </c>
      <c r="H159" s="1">
        <f>IF(COUNTIFS(Data!$A$2:$A$1723,H$1,Data!$B$2:$B$1723,$A159)=0,"",SUMIFS(Data!$F$2:$F$1723,Data!$A$2:$A$1723,H$1,Data!$B$2:$B$1723,$A159))</f>
        <v>25790.35</v>
      </c>
    </row>
    <row r="160" spans="1:8" x14ac:dyDescent="0.25">
      <c r="A160" s="21">
        <v>46185</v>
      </c>
      <c r="B160" s="1">
        <f>IF(COUNTIFS(Data!$A$2:$A$1723,B$1,Data!$B$2:$B$1723,$A160)=0,"",SUMIFS(Data!$F$2:$F$1723,Data!$A$2:$A$1723,B$1,Data!$B$2:$B$1723,$A160))</f>
        <v>23622.9</v>
      </c>
      <c r="C160" s="1">
        <f>IF(COUNTIFS(Data!$A$2:$A$1723,C$1,Data!$B$2:$B$1723,$A160)=0,"",SUMIFS(Data!$F$2:$F$1723,Data!$A$2:$A$1723,C$1,Data!$B$2:$B$1723,$A160))</f>
        <v>60768.1</v>
      </c>
      <c r="D160" s="1">
        <f>IF(COUNTIFS(Data!$A$2:$A$1723,D$1,Data!$B$2:$B$1723,$A160)=0,"",SUMIFS(Data!$F$2:$F$1723,Data!$A$2:$A$1723,D$1,Data!$B$2:$B$1723,$A160))</f>
        <v>18197.45</v>
      </c>
      <c r="E160" s="1">
        <f>IF(COUNTIFS(Data!$A$2:$A$1723,E$1,Data!$B$2:$B$1723,$A160)=0,"",SUMIFS(Data!$F$2:$F$1723,Data!$A$2:$A$1723,E$1,Data!$B$2:$B$1723,$A160))</f>
        <v>56814.8</v>
      </c>
      <c r="F160" s="1">
        <f>IF(COUNTIFS(Data!$A$2:$A$1723,F$1,Data!$B$2:$B$1723,$A160)=0,"",SUMIFS(Data!$F$2:$F$1723,Data!$A$2:$A$1723,F$1,Data!$B$2:$B$1723,$A160))</f>
        <v>27795.75</v>
      </c>
      <c r="G160" s="1">
        <f>IF(COUNTIFS(Data!$A$2:$A$1723,G$1,Data!$B$2:$B$1723,$A160)=0,"",SUMIFS(Data!$F$2:$F$1723,Data!$A$2:$A$1723,G$1,Data!$B$2:$B$1723,$A160))</f>
        <v>48827.6</v>
      </c>
      <c r="H160" s="1">
        <f>IF(COUNTIFS(Data!$A$2:$A$1723,H$1,Data!$B$2:$B$1723,$A160)=0,"",SUMIFS(Data!$F$2:$F$1723,Data!$A$2:$A$1723,H$1,Data!$B$2:$B$1723,$A160))</f>
        <v>26293.85</v>
      </c>
    </row>
    <row r="161" spans="1:8" x14ac:dyDescent="0.25">
      <c r="A161" s="21">
        <v>46188</v>
      </c>
      <c r="B161" s="1">
        <f>IF(COUNTIFS(Data!$A$2:$A$1723,B$1,Data!$B$2:$B$1723,$A161)=0,"",SUMIFS(Data!$F$2:$F$1723,Data!$A$2:$A$1723,B$1,Data!$B$2:$B$1723,$A161))</f>
        <v>23853.9</v>
      </c>
      <c r="C161" s="1">
        <f>IF(COUNTIFS(Data!$A$2:$A$1723,C$1,Data!$B$2:$B$1723,$A161)=0,"",SUMIFS(Data!$F$2:$F$1723,Data!$A$2:$A$1723,C$1,Data!$B$2:$B$1723,$A161))</f>
        <v>61549.65</v>
      </c>
      <c r="D161" s="1">
        <f>IF(COUNTIFS(Data!$A$2:$A$1723,D$1,Data!$B$2:$B$1723,$A161)=0,"",SUMIFS(Data!$F$2:$F$1723,Data!$A$2:$A$1723,D$1,Data!$B$2:$B$1723,$A161))</f>
        <v>18400</v>
      </c>
      <c r="E161" s="1">
        <f>IF(COUNTIFS(Data!$A$2:$A$1723,E$1,Data!$B$2:$B$1723,$A161)=0,"",SUMIFS(Data!$F$2:$F$1723,Data!$A$2:$A$1723,E$1,Data!$B$2:$B$1723,$A161))</f>
        <v>57198.8</v>
      </c>
      <c r="F161" s="1">
        <f>IF(COUNTIFS(Data!$A$2:$A$1723,F$1,Data!$B$2:$B$1723,$A161)=0,"",SUMIFS(Data!$F$2:$F$1723,Data!$A$2:$A$1723,F$1,Data!$B$2:$B$1723,$A161))</f>
        <v>28067.85</v>
      </c>
      <c r="G161" s="1">
        <f>IF(COUNTIFS(Data!$A$2:$A$1723,G$1,Data!$B$2:$B$1723,$A161)=0,"",SUMIFS(Data!$F$2:$F$1723,Data!$A$2:$A$1723,G$1,Data!$B$2:$B$1723,$A161))</f>
        <v>49043.4</v>
      </c>
      <c r="H161" s="1">
        <f>IF(COUNTIFS(Data!$A$2:$A$1723,H$1,Data!$B$2:$B$1723,$A161)=0,"",SUMIFS(Data!$F$2:$F$1723,Data!$A$2:$A$1723,H$1,Data!$B$2:$B$1723,$A161))</f>
        <v>26977.5</v>
      </c>
    </row>
    <row r="162" spans="1:8" x14ac:dyDescent="0.25">
      <c r="A162" s="21">
        <v>46189</v>
      </c>
      <c r="B162" s="1">
        <f>IF(COUNTIFS(Data!$A$2:$A$1723,B$1,Data!$B$2:$B$1723,$A162)=0,"",SUMIFS(Data!$F$2:$F$1723,Data!$A$2:$A$1723,B$1,Data!$B$2:$B$1723,$A162))</f>
        <v>23989.15</v>
      </c>
      <c r="C162" s="1">
        <f>IF(COUNTIFS(Data!$A$2:$A$1723,C$1,Data!$B$2:$B$1723,$A162)=0,"",SUMIFS(Data!$F$2:$F$1723,Data!$A$2:$A$1723,C$1,Data!$B$2:$B$1723,$A162))</f>
        <v>61802.05</v>
      </c>
      <c r="D162" s="1">
        <f>IF(COUNTIFS(Data!$A$2:$A$1723,D$1,Data!$B$2:$B$1723,$A162)=0,"",SUMIFS(Data!$F$2:$F$1723,Data!$A$2:$A$1723,D$1,Data!$B$2:$B$1723,$A162))</f>
        <v>18477.75</v>
      </c>
      <c r="E162" s="1">
        <f>IF(COUNTIFS(Data!$A$2:$A$1723,E$1,Data!$B$2:$B$1723,$A162)=0,"",SUMIFS(Data!$F$2:$F$1723,Data!$A$2:$A$1723,E$1,Data!$B$2:$B$1723,$A162))</f>
        <v>57297.15</v>
      </c>
      <c r="F162" s="1">
        <f>IF(COUNTIFS(Data!$A$2:$A$1723,F$1,Data!$B$2:$B$1723,$A162)=0,"",SUMIFS(Data!$F$2:$F$1723,Data!$A$2:$A$1723,F$1,Data!$B$2:$B$1723,$A162))</f>
        <v>28568.1</v>
      </c>
      <c r="G162" s="1">
        <f>IF(COUNTIFS(Data!$A$2:$A$1723,G$1,Data!$B$2:$B$1723,$A162)=0,"",SUMIFS(Data!$F$2:$F$1723,Data!$A$2:$A$1723,G$1,Data!$B$2:$B$1723,$A162))</f>
        <v>49642.400000000001</v>
      </c>
      <c r="H162" s="1">
        <f>IF(COUNTIFS(Data!$A$2:$A$1723,H$1,Data!$B$2:$B$1723,$A162)=0,"",SUMIFS(Data!$F$2:$F$1723,Data!$A$2:$A$1723,H$1,Data!$B$2:$B$1723,$A162))</f>
        <v>26891.55</v>
      </c>
    </row>
    <row r="163" spans="1:8" x14ac:dyDescent="0.25">
      <c r="A163" s="21">
        <v>46190</v>
      </c>
      <c r="B163" s="1">
        <f>IF(COUNTIFS(Data!$A$2:$A$1723,B$1,Data!$B$2:$B$1723,$A163)=0,"",SUMIFS(Data!$F$2:$F$1723,Data!$A$2:$A$1723,B$1,Data!$B$2:$B$1723,$A163))</f>
        <v>24085.7</v>
      </c>
      <c r="C163" s="1">
        <f>IF(COUNTIFS(Data!$A$2:$A$1723,C$1,Data!$B$2:$B$1723,$A163)=0,"",SUMIFS(Data!$F$2:$F$1723,Data!$A$2:$A$1723,C$1,Data!$B$2:$B$1723,$A163))</f>
        <v>62123.35</v>
      </c>
      <c r="D163" s="1">
        <f>IF(COUNTIFS(Data!$A$2:$A$1723,D$1,Data!$B$2:$B$1723,$A163)=0,"",SUMIFS(Data!$F$2:$F$1723,Data!$A$2:$A$1723,D$1,Data!$B$2:$B$1723,$A163))</f>
        <v>18623.2</v>
      </c>
      <c r="E163" s="1">
        <f>IF(COUNTIFS(Data!$A$2:$A$1723,E$1,Data!$B$2:$B$1723,$A163)=0,"",SUMIFS(Data!$F$2:$F$1723,Data!$A$2:$A$1723,E$1,Data!$B$2:$B$1723,$A163))</f>
        <v>57585.05</v>
      </c>
      <c r="F163" s="1">
        <f>IF(COUNTIFS(Data!$A$2:$A$1723,F$1,Data!$B$2:$B$1723,$A163)=0,"",SUMIFS(Data!$F$2:$F$1723,Data!$A$2:$A$1723,F$1,Data!$B$2:$B$1723,$A163))</f>
        <v>28809.55</v>
      </c>
      <c r="G163" s="1">
        <f>IF(COUNTIFS(Data!$A$2:$A$1723,G$1,Data!$B$2:$B$1723,$A163)=0,"",SUMIFS(Data!$F$2:$F$1723,Data!$A$2:$A$1723,G$1,Data!$B$2:$B$1723,$A163))</f>
        <v>49556.05</v>
      </c>
      <c r="H163" s="1">
        <f>IF(COUNTIFS(Data!$A$2:$A$1723,H$1,Data!$B$2:$B$1723,$A163)=0,"",SUMIFS(Data!$F$2:$F$1723,Data!$A$2:$A$1723,H$1,Data!$B$2:$B$1723,$A163))</f>
        <v>26724.400000000001</v>
      </c>
    </row>
    <row r="164" spans="1:8" x14ac:dyDescent="0.25">
      <c r="A164" s="21">
        <v>46191</v>
      </c>
      <c r="B164" s="1">
        <f>IF(COUNTIFS(Data!$A$2:$A$1723,B$1,Data!$B$2:$B$1723,$A164)=0,"",SUMIFS(Data!$F$2:$F$1723,Data!$A$2:$A$1723,B$1,Data!$B$2:$B$1723,$A164))</f>
        <v>24168</v>
      </c>
      <c r="C164" s="1">
        <f>IF(COUNTIFS(Data!$A$2:$A$1723,C$1,Data!$B$2:$B$1723,$A164)=0,"",SUMIFS(Data!$F$2:$F$1723,Data!$A$2:$A$1723,C$1,Data!$B$2:$B$1723,$A164))</f>
        <v>62379.25</v>
      </c>
      <c r="D164" s="1">
        <f>IF(COUNTIFS(Data!$A$2:$A$1723,D$1,Data!$B$2:$B$1723,$A164)=0,"",SUMIFS(Data!$F$2:$F$1723,Data!$A$2:$A$1723,D$1,Data!$B$2:$B$1723,$A164))</f>
        <v>18705.599999999999</v>
      </c>
      <c r="E164" s="1">
        <f>IF(COUNTIFS(Data!$A$2:$A$1723,E$1,Data!$B$2:$B$1723,$A164)=0,"",SUMIFS(Data!$F$2:$F$1723,Data!$A$2:$A$1723,E$1,Data!$B$2:$B$1723,$A164))</f>
        <v>57963.8</v>
      </c>
      <c r="F164" s="1">
        <f>IF(COUNTIFS(Data!$A$2:$A$1723,F$1,Data!$B$2:$B$1723,$A164)=0,"",SUMIFS(Data!$F$2:$F$1723,Data!$A$2:$A$1723,F$1,Data!$B$2:$B$1723,$A164))</f>
        <v>28466.45</v>
      </c>
      <c r="G164" s="1">
        <f>IF(COUNTIFS(Data!$A$2:$A$1723,G$1,Data!$B$2:$B$1723,$A164)=0,"",SUMIFS(Data!$F$2:$F$1723,Data!$A$2:$A$1723,G$1,Data!$B$2:$B$1723,$A164))</f>
        <v>49654.5</v>
      </c>
      <c r="H164" s="1">
        <f>IF(COUNTIFS(Data!$A$2:$A$1723,H$1,Data!$B$2:$B$1723,$A164)=0,"",SUMIFS(Data!$F$2:$F$1723,Data!$A$2:$A$1723,H$1,Data!$B$2:$B$1723,$A164))</f>
        <v>26746.400000000001</v>
      </c>
    </row>
    <row r="165" spans="1:8" x14ac:dyDescent="0.25">
      <c r="A165" s="21">
        <v>46192</v>
      </c>
      <c r="B165" s="1">
        <f>IF(COUNTIFS(Data!$A$2:$A$1723,B$1,Data!$B$2:$B$1723,$A165)=0,"",SUMIFS(Data!$F$2:$F$1723,Data!$A$2:$A$1723,B$1,Data!$B$2:$B$1723,$A165))</f>
        <v>24013.1</v>
      </c>
      <c r="C165" s="1">
        <f>IF(COUNTIFS(Data!$A$2:$A$1723,C$1,Data!$B$2:$B$1723,$A165)=0,"",SUMIFS(Data!$F$2:$F$1723,Data!$A$2:$A$1723,C$1,Data!$B$2:$B$1723,$A165))</f>
        <v>62517.3</v>
      </c>
      <c r="D165" s="1">
        <f>IF(COUNTIFS(Data!$A$2:$A$1723,D$1,Data!$B$2:$B$1723,$A165)=0,"",SUMIFS(Data!$F$2:$F$1723,Data!$A$2:$A$1723,D$1,Data!$B$2:$B$1723,$A165))</f>
        <v>18784.45</v>
      </c>
      <c r="E165" s="1">
        <f>IF(COUNTIFS(Data!$A$2:$A$1723,E$1,Data!$B$2:$B$1723,$A165)=0,"",SUMIFS(Data!$F$2:$F$1723,Data!$A$2:$A$1723,E$1,Data!$B$2:$B$1723,$A165))</f>
        <v>57685.75</v>
      </c>
      <c r="F165" s="1">
        <f>IF(COUNTIFS(Data!$A$2:$A$1723,F$1,Data!$B$2:$B$1723,$A165)=0,"",SUMIFS(Data!$F$2:$F$1723,Data!$A$2:$A$1723,F$1,Data!$B$2:$B$1723,$A165))</f>
        <v>27426.85</v>
      </c>
      <c r="G165" s="1">
        <f>IF(COUNTIFS(Data!$A$2:$A$1723,G$1,Data!$B$2:$B$1723,$A165)=0,"",SUMIFS(Data!$F$2:$F$1723,Data!$A$2:$A$1723,G$1,Data!$B$2:$B$1723,$A165))</f>
        <v>49558.7</v>
      </c>
      <c r="H165" s="1">
        <f>IF(COUNTIFS(Data!$A$2:$A$1723,H$1,Data!$B$2:$B$1723,$A165)=0,"",SUMIFS(Data!$F$2:$F$1723,Data!$A$2:$A$1723,H$1,Data!$B$2:$B$1723,$A165))</f>
        <v>26583.35</v>
      </c>
    </row>
    <row r="166" spans="1:8" x14ac:dyDescent="0.25">
      <c r="A166" s="21">
        <v>46195</v>
      </c>
      <c r="B166" s="1">
        <f>IF(COUNTIFS(Data!$A$2:$A$1723,B$1,Data!$B$2:$B$1723,$A166)=0,"",SUMIFS(Data!$F$2:$F$1723,Data!$A$2:$A$1723,B$1,Data!$B$2:$B$1723,$A166))</f>
        <v>24102.9</v>
      </c>
      <c r="C166" s="1">
        <f>IF(COUNTIFS(Data!$A$2:$A$1723,C$1,Data!$B$2:$B$1723,$A166)=0,"",SUMIFS(Data!$F$2:$F$1723,Data!$A$2:$A$1723,C$1,Data!$B$2:$B$1723,$A166))</f>
        <v>62729.1</v>
      </c>
      <c r="D166" s="1">
        <f>IF(COUNTIFS(Data!$A$2:$A$1723,D$1,Data!$B$2:$B$1723,$A166)=0,"",SUMIFS(Data!$F$2:$F$1723,Data!$A$2:$A$1723,D$1,Data!$B$2:$B$1723,$A166))</f>
        <v>18897</v>
      </c>
      <c r="E166" s="1">
        <f>IF(COUNTIFS(Data!$A$2:$A$1723,E$1,Data!$B$2:$B$1723,$A166)=0,"",SUMIFS(Data!$F$2:$F$1723,Data!$A$2:$A$1723,E$1,Data!$B$2:$B$1723,$A166))</f>
        <v>57935.6</v>
      </c>
      <c r="F166" s="1">
        <f>IF(COUNTIFS(Data!$A$2:$A$1723,F$1,Data!$B$2:$B$1723,$A166)=0,"",SUMIFS(Data!$F$2:$F$1723,Data!$A$2:$A$1723,F$1,Data!$B$2:$B$1723,$A166))</f>
        <v>27628.55</v>
      </c>
      <c r="G166" s="1">
        <f>IF(COUNTIFS(Data!$A$2:$A$1723,G$1,Data!$B$2:$B$1723,$A166)=0,"",SUMIFS(Data!$F$2:$F$1723,Data!$A$2:$A$1723,G$1,Data!$B$2:$B$1723,$A166))</f>
        <v>49355.1</v>
      </c>
      <c r="H166" s="1">
        <f>IF(COUNTIFS(Data!$A$2:$A$1723,H$1,Data!$B$2:$B$1723,$A166)=0,"",SUMIFS(Data!$F$2:$F$1723,Data!$A$2:$A$1723,H$1,Data!$B$2:$B$1723,$A166))</f>
        <v>26703.45</v>
      </c>
    </row>
    <row r="167" spans="1:8" x14ac:dyDescent="0.25">
      <c r="A167" s="21">
        <v>46196</v>
      </c>
      <c r="B167" s="1">
        <f>IF(COUNTIFS(Data!$A$2:$A$1723,B$1,Data!$B$2:$B$1723,$A167)=0,"",SUMIFS(Data!$F$2:$F$1723,Data!$A$2:$A$1723,B$1,Data!$B$2:$B$1723,$A167))</f>
        <v>23824.1</v>
      </c>
      <c r="C167" s="1">
        <f>IF(COUNTIFS(Data!$A$2:$A$1723,C$1,Data!$B$2:$B$1723,$A167)=0,"",SUMIFS(Data!$F$2:$F$1723,Data!$A$2:$A$1723,C$1,Data!$B$2:$B$1723,$A167))</f>
        <v>62070.35</v>
      </c>
      <c r="D167" s="1">
        <f>IF(COUNTIFS(Data!$A$2:$A$1723,D$1,Data!$B$2:$B$1723,$A167)=0,"",SUMIFS(Data!$F$2:$F$1723,Data!$A$2:$A$1723,D$1,Data!$B$2:$B$1723,$A167))</f>
        <v>18805.900000000001</v>
      </c>
      <c r="E167" s="1">
        <f>IF(COUNTIFS(Data!$A$2:$A$1723,E$1,Data!$B$2:$B$1723,$A167)=0,"",SUMIFS(Data!$F$2:$F$1723,Data!$A$2:$A$1723,E$1,Data!$B$2:$B$1723,$A167))</f>
        <v>57183.75</v>
      </c>
      <c r="F167" s="1">
        <f>IF(COUNTIFS(Data!$A$2:$A$1723,F$1,Data!$B$2:$B$1723,$A167)=0,"",SUMIFS(Data!$F$2:$F$1723,Data!$A$2:$A$1723,F$1,Data!$B$2:$B$1723,$A167))</f>
        <v>27012.05</v>
      </c>
      <c r="G167" s="1">
        <f>IF(COUNTIFS(Data!$A$2:$A$1723,G$1,Data!$B$2:$B$1723,$A167)=0,"",SUMIFS(Data!$F$2:$F$1723,Data!$A$2:$A$1723,G$1,Data!$B$2:$B$1723,$A167))</f>
        <v>49059.05</v>
      </c>
      <c r="H167" s="1">
        <f>IF(COUNTIFS(Data!$A$2:$A$1723,H$1,Data!$B$2:$B$1723,$A167)=0,"",SUMIFS(Data!$F$2:$F$1723,Data!$A$2:$A$1723,H$1,Data!$B$2:$B$1723,$A167))</f>
        <v>26496.5</v>
      </c>
    </row>
    <row r="168" spans="1:8" x14ac:dyDescent="0.25">
      <c r="A168" s="21">
        <v>46197</v>
      </c>
      <c r="B168" s="1">
        <f>IF(COUNTIFS(Data!$A$2:$A$1723,B$1,Data!$B$2:$B$1723,$A168)=0,"",SUMIFS(Data!$F$2:$F$1723,Data!$A$2:$A$1723,B$1,Data!$B$2:$B$1723,$A168))</f>
        <v>24021.65</v>
      </c>
      <c r="C168" s="1">
        <f>IF(COUNTIFS(Data!$A$2:$A$1723,C$1,Data!$B$2:$B$1723,$A168)=0,"",SUMIFS(Data!$F$2:$F$1723,Data!$A$2:$A$1723,C$1,Data!$B$2:$B$1723,$A168))</f>
        <v>62135.25</v>
      </c>
      <c r="D168" s="1">
        <f>IF(COUNTIFS(Data!$A$2:$A$1723,D$1,Data!$B$2:$B$1723,$A168)=0,"",SUMIFS(Data!$F$2:$F$1723,Data!$A$2:$A$1723,D$1,Data!$B$2:$B$1723,$A168))</f>
        <v>18879.3</v>
      </c>
      <c r="E168" s="1">
        <f>IF(COUNTIFS(Data!$A$2:$A$1723,E$1,Data!$B$2:$B$1723,$A168)=0,"",SUMIFS(Data!$F$2:$F$1723,Data!$A$2:$A$1723,E$1,Data!$B$2:$B$1723,$A168))</f>
        <v>58150.35</v>
      </c>
      <c r="F168" s="1">
        <f>IF(COUNTIFS(Data!$A$2:$A$1723,F$1,Data!$B$2:$B$1723,$A168)=0,"",SUMIFS(Data!$F$2:$F$1723,Data!$A$2:$A$1723,F$1,Data!$B$2:$B$1723,$A168))</f>
        <v>27566.7</v>
      </c>
      <c r="G168" s="1">
        <f>IF(COUNTIFS(Data!$A$2:$A$1723,G$1,Data!$B$2:$B$1723,$A168)=0,"",SUMIFS(Data!$F$2:$F$1723,Data!$A$2:$A$1723,G$1,Data!$B$2:$B$1723,$A168))</f>
        <v>49085.1</v>
      </c>
      <c r="H168" s="1">
        <f>IF(COUNTIFS(Data!$A$2:$A$1723,H$1,Data!$B$2:$B$1723,$A168)=0,"",SUMIFS(Data!$F$2:$F$1723,Data!$A$2:$A$1723,H$1,Data!$B$2:$B$1723,$A168))</f>
        <v>26384.35</v>
      </c>
    </row>
    <row r="169" spans="1:8" x14ac:dyDescent="0.25">
      <c r="A169" s="21">
        <v>46198</v>
      </c>
      <c r="B169" s="1">
        <f>IF(COUNTIFS(Data!$A$2:$A$1723,B$1,Data!$B$2:$B$1723,$A169)=0,"",SUMIFS(Data!$F$2:$F$1723,Data!$A$2:$A$1723,B$1,Data!$B$2:$B$1723,$A169))</f>
        <v>24056</v>
      </c>
      <c r="C169" s="1">
        <f>IF(COUNTIFS(Data!$A$2:$A$1723,C$1,Data!$B$2:$B$1723,$A169)=0,"",SUMIFS(Data!$F$2:$F$1723,Data!$A$2:$A$1723,C$1,Data!$B$2:$B$1723,$A169))</f>
        <v>61795.5</v>
      </c>
      <c r="D169" s="1">
        <f>IF(COUNTIFS(Data!$A$2:$A$1723,D$1,Data!$B$2:$B$1723,$A169)=0,"",SUMIFS(Data!$F$2:$F$1723,Data!$A$2:$A$1723,D$1,Data!$B$2:$B$1723,$A169))</f>
        <v>18790.349999999999</v>
      </c>
      <c r="E169" s="1">
        <f>IF(COUNTIFS(Data!$A$2:$A$1723,E$1,Data!$B$2:$B$1723,$A169)=0,"",SUMIFS(Data!$F$2:$F$1723,Data!$A$2:$A$1723,E$1,Data!$B$2:$B$1723,$A169))</f>
        <v>58177.05</v>
      </c>
      <c r="F169" s="1">
        <f>IF(COUNTIFS(Data!$A$2:$A$1723,F$1,Data!$B$2:$B$1723,$A169)=0,"",SUMIFS(Data!$F$2:$F$1723,Data!$A$2:$A$1723,F$1,Data!$B$2:$B$1723,$A169))</f>
        <v>27330.85</v>
      </c>
      <c r="G169" s="1">
        <f>IF(COUNTIFS(Data!$A$2:$A$1723,G$1,Data!$B$2:$B$1723,$A169)=0,"",SUMIFS(Data!$F$2:$F$1723,Data!$A$2:$A$1723,G$1,Data!$B$2:$B$1723,$A169))</f>
        <v>49419.25</v>
      </c>
      <c r="H169" s="1">
        <f>IF(COUNTIFS(Data!$A$2:$A$1723,H$1,Data!$B$2:$B$1723,$A169)=0,"",SUMIFS(Data!$F$2:$F$1723,Data!$A$2:$A$1723,H$1,Data!$B$2:$B$1723,$A169))</f>
        <v>26977.75</v>
      </c>
    </row>
    <row r="170" spans="1:8" x14ac:dyDescent="0.25">
      <c r="A170" s="21">
        <v>46202</v>
      </c>
      <c r="B170" s="1">
        <f>IF(COUNTIFS(Data!$A$2:$A$1723,B$1,Data!$B$2:$B$1723,$A170)=0,"",SUMIFS(Data!$F$2:$F$1723,Data!$A$2:$A$1723,B$1,Data!$B$2:$B$1723,$A170))</f>
        <v>23946.25</v>
      </c>
      <c r="C170" s="1">
        <f>IF(COUNTIFS(Data!$A$2:$A$1723,C$1,Data!$B$2:$B$1723,$A170)=0,"",SUMIFS(Data!$F$2:$F$1723,Data!$A$2:$A$1723,C$1,Data!$B$2:$B$1723,$A170))</f>
        <v>61567.3</v>
      </c>
      <c r="D170" s="1">
        <f>IF(COUNTIFS(Data!$A$2:$A$1723,D$1,Data!$B$2:$B$1723,$A170)=0,"",SUMIFS(Data!$F$2:$F$1723,Data!$A$2:$A$1723,D$1,Data!$B$2:$B$1723,$A170))</f>
        <v>18673.099999999999</v>
      </c>
      <c r="E170" s="1">
        <f>IF(COUNTIFS(Data!$A$2:$A$1723,E$1,Data!$B$2:$B$1723,$A170)=0,"",SUMIFS(Data!$F$2:$F$1723,Data!$A$2:$A$1723,E$1,Data!$B$2:$B$1723,$A170))</f>
        <v>57727.35</v>
      </c>
      <c r="F170" s="1">
        <f>IF(COUNTIFS(Data!$A$2:$A$1723,F$1,Data!$B$2:$B$1723,$A170)=0,"",SUMIFS(Data!$F$2:$F$1723,Data!$A$2:$A$1723,F$1,Data!$B$2:$B$1723,$A170))</f>
        <v>27038.5</v>
      </c>
      <c r="G170" s="1">
        <f>IF(COUNTIFS(Data!$A$2:$A$1723,G$1,Data!$B$2:$B$1723,$A170)=0,"",SUMIFS(Data!$F$2:$F$1723,Data!$A$2:$A$1723,G$1,Data!$B$2:$B$1723,$A170))</f>
        <v>49127.65</v>
      </c>
      <c r="H170" s="1">
        <f>IF(COUNTIFS(Data!$A$2:$A$1723,H$1,Data!$B$2:$B$1723,$A170)=0,"",SUMIFS(Data!$F$2:$F$1723,Data!$A$2:$A$1723,H$1,Data!$B$2:$B$1723,$A170))</f>
        <v>26417.599999999999</v>
      </c>
    </row>
    <row r="171" spans="1:8" x14ac:dyDescent="0.25">
      <c r="A171" s="21">
        <v>46203</v>
      </c>
      <c r="B171" s="1">
        <f>IF(COUNTIFS(Data!$A$2:$A$1723,B$1,Data!$B$2:$B$1723,$A171)=0,"",SUMIFS(Data!$F$2:$F$1723,Data!$A$2:$A$1723,B$1,Data!$B$2:$B$1723,$A171))</f>
        <v>23865.75</v>
      </c>
      <c r="C171" s="1">
        <f>IF(COUNTIFS(Data!$A$2:$A$1723,C$1,Data!$B$2:$B$1723,$A171)=0,"",SUMIFS(Data!$F$2:$F$1723,Data!$A$2:$A$1723,C$1,Data!$B$2:$B$1723,$A171))</f>
        <v>61797.7</v>
      </c>
      <c r="D171" s="1">
        <f>IF(COUNTIFS(Data!$A$2:$A$1723,D$1,Data!$B$2:$B$1723,$A171)=0,"",SUMIFS(Data!$F$2:$F$1723,Data!$A$2:$A$1723,D$1,Data!$B$2:$B$1723,$A171))</f>
        <v>18863.099999999999</v>
      </c>
      <c r="E171" s="1">
        <f>IF(COUNTIFS(Data!$A$2:$A$1723,E$1,Data!$B$2:$B$1723,$A171)=0,"",SUMIFS(Data!$F$2:$F$1723,Data!$A$2:$A$1723,E$1,Data!$B$2:$B$1723,$A171))</f>
        <v>57542.9</v>
      </c>
      <c r="F171" s="1">
        <f>IF(COUNTIFS(Data!$A$2:$A$1723,F$1,Data!$B$2:$B$1723,$A171)=0,"",SUMIFS(Data!$F$2:$F$1723,Data!$A$2:$A$1723,F$1,Data!$B$2:$B$1723,$A171))</f>
        <v>26299.05</v>
      </c>
      <c r="G171" s="1">
        <f>IF(COUNTIFS(Data!$A$2:$A$1723,G$1,Data!$B$2:$B$1723,$A171)=0,"",SUMIFS(Data!$F$2:$F$1723,Data!$A$2:$A$1723,G$1,Data!$B$2:$B$1723,$A171))</f>
        <v>48794.2</v>
      </c>
      <c r="H171" s="1">
        <f>IF(COUNTIFS(Data!$A$2:$A$1723,H$1,Data!$B$2:$B$1723,$A171)=0,"",SUMIFS(Data!$F$2:$F$1723,Data!$A$2:$A$1723,H$1,Data!$B$2:$B$1723,$A171))</f>
        <v>26479.8</v>
      </c>
    </row>
    <row r="172" spans="1:8" x14ac:dyDescent="0.25">
      <c r="A172" s="21">
        <v>46204</v>
      </c>
      <c r="B172" s="1">
        <f>IF(COUNTIFS(Data!$A$2:$A$1723,B$1,Data!$B$2:$B$1723,$A172)=0,"",SUMIFS(Data!$F$2:$F$1723,Data!$A$2:$A$1723,B$1,Data!$B$2:$B$1723,$A172))</f>
        <v>24005.85</v>
      </c>
      <c r="C172" s="1">
        <f>IF(COUNTIFS(Data!$A$2:$A$1723,C$1,Data!$B$2:$B$1723,$A172)=0,"",SUMIFS(Data!$F$2:$F$1723,Data!$A$2:$A$1723,C$1,Data!$B$2:$B$1723,$A172))</f>
        <v>62008.800000000003</v>
      </c>
      <c r="D172" s="1">
        <f>IF(COUNTIFS(Data!$A$2:$A$1723,D$1,Data!$B$2:$B$1723,$A172)=0,"",SUMIFS(Data!$F$2:$F$1723,Data!$A$2:$A$1723,D$1,Data!$B$2:$B$1723,$A172))</f>
        <v>18931.05</v>
      </c>
      <c r="E172" s="1">
        <f>IF(COUNTIFS(Data!$A$2:$A$1723,E$1,Data!$B$2:$B$1723,$A172)=0,"",SUMIFS(Data!$F$2:$F$1723,Data!$A$2:$A$1723,E$1,Data!$B$2:$B$1723,$A172))</f>
        <v>58033.05</v>
      </c>
      <c r="F172" s="1">
        <f>IF(COUNTIFS(Data!$A$2:$A$1723,F$1,Data!$B$2:$B$1723,$A172)=0,"",SUMIFS(Data!$F$2:$F$1723,Data!$A$2:$A$1723,F$1,Data!$B$2:$B$1723,$A172))</f>
        <v>25769.8</v>
      </c>
      <c r="G172" s="1">
        <f>IF(COUNTIFS(Data!$A$2:$A$1723,G$1,Data!$B$2:$B$1723,$A172)=0,"",SUMIFS(Data!$F$2:$F$1723,Data!$A$2:$A$1723,G$1,Data!$B$2:$B$1723,$A172))</f>
        <v>49806.8</v>
      </c>
      <c r="H172" s="1">
        <f>IF(COUNTIFS(Data!$A$2:$A$1723,H$1,Data!$B$2:$B$1723,$A172)=0,"",SUMIFS(Data!$F$2:$F$1723,Data!$A$2:$A$1723,H$1,Data!$B$2:$B$1723,$A172))</f>
        <v>26783.200000000001</v>
      </c>
    </row>
    <row r="173" spans="1:8" x14ac:dyDescent="0.25">
      <c r="A173" s="21">
        <v>46205</v>
      </c>
      <c r="B173" s="1">
        <f>IF(COUNTIFS(Data!$A$2:$A$1723,B$1,Data!$B$2:$B$1723,$A173)=0,"",SUMIFS(Data!$F$2:$F$1723,Data!$A$2:$A$1723,B$1,Data!$B$2:$B$1723,$A173))</f>
        <v>24175.7</v>
      </c>
      <c r="C173" s="1">
        <f>IF(COUNTIFS(Data!$A$2:$A$1723,C$1,Data!$B$2:$B$1723,$A173)=0,"",SUMIFS(Data!$F$2:$F$1723,Data!$A$2:$A$1723,C$1,Data!$B$2:$B$1723,$A173))</f>
        <v>62307.9</v>
      </c>
      <c r="D173" s="1">
        <f>IF(COUNTIFS(Data!$A$2:$A$1723,D$1,Data!$B$2:$B$1723,$A173)=0,"",SUMIFS(Data!$F$2:$F$1723,Data!$A$2:$A$1723,D$1,Data!$B$2:$B$1723,$A173))</f>
        <v>19167.8</v>
      </c>
      <c r="E173" s="1">
        <f>IF(COUNTIFS(Data!$A$2:$A$1723,E$1,Data!$B$2:$B$1723,$A173)=0,"",SUMIFS(Data!$F$2:$F$1723,Data!$A$2:$A$1723,E$1,Data!$B$2:$B$1723,$A173))</f>
        <v>58031.65</v>
      </c>
      <c r="F173" s="1">
        <f>IF(COUNTIFS(Data!$A$2:$A$1723,F$1,Data!$B$2:$B$1723,$A173)=0,"",SUMIFS(Data!$F$2:$F$1723,Data!$A$2:$A$1723,F$1,Data!$B$2:$B$1723,$A173))</f>
        <v>26965.05</v>
      </c>
      <c r="G173" s="1">
        <f>IF(COUNTIFS(Data!$A$2:$A$1723,G$1,Data!$B$2:$B$1723,$A173)=0,"",SUMIFS(Data!$F$2:$F$1723,Data!$A$2:$A$1723,G$1,Data!$B$2:$B$1723,$A173))</f>
        <v>50084.7</v>
      </c>
      <c r="H173" s="1">
        <f>IF(COUNTIFS(Data!$A$2:$A$1723,H$1,Data!$B$2:$B$1723,$A173)=0,"",SUMIFS(Data!$F$2:$F$1723,Data!$A$2:$A$1723,H$1,Data!$B$2:$B$1723,$A173))</f>
        <v>27108.2</v>
      </c>
    </row>
    <row r="174" spans="1:8" x14ac:dyDescent="0.25">
      <c r="A174" s="21">
        <v>46206</v>
      </c>
      <c r="B174" s="1">
        <f>IF(COUNTIFS(Data!$A$2:$A$1723,B$1,Data!$B$2:$B$1723,$A174)=0,"",SUMIFS(Data!$F$2:$F$1723,Data!$A$2:$A$1723,B$1,Data!$B$2:$B$1723,$A174))</f>
        <v>24270.85</v>
      </c>
      <c r="C174" s="1">
        <f>IF(COUNTIFS(Data!$A$2:$A$1723,C$1,Data!$B$2:$B$1723,$A174)=0,"",SUMIFS(Data!$F$2:$F$1723,Data!$A$2:$A$1723,C$1,Data!$B$2:$B$1723,$A174))</f>
        <v>62190.3</v>
      </c>
      <c r="D174" s="1">
        <f>IF(COUNTIFS(Data!$A$2:$A$1723,D$1,Data!$B$2:$B$1723,$A174)=0,"",SUMIFS(Data!$F$2:$F$1723,Data!$A$2:$A$1723,D$1,Data!$B$2:$B$1723,$A174))</f>
        <v>19175.099999999999</v>
      </c>
      <c r="E174" s="1">
        <f>IF(COUNTIFS(Data!$A$2:$A$1723,E$1,Data!$B$2:$B$1723,$A174)=0,"",SUMIFS(Data!$F$2:$F$1723,Data!$A$2:$A$1723,E$1,Data!$B$2:$B$1723,$A174))</f>
        <v>57938.5</v>
      </c>
      <c r="F174" s="1">
        <f>IF(COUNTIFS(Data!$A$2:$A$1723,F$1,Data!$B$2:$B$1723,$A174)=0,"",SUMIFS(Data!$F$2:$F$1723,Data!$A$2:$A$1723,F$1,Data!$B$2:$B$1723,$A174))</f>
        <v>27439.4</v>
      </c>
      <c r="G174" s="1">
        <f>IF(COUNTIFS(Data!$A$2:$A$1723,G$1,Data!$B$2:$B$1723,$A174)=0,"",SUMIFS(Data!$F$2:$F$1723,Data!$A$2:$A$1723,G$1,Data!$B$2:$B$1723,$A174))</f>
        <v>50096.4</v>
      </c>
      <c r="H174" s="1">
        <f>IF(COUNTIFS(Data!$A$2:$A$1723,H$1,Data!$B$2:$B$1723,$A174)=0,"",SUMIFS(Data!$F$2:$F$1723,Data!$A$2:$A$1723,H$1,Data!$B$2:$B$1723,$A174))</f>
        <v>26988.1</v>
      </c>
    </row>
    <row r="175" spans="1:8" x14ac:dyDescent="0.25">
      <c r="A175" s="21">
        <v>46209</v>
      </c>
      <c r="B175" s="1">
        <f>IF(COUNTIFS(Data!$A$2:$A$1723,B$1,Data!$B$2:$B$1723,$A175)=0,"",SUMIFS(Data!$F$2:$F$1723,Data!$A$2:$A$1723,B$1,Data!$B$2:$B$1723,$A175))</f>
        <v>24430.35</v>
      </c>
      <c r="C175" s="1">
        <f>IF(COUNTIFS(Data!$A$2:$A$1723,C$1,Data!$B$2:$B$1723,$A175)=0,"",SUMIFS(Data!$F$2:$F$1723,Data!$A$2:$A$1723,C$1,Data!$B$2:$B$1723,$A175))</f>
        <v>62471.5</v>
      </c>
      <c r="D175" s="1">
        <f>IF(COUNTIFS(Data!$A$2:$A$1723,D$1,Data!$B$2:$B$1723,$A175)=0,"",SUMIFS(Data!$F$2:$F$1723,Data!$A$2:$A$1723,D$1,Data!$B$2:$B$1723,$A175))</f>
        <v>19319.099999999999</v>
      </c>
      <c r="E175" s="1">
        <f>IF(COUNTIFS(Data!$A$2:$A$1723,E$1,Data!$B$2:$B$1723,$A175)=0,"",SUMIFS(Data!$F$2:$F$1723,Data!$A$2:$A$1723,E$1,Data!$B$2:$B$1723,$A175))</f>
        <v>58291.5</v>
      </c>
      <c r="F175" s="1">
        <f>IF(COUNTIFS(Data!$A$2:$A$1723,F$1,Data!$B$2:$B$1723,$A175)=0,"",SUMIFS(Data!$F$2:$F$1723,Data!$A$2:$A$1723,F$1,Data!$B$2:$B$1723,$A175))</f>
        <v>27276.45</v>
      </c>
      <c r="G175" s="1">
        <f>IF(COUNTIFS(Data!$A$2:$A$1723,G$1,Data!$B$2:$B$1723,$A175)=0,"",SUMIFS(Data!$F$2:$F$1723,Data!$A$2:$A$1723,G$1,Data!$B$2:$B$1723,$A175))</f>
        <v>50196.35</v>
      </c>
      <c r="H175" s="1">
        <f>IF(COUNTIFS(Data!$A$2:$A$1723,H$1,Data!$B$2:$B$1723,$A175)=0,"",SUMIFS(Data!$F$2:$F$1723,Data!$A$2:$A$1723,H$1,Data!$B$2:$B$1723,$A175))</f>
        <v>27353.95</v>
      </c>
    </row>
    <row r="176" spans="1:8" x14ac:dyDescent="0.25">
      <c r="A176" s="21">
        <v>46210</v>
      </c>
      <c r="B176" s="1">
        <f>IF(COUNTIFS(Data!$A$2:$A$1723,B$1,Data!$B$2:$B$1723,$A176)=0,"",SUMIFS(Data!$F$2:$F$1723,Data!$A$2:$A$1723,B$1,Data!$B$2:$B$1723,$A176))</f>
        <v>24398.7</v>
      </c>
      <c r="C176" s="1">
        <f>IF(COUNTIFS(Data!$A$2:$A$1723,C$1,Data!$B$2:$B$1723,$A176)=0,"",SUMIFS(Data!$F$2:$F$1723,Data!$A$2:$A$1723,C$1,Data!$B$2:$B$1723,$A176))</f>
        <v>62285.3</v>
      </c>
      <c r="D176" s="1">
        <f>IF(COUNTIFS(Data!$A$2:$A$1723,D$1,Data!$B$2:$B$1723,$A176)=0,"",SUMIFS(Data!$F$2:$F$1723,Data!$A$2:$A$1723,D$1,Data!$B$2:$B$1723,$A176))</f>
        <v>19213.400000000001</v>
      </c>
      <c r="E176" s="1">
        <f>IF(COUNTIFS(Data!$A$2:$A$1723,E$1,Data!$B$2:$B$1723,$A176)=0,"",SUMIFS(Data!$F$2:$F$1723,Data!$A$2:$A$1723,E$1,Data!$B$2:$B$1723,$A176))</f>
        <v>58200.7</v>
      </c>
      <c r="F176" s="1">
        <f>IF(COUNTIFS(Data!$A$2:$A$1723,F$1,Data!$B$2:$B$1723,$A176)=0,"",SUMIFS(Data!$F$2:$F$1723,Data!$A$2:$A$1723,F$1,Data!$B$2:$B$1723,$A176))</f>
        <v>27939.15</v>
      </c>
      <c r="G176" s="1">
        <f>IF(COUNTIFS(Data!$A$2:$A$1723,G$1,Data!$B$2:$B$1723,$A176)=0,"",SUMIFS(Data!$F$2:$F$1723,Data!$A$2:$A$1723,G$1,Data!$B$2:$B$1723,$A176))</f>
        <v>50225.85</v>
      </c>
      <c r="H176" s="1">
        <f>IF(COUNTIFS(Data!$A$2:$A$1723,H$1,Data!$B$2:$B$1723,$A176)=0,"",SUMIFS(Data!$F$2:$F$1723,Data!$A$2:$A$1723,H$1,Data!$B$2:$B$1723,$A176))</f>
        <v>27343.5</v>
      </c>
    </row>
    <row r="177" spans="1:8" x14ac:dyDescent="0.25">
      <c r="A177" s="21">
        <v>46211</v>
      </c>
      <c r="B177" s="1">
        <f>IF(COUNTIFS(Data!$A$2:$A$1723,B$1,Data!$B$2:$B$1723,$A177)=0,"",SUMIFS(Data!$F$2:$F$1723,Data!$A$2:$A$1723,B$1,Data!$B$2:$B$1723,$A177))</f>
        <v>23882.05</v>
      </c>
      <c r="C177" s="1">
        <f>IF(COUNTIFS(Data!$A$2:$A$1723,C$1,Data!$B$2:$B$1723,$A177)=0,"",SUMIFS(Data!$F$2:$F$1723,Data!$A$2:$A$1723,C$1,Data!$B$2:$B$1723,$A177))</f>
        <v>61322.75</v>
      </c>
      <c r="D177" s="1">
        <f>IF(COUNTIFS(Data!$A$2:$A$1723,D$1,Data!$B$2:$B$1723,$A177)=0,"",SUMIFS(Data!$F$2:$F$1723,Data!$A$2:$A$1723,D$1,Data!$B$2:$B$1723,$A177))</f>
        <v>18783.3</v>
      </c>
      <c r="E177" s="1">
        <f>IF(COUNTIFS(Data!$A$2:$A$1723,E$1,Data!$B$2:$B$1723,$A177)=0,"",SUMIFS(Data!$F$2:$F$1723,Data!$A$2:$A$1723,E$1,Data!$B$2:$B$1723,$A177))</f>
        <v>56742.6</v>
      </c>
      <c r="F177" s="1">
        <f>IF(COUNTIFS(Data!$A$2:$A$1723,F$1,Data!$B$2:$B$1723,$A177)=0,"",SUMIFS(Data!$F$2:$F$1723,Data!$A$2:$A$1723,F$1,Data!$B$2:$B$1723,$A177))</f>
        <v>27555.200000000001</v>
      </c>
      <c r="G177" s="1">
        <f>IF(COUNTIFS(Data!$A$2:$A$1723,G$1,Data!$B$2:$B$1723,$A177)=0,"",SUMIFS(Data!$F$2:$F$1723,Data!$A$2:$A$1723,G$1,Data!$B$2:$B$1723,$A177))</f>
        <v>48977.4</v>
      </c>
      <c r="H177" s="1">
        <f>IF(COUNTIFS(Data!$A$2:$A$1723,H$1,Data!$B$2:$B$1723,$A177)=0,"",SUMIFS(Data!$F$2:$F$1723,Data!$A$2:$A$1723,H$1,Data!$B$2:$B$1723,$A177))</f>
        <v>26733.4</v>
      </c>
    </row>
    <row r="178" spans="1:8" x14ac:dyDescent="0.25">
      <c r="A178" s="21">
        <v>46212</v>
      </c>
      <c r="B178" s="1">
        <f>IF(COUNTIFS(Data!$A$2:$A$1723,B$1,Data!$B$2:$B$1723,$A178)=0,"",SUMIFS(Data!$F$2:$F$1723,Data!$A$2:$A$1723,B$1,Data!$B$2:$B$1723,$A178))</f>
        <v>23962.799999999999</v>
      </c>
      <c r="C178" s="1">
        <f>IF(COUNTIFS(Data!$A$2:$A$1723,C$1,Data!$B$2:$B$1723,$A178)=0,"",SUMIFS(Data!$F$2:$F$1723,Data!$A$2:$A$1723,C$1,Data!$B$2:$B$1723,$A178))</f>
        <v>62166.85</v>
      </c>
      <c r="D178" s="1">
        <f>IF(COUNTIFS(Data!$A$2:$A$1723,D$1,Data!$B$2:$B$1723,$A178)=0,"",SUMIFS(Data!$F$2:$F$1723,Data!$A$2:$A$1723,D$1,Data!$B$2:$B$1723,$A178))</f>
        <v>19120.849999999999</v>
      </c>
      <c r="E178" s="1">
        <f>IF(COUNTIFS(Data!$A$2:$A$1723,E$1,Data!$B$2:$B$1723,$A178)=0,"",SUMIFS(Data!$F$2:$F$1723,Data!$A$2:$A$1723,E$1,Data!$B$2:$B$1723,$A178))</f>
        <v>57252.45</v>
      </c>
      <c r="F178" s="1">
        <f>IF(COUNTIFS(Data!$A$2:$A$1723,F$1,Data!$B$2:$B$1723,$A178)=0,"",SUMIFS(Data!$F$2:$F$1723,Data!$A$2:$A$1723,F$1,Data!$B$2:$B$1723,$A178))</f>
        <v>27471.25</v>
      </c>
      <c r="G178" s="1">
        <f>IF(COUNTIFS(Data!$A$2:$A$1723,G$1,Data!$B$2:$B$1723,$A178)=0,"",SUMIFS(Data!$F$2:$F$1723,Data!$A$2:$A$1723,G$1,Data!$B$2:$B$1723,$A178))</f>
        <v>49350.15</v>
      </c>
      <c r="H178" s="1">
        <f>IF(COUNTIFS(Data!$A$2:$A$1723,H$1,Data!$B$2:$B$1723,$A178)=0,"",SUMIFS(Data!$F$2:$F$1723,Data!$A$2:$A$1723,H$1,Data!$B$2:$B$1723,$A178))</f>
        <v>26676.35</v>
      </c>
    </row>
    <row r="179" spans="1:8" x14ac:dyDescent="0.25">
      <c r="A179" s="21">
        <v>46213</v>
      </c>
      <c r="B179" s="1">
        <f>IF(COUNTIFS(Data!$A$2:$A$1723,B$1,Data!$B$2:$B$1723,$A179)=0,"",SUMIFS(Data!$F$2:$F$1723,Data!$A$2:$A$1723,B$1,Data!$B$2:$B$1723,$A179))</f>
        <v>24206.9</v>
      </c>
      <c r="C179" s="1">
        <f>IF(COUNTIFS(Data!$A$2:$A$1723,C$1,Data!$B$2:$B$1723,$A179)=0,"",SUMIFS(Data!$F$2:$F$1723,Data!$A$2:$A$1723,C$1,Data!$B$2:$B$1723,$A179))</f>
        <v>63036.800000000003</v>
      </c>
      <c r="D179" s="1">
        <f>IF(COUNTIFS(Data!$A$2:$A$1723,D$1,Data!$B$2:$B$1723,$A179)=0,"",SUMIFS(Data!$F$2:$F$1723,Data!$A$2:$A$1723,D$1,Data!$B$2:$B$1723,$A179))</f>
        <v>19416.5</v>
      </c>
      <c r="E179" s="1">
        <f>IF(COUNTIFS(Data!$A$2:$A$1723,E$1,Data!$B$2:$B$1723,$A179)=0,"",SUMIFS(Data!$F$2:$F$1723,Data!$A$2:$A$1723,E$1,Data!$B$2:$B$1723,$A179))</f>
        <v>58045.9</v>
      </c>
      <c r="F179" s="1">
        <f>IF(COUNTIFS(Data!$A$2:$A$1723,F$1,Data!$B$2:$B$1723,$A179)=0,"",SUMIFS(Data!$F$2:$F$1723,Data!$A$2:$A$1723,F$1,Data!$B$2:$B$1723,$A179))</f>
        <v>28010.35</v>
      </c>
      <c r="G179" s="1">
        <f>IF(COUNTIFS(Data!$A$2:$A$1723,G$1,Data!$B$2:$B$1723,$A179)=0,"",SUMIFS(Data!$F$2:$F$1723,Data!$A$2:$A$1723,G$1,Data!$B$2:$B$1723,$A179))</f>
        <v>49310.6</v>
      </c>
      <c r="H179" s="1">
        <f>IF(COUNTIFS(Data!$A$2:$A$1723,H$1,Data!$B$2:$B$1723,$A179)=0,"",SUMIFS(Data!$F$2:$F$1723,Data!$A$2:$A$1723,H$1,Data!$B$2:$B$1723,$A179))</f>
        <v>26860.75</v>
      </c>
    </row>
    <row r="180" spans="1:8" x14ac:dyDescent="0.25">
      <c r="A180" s="21">
        <v>46216</v>
      </c>
      <c r="B180" s="1">
        <f>IF(COUNTIFS(Data!$A$2:$A$1723,B$1,Data!$B$2:$B$1723,$A180)=0,"",SUMIFS(Data!$F$2:$F$1723,Data!$A$2:$A$1723,B$1,Data!$B$2:$B$1723,$A180))</f>
        <v>24211</v>
      </c>
      <c r="C180" s="1">
        <f>IF(COUNTIFS(Data!$A$2:$A$1723,C$1,Data!$B$2:$B$1723,$A180)=0,"",SUMIFS(Data!$F$2:$F$1723,Data!$A$2:$A$1723,C$1,Data!$B$2:$B$1723,$A180))</f>
        <v>63040.95</v>
      </c>
      <c r="D180" s="1">
        <f>IF(COUNTIFS(Data!$A$2:$A$1723,D$1,Data!$B$2:$B$1723,$A180)=0,"",SUMIFS(Data!$F$2:$F$1723,Data!$A$2:$A$1723,D$1,Data!$B$2:$B$1723,$A180))</f>
        <v>19422.95</v>
      </c>
      <c r="E180" s="1">
        <f>IF(COUNTIFS(Data!$A$2:$A$1723,E$1,Data!$B$2:$B$1723,$A180)=0,"",SUMIFS(Data!$F$2:$F$1723,Data!$A$2:$A$1723,E$1,Data!$B$2:$B$1723,$A180))</f>
        <v>58131.45</v>
      </c>
      <c r="F180" s="1">
        <f>IF(COUNTIFS(Data!$A$2:$A$1723,F$1,Data!$B$2:$B$1723,$A180)=0,"",SUMIFS(Data!$F$2:$F$1723,Data!$A$2:$A$1723,F$1,Data!$B$2:$B$1723,$A180))</f>
        <v>29015.85</v>
      </c>
      <c r="G180" s="1">
        <f>IF(COUNTIFS(Data!$A$2:$A$1723,G$1,Data!$B$2:$B$1723,$A180)=0,"",SUMIFS(Data!$F$2:$F$1723,Data!$A$2:$A$1723,G$1,Data!$B$2:$B$1723,$A180))</f>
        <v>48809.9</v>
      </c>
      <c r="H180" s="1">
        <f>IF(COUNTIFS(Data!$A$2:$A$1723,H$1,Data!$B$2:$B$1723,$A180)=0,"",SUMIFS(Data!$F$2:$F$1723,Data!$A$2:$A$1723,H$1,Data!$B$2:$B$1723,$A180))</f>
        <v>26981.5</v>
      </c>
    </row>
    <row r="181" spans="1:8" x14ac:dyDescent="0.25">
      <c r="A181" s="21">
        <v>46217</v>
      </c>
      <c r="B181" s="1">
        <f>IF(COUNTIFS(Data!$A$2:$A$1723,B$1,Data!$B$2:$B$1723,$A181)=0,"",SUMIFS(Data!$F$2:$F$1723,Data!$A$2:$A$1723,B$1,Data!$B$2:$B$1723,$A181))</f>
        <v>24052.05</v>
      </c>
      <c r="C181" s="1">
        <f>IF(COUNTIFS(Data!$A$2:$A$1723,C$1,Data!$B$2:$B$1723,$A181)=0,"",SUMIFS(Data!$F$2:$F$1723,Data!$A$2:$A$1723,C$1,Data!$B$2:$B$1723,$A181))</f>
        <v>62766.400000000001</v>
      </c>
      <c r="D181" s="1">
        <f>IF(COUNTIFS(Data!$A$2:$A$1723,D$1,Data!$B$2:$B$1723,$A181)=0,"",SUMIFS(Data!$F$2:$F$1723,Data!$A$2:$A$1723,D$1,Data!$B$2:$B$1723,$A181))</f>
        <v>19227.349999999999</v>
      </c>
      <c r="E181" s="1">
        <f>IF(COUNTIFS(Data!$A$2:$A$1723,E$1,Data!$B$2:$B$1723,$A181)=0,"",SUMIFS(Data!$F$2:$F$1723,Data!$A$2:$A$1723,E$1,Data!$B$2:$B$1723,$A181))</f>
        <v>57462.3</v>
      </c>
      <c r="F181" s="1">
        <f>IF(COUNTIFS(Data!$A$2:$A$1723,F$1,Data!$B$2:$B$1723,$A181)=0,"",SUMIFS(Data!$F$2:$F$1723,Data!$A$2:$A$1723,F$1,Data!$B$2:$B$1723,$A181))</f>
        <v>28724.75</v>
      </c>
      <c r="G181" s="1">
        <f>IF(COUNTIFS(Data!$A$2:$A$1723,G$1,Data!$B$2:$B$1723,$A181)=0,"",SUMIFS(Data!$F$2:$F$1723,Data!$A$2:$A$1723,G$1,Data!$B$2:$B$1723,$A181))</f>
        <v>48524.95</v>
      </c>
      <c r="H181" s="1">
        <f>IF(COUNTIFS(Data!$A$2:$A$1723,H$1,Data!$B$2:$B$1723,$A181)=0,"",SUMIFS(Data!$F$2:$F$1723,Data!$A$2:$A$1723,H$1,Data!$B$2:$B$1723,$A181))</f>
        <v>26547.5</v>
      </c>
    </row>
    <row r="182" spans="1:8" x14ac:dyDescent="0.25">
      <c r="A182" s="21">
        <v>46218</v>
      </c>
      <c r="B182" s="1">
        <f>IF(COUNTIFS(Data!$A$2:$A$1723,B$1,Data!$B$2:$B$1723,$A182)=0,"",SUMIFS(Data!$F$2:$F$1723,Data!$A$2:$A$1723,B$1,Data!$B$2:$B$1723,$A182))</f>
        <v>24078.5</v>
      </c>
      <c r="C182" s="1">
        <f>IF(COUNTIFS(Data!$A$2:$A$1723,C$1,Data!$B$2:$B$1723,$A182)=0,"",SUMIFS(Data!$F$2:$F$1723,Data!$A$2:$A$1723,C$1,Data!$B$2:$B$1723,$A182))</f>
        <v>62943.199999999997</v>
      </c>
      <c r="D182" s="1">
        <f>IF(COUNTIFS(Data!$A$2:$A$1723,D$1,Data!$B$2:$B$1723,$A182)=0,"",SUMIFS(Data!$F$2:$F$1723,Data!$A$2:$A$1723,D$1,Data!$B$2:$B$1723,$A182))</f>
        <v>19355.349999999999</v>
      </c>
      <c r="E182" s="1">
        <f>IF(COUNTIFS(Data!$A$2:$A$1723,E$1,Data!$B$2:$B$1723,$A182)=0,"",SUMIFS(Data!$F$2:$F$1723,Data!$A$2:$A$1723,E$1,Data!$B$2:$B$1723,$A182))</f>
        <v>57757.85</v>
      </c>
      <c r="F182" s="1">
        <f>IF(COUNTIFS(Data!$A$2:$A$1723,F$1,Data!$B$2:$B$1723,$A182)=0,"",SUMIFS(Data!$F$2:$F$1723,Data!$A$2:$A$1723,F$1,Data!$B$2:$B$1723,$A182))</f>
        <v>28532.25</v>
      </c>
      <c r="G182" s="1">
        <f>IF(COUNTIFS(Data!$A$2:$A$1723,G$1,Data!$B$2:$B$1723,$A182)=0,"",SUMIFS(Data!$F$2:$F$1723,Data!$A$2:$A$1723,G$1,Data!$B$2:$B$1723,$A182))</f>
        <v>48286.5</v>
      </c>
      <c r="H182" s="1">
        <f>IF(COUNTIFS(Data!$A$2:$A$1723,H$1,Data!$B$2:$B$1723,$A182)=0,"",SUMIFS(Data!$F$2:$F$1723,Data!$A$2:$A$1723,H$1,Data!$B$2:$B$1723,$A182))</f>
        <v>26645.1</v>
      </c>
    </row>
    <row r="183" spans="1:8" x14ac:dyDescent="0.25">
      <c r="A183" s="21">
        <v>46219</v>
      </c>
      <c r="B183" s="1">
        <f>IF(COUNTIFS(Data!$A$2:$A$1723,B$1,Data!$B$2:$B$1723,$A183)=0,"",SUMIFS(Data!$F$2:$F$1723,Data!$A$2:$A$1723,B$1,Data!$B$2:$B$1723,$A183))</f>
        <v>24072.75</v>
      </c>
      <c r="C183" s="1">
        <f>IF(COUNTIFS(Data!$A$2:$A$1723,C$1,Data!$B$2:$B$1723,$A183)=0,"",SUMIFS(Data!$F$2:$F$1723,Data!$A$2:$A$1723,C$1,Data!$B$2:$B$1723,$A183))</f>
        <v>62686.75</v>
      </c>
      <c r="D183" s="1">
        <f>IF(COUNTIFS(Data!$A$2:$A$1723,D$1,Data!$B$2:$B$1723,$A183)=0,"",SUMIFS(Data!$F$2:$F$1723,Data!$A$2:$A$1723,D$1,Data!$B$2:$B$1723,$A183))</f>
        <v>19336.25</v>
      </c>
      <c r="E183" s="1">
        <f>IF(COUNTIFS(Data!$A$2:$A$1723,E$1,Data!$B$2:$B$1723,$A183)=0,"",SUMIFS(Data!$F$2:$F$1723,Data!$A$2:$A$1723,E$1,Data!$B$2:$B$1723,$A183))</f>
        <v>57582.25</v>
      </c>
      <c r="F183" s="1">
        <f>IF(COUNTIFS(Data!$A$2:$A$1723,F$1,Data!$B$2:$B$1723,$A183)=0,"",SUMIFS(Data!$F$2:$F$1723,Data!$A$2:$A$1723,F$1,Data!$B$2:$B$1723,$A183))</f>
        <v>28722.6</v>
      </c>
      <c r="G183" s="1">
        <f>IF(COUNTIFS(Data!$A$2:$A$1723,G$1,Data!$B$2:$B$1723,$A183)=0,"",SUMIFS(Data!$F$2:$F$1723,Data!$A$2:$A$1723,G$1,Data!$B$2:$B$1723,$A183))</f>
        <v>48408</v>
      </c>
      <c r="H183" s="1">
        <f>IF(COUNTIFS(Data!$A$2:$A$1723,H$1,Data!$B$2:$B$1723,$A183)=0,"",SUMIFS(Data!$F$2:$F$1723,Data!$A$2:$A$1723,H$1,Data!$B$2:$B$1723,$A183))</f>
        <v>26767.55</v>
      </c>
    </row>
    <row r="184" spans="1:8" x14ac:dyDescent="0.25">
      <c r="A184" s="21">
        <v>46220</v>
      </c>
      <c r="B184" s="1">
        <f>IF(COUNTIFS(Data!$A$2:$A$1723,B$1,Data!$B$2:$B$1723,$A184)=0,"",SUMIFS(Data!$F$2:$F$1723,Data!$A$2:$A$1723,B$1,Data!$B$2:$B$1723,$A184))</f>
        <v>24334.3</v>
      </c>
      <c r="C184" s="1">
        <f>IF(COUNTIFS(Data!$A$2:$A$1723,C$1,Data!$B$2:$B$1723,$A184)=0,"",SUMIFS(Data!$F$2:$F$1723,Data!$A$2:$A$1723,C$1,Data!$B$2:$B$1723,$A184))</f>
        <v>62428.05</v>
      </c>
      <c r="D184" s="1">
        <f>IF(COUNTIFS(Data!$A$2:$A$1723,D$1,Data!$B$2:$B$1723,$A184)=0,"",SUMIFS(Data!$F$2:$F$1723,Data!$A$2:$A$1723,D$1,Data!$B$2:$B$1723,$A184))</f>
        <v>19296.3</v>
      </c>
      <c r="E184" s="1">
        <f>IF(COUNTIFS(Data!$A$2:$A$1723,E$1,Data!$B$2:$B$1723,$A184)=0,"",SUMIFS(Data!$F$2:$F$1723,Data!$A$2:$A$1723,E$1,Data!$B$2:$B$1723,$A184))</f>
        <v>58521.4</v>
      </c>
      <c r="F184" s="1">
        <f>IF(COUNTIFS(Data!$A$2:$A$1723,F$1,Data!$B$2:$B$1723,$A184)=0,"",SUMIFS(Data!$F$2:$F$1723,Data!$A$2:$A$1723,F$1,Data!$B$2:$B$1723,$A184))</f>
        <v>29226.6</v>
      </c>
      <c r="G184" s="1">
        <f>IF(COUNTIFS(Data!$A$2:$A$1723,G$1,Data!$B$2:$B$1723,$A184)=0,"",SUMIFS(Data!$F$2:$F$1723,Data!$A$2:$A$1723,G$1,Data!$B$2:$B$1723,$A184))</f>
        <v>48748.7</v>
      </c>
      <c r="H184" s="1">
        <f>IF(COUNTIFS(Data!$A$2:$A$1723,H$1,Data!$B$2:$B$1723,$A184)=0,"",SUMIFS(Data!$F$2:$F$1723,Data!$A$2:$A$1723,H$1,Data!$B$2:$B$1723,$A184))</f>
        <v>27099.75</v>
      </c>
    </row>
    <row r="185" spans="1:8" x14ac:dyDescent="0.25">
      <c r="A185" s="21">
        <v>46223</v>
      </c>
      <c r="B185" s="1">
        <f>IF(COUNTIFS(Data!$A$2:$A$1723,B$1,Data!$B$2:$B$1723,$A185)=0,"",SUMIFS(Data!$F$2:$F$1723,Data!$A$2:$A$1723,B$1,Data!$B$2:$B$1723,$A185))</f>
        <v>24238.5</v>
      </c>
      <c r="C185" s="1">
        <f>IF(COUNTIFS(Data!$A$2:$A$1723,C$1,Data!$B$2:$B$1723,$A185)=0,"",SUMIFS(Data!$F$2:$F$1723,Data!$A$2:$A$1723,C$1,Data!$B$2:$B$1723,$A185))</f>
        <v>62801.75</v>
      </c>
      <c r="D185" s="1">
        <f>IF(COUNTIFS(Data!$A$2:$A$1723,D$1,Data!$B$2:$B$1723,$A185)=0,"",SUMIFS(Data!$F$2:$F$1723,Data!$A$2:$A$1723,D$1,Data!$B$2:$B$1723,$A185))</f>
        <v>19326.45</v>
      </c>
      <c r="E185" s="1">
        <f>IF(COUNTIFS(Data!$A$2:$A$1723,E$1,Data!$B$2:$B$1723,$A185)=0,"",SUMIFS(Data!$F$2:$F$1723,Data!$A$2:$A$1723,E$1,Data!$B$2:$B$1723,$A185))</f>
        <v>57945</v>
      </c>
      <c r="F185" s="1">
        <f>IF(COUNTIFS(Data!$A$2:$A$1723,F$1,Data!$B$2:$B$1723,$A185)=0,"",SUMIFS(Data!$F$2:$F$1723,Data!$A$2:$A$1723,F$1,Data!$B$2:$B$1723,$A185))</f>
        <v>29161.85</v>
      </c>
      <c r="G185" s="1">
        <f>IF(COUNTIFS(Data!$A$2:$A$1723,G$1,Data!$B$2:$B$1723,$A185)=0,"",SUMIFS(Data!$F$2:$F$1723,Data!$A$2:$A$1723,G$1,Data!$B$2:$B$1723,$A185))</f>
        <v>49067.45</v>
      </c>
      <c r="H185" s="1">
        <f>IF(COUNTIFS(Data!$A$2:$A$1723,H$1,Data!$B$2:$B$1723,$A185)=0,"",SUMIFS(Data!$F$2:$F$1723,Data!$A$2:$A$1723,H$1,Data!$B$2:$B$1723,$A185))</f>
        <v>27028.35</v>
      </c>
    </row>
    <row r="186" spans="1:8" x14ac:dyDescent="0.25">
      <c r="A186" s="21">
        <v>46224</v>
      </c>
      <c r="B186" s="1">
        <f>IF(COUNTIFS(Data!$A$2:$A$1723,B$1,Data!$B$2:$B$1723,$A186)=0,"",SUMIFS(Data!$F$2:$F$1723,Data!$A$2:$A$1723,B$1,Data!$B$2:$B$1723,$A186))</f>
        <v>24187.7</v>
      </c>
      <c r="C186" s="1">
        <f>IF(COUNTIFS(Data!$A$2:$A$1723,C$1,Data!$B$2:$B$1723,$A186)=0,"",SUMIFS(Data!$F$2:$F$1723,Data!$A$2:$A$1723,C$1,Data!$B$2:$B$1723,$A186))</f>
        <v>62987.6</v>
      </c>
      <c r="D186" s="1">
        <f>IF(COUNTIFS(Data!$A$2:$A$1723,D$1,Data!$B$2:$B$1723,$A186)=0,"",SUMIFS(Data!$F$2:$F$1723,Data!$A$2:$A$1723,D$1,Data!$B$2:$B$1723,$A186))</f>
        <v>19428.05</v>
      </c>
      <c r="E186" s="1">
        <f>IF(COUNTIFS(Data!$A$2:$A$1723,E$1,Data!$B$2:$B$1723,$A186)=0,"",SUMIFS(Data!$F$2:$F$1723,Data!$A$2:$A$1723,E$1,Data!$B$2:$B$1723,$A186))</f>
        <v>57835.35</v>
      </c>
      <c r="F186" s="1">
        <f>IF(COUNTIFS(Data!$A$2:$A$1723,F$1,Data!$B$2:$B$1723,$A186)=0,"",SUMIFS(Data!$F$2:$F$1723,Data!$A$2:$A$1723,F$1,Data!$B$2:$B$1723,$A186))</f>
        <v>28984.400000000001</v>
      </c>
      <c r="G186" s="1">
        <f>IF(COUNTIFS(Data!$A$2:$A$1723,G$1,Data!$B$2:$B$1723,$A186)=0,"",SUMIFS(Data!$F$2:$F$1723,Data!$A$2:$A$1723,G$1,Data!$B$2:$B$1723,$A186))</f>
        <v>48917.2</v>
      </c>
      <c r="H186" s="1">
        <f>IF(COUNTIFS(Data!$A$2:$A$1723,H$1,Data!$B$2:$B$1723,$A186)=0,"",SUMIFS(Data!$F$2:$F$1723,Data!$A$2:$A$1723,H$1,Data!$B$2:$B$1723,$A186))</f>
        <v>27280.6</v>
      </c>
    </row>
    <row r="187" spans="1:8" x14ac:dyDescent="0.25">
      <c r="A187" s="21">
        <v>46225</v>
      </c>
      <c r="B187" s="1">
        <f>IF(COUNTIFS(Data!$A$2:$A$1723,B$1,Data!$B$2:$B$1723,$A187)=0,"",SUMIFS(Data!$F$2:$F$1723,Data!$A$2:$A$1723,B$1,Data!$B$2:$B$1723,$A187))</f>
        <v>23996.25</v>
      </c>
      <c r="C187" s="1">
        <f>IF(COUNTIFS(Data!$A$2:$A$1723,C$1,Data!$B$2:$B$1723,$A187)=0,"",SUMIFS(Data!$F$2:$F$1723,Data!$A$2:$A$1723,C$1,Data!$B$2:$B$1723,$A187))</f>
        <v>62300.6</v>
      </c>
      <c r="D187" s="1">
        <f>IF(COUNTIFS(Data!$A$2:$A$1723,D$1,Data!$B$2:$B$1723,$A187)=0,"",SUMIFS(Data!$F$2:$F$1723,Data!$A$2:$A$1723,D$1,Data!$B$2:$B$1723,$A187))</f>
        <v>19129.25</v>
      </c>
      <c r="E187" s="1">
        <f>IF(COUNTIFS(Data!$A$2:$A$1723,E$1,Data!$B$2:$B$1723,$A187)=0,"",SUMIFS(Data!$F$2:$F$1723,Data!$A$2:$A$1723,E$1,Data!$B$2:$B$1723,$A187))</f>
        <v>57126.8</v>
      </c>
      <c r="F187" s="1">
        <f>IF(COUNTIFS(Data!$A$2:$A$1723,F$1,Data!$B$2:$B$1723,$A187)=0,"",SUMIFS(Data!$F$2:$F$1723,Data!$A$2:$A$1723,F$1,Data!$B$2:$B$1723,$A187))</f>
        <v>28549.85</v>
      </c>
      <c r="G187" s="1">
        <f>IF(COUNTIFS(Data!$A$2:$A$1723,G$1,Data!$B$2:$B$1723,$A187)=0,"",SUMIFS(Data!$F$2:$F$1723,Data!$A$2:$A$1723,G$1,Data!$B$2:$B$1723,$A187))</f>
        <v>49233.8</v>
      </c>
      <c r="H187" s="1">
        <f>IF(COUNTIFS(Data!$A$2:$A$1723,H$1,Data!$B$2:$B$1723,$A187)=0,"",SUMIFS(Data!$F$2:$F$1723,Data!$A$2:$A$1723,H$1,Data!$B$2:$B$1723,$A187))</f>
        <v>27329.65</v>
      </c>
    </row>
    <row r="188" spans="1:8" x14ac:dyDescent="0.25">
      <c r="A188" s="21">
        <v>46226</v>
      </c>
      <c r="B188" s="1">
        <f>IF(COUNTIFS(Data!$A$2:$A$1723,B$1,Data!$B$2:$B$1723,$A188)=0,"",SUMIFS(Data!$F$2:$F$1723,Data!$A$2:$A$1723,B$1,Data!$B$2:$B$1723,$A188))</f>
        <v>23869.599999999999</v>
      </c>
      <c r="C188" s="1">
        <f>IF(COUNTIFS(Data!$A$2:$A$1723,C$1,Data!$B$2:$B$1723,$A188)=0,"",SUMIFS(Data!$F$2:$F$1723,Data!$A$2:$A$1723,C$1,Data!$B$2:$B$1723,$A188))</f>
        <v>61685</v>
      </c>
      <c r="D188" s="1">
        <f>IF(COUNTIFS(Data!$A$2:$A$1723,D$1,Data!$B$2:$B$1723,$A188)=0,"",SUMIFS(Data!$F$2:$F$1723,Data!$A$2:$A$1723,D$1,Data!$B$2:$B$1723,$A188))</f>
        <v>18936.349999999999</v>
      </c>
      <c r="E188" s="1">
        <f>IF(COUNTIFS(Data!$A$2:$A$1723,E$1,Data!$B$2:$B$1723,$A188)=0,"",SUMIFS(Data!$F$2:$F$1723,Data!$A$2:$A$1723,E$1,Data!$B$2:$B$1723,$A188))</f>
        <v>56592</v>
      </c>
      <c r="F188" s="1">
        <f>IF(COUNTIFS(Data!$A$2:$A$1723,F$1,Data!$B$2:$B$1723,$A188)=0,"",SUMIFS(Data!$F$2:$F$1723,Data!$A$2:$A$1723,F$1,Data!$B$2:$B$1723,$A188))</f>
        <v>28533.55</v>
      </c>
      <c r="G188" s="1">
        <f>IF(COUNTIFS(Data!$A$2:$A$1723,G$1,Data!$B$2:$B$1723,$A188)=0,"",SUMIFS(Data!$F$2:$F$1723,Data!$A$2:$A$1723,G$1,Data!$B$2:$B$1723,$A188))</f>
        <v>49033.2</v>
      </c>
      <c r="H188" s="1">
        <f>IF(COUNTIFS(Data!$A$2:$A$1723,H$1,Data!$B$2:$B$1723,$A188)=0,"",SUMIFS(Data!$F$2:$F$1723,Data!$A$2:$A$1723,H$1,Data!$B$2:$B$1723,$A188))</f>
        <v>27520.799999999999</v>
      </c>
    </row>
    <row r="189" spans="1:8" x14ac:dyDescent="0.25">
      <c r="A189" s="21">
        <v>46227</v>
      </c>
      <c r="B189" s="1">
        <f>IF(COUNTIFS(Data!$A$2:$A$1723,B$1,Data!$B$2:$B$1723,$A189)=0,"",SUMIFS(Data!$F$2:$F$1723,Data!$A$2:$A$1723,B$1,Data!$B$2:$B$1723,$A189))</f>
        <v>23767.45</v>
      </c>
      <c r="C189" s="1">
        <f>IF(COUNTIFS(Data!$A$2:$A$1723,C$1,Data!$B$2:$B$1723,$A189)=0,"",SUMIFS(Data!$F$2:$F$1723,Data!$A$2:$A$1723,C$1,Data!$B$2:$B$1723,$A189))</f>
        <v>61622.35</v>
      </c>
      <c r="D189" s="1">
        <f>IF(COUNTIFS(Data!$A$2:$A$1723,D$1,Data!$B$2:$B$1723,$A189)=0,"",SUMIFS(Data!$F$2:$F$1723,Data!$A$2:$A$1723,D$1,Data!$B$2:$B$1723,$A189))</f>
        <v>18874.95</v>
      </c>
      <c r="E189" s="1">
        <f>IF(COUNTIFS(Data!$A$2:$A$1723,E$1,Data!$B$2:$B$1723,$A189)=0,"",SUMIFS(Data!$F$2:$F$1723,Data!$A$2:$A$1723,E$1,Data!$B$2:$B$1723,$A189))</f>
        <v>56693.5</v>
      </c>
      <c r="F189" s="1">
        <f>IF(COUNTIFS(Data!$A$2:$A$1723,F$1,Data!$B$2:$B$1723,$A189)=0,"",SUMIFS(Data!$F$2:$F$1723,Data!$A$2:$A$1723,F$1,Data!$B$2:$B$1723,$A189))</f>
        <v>28767.95</v>
      </c>
      <c r="G189" s="1">
        <f>IF(COUNTIFS(Data!$A$2:$A$1723,G$1,Data!$B$2:$B$1723,$A189)=0,"",SUMIFS(Data!$F$2:$F$1723,Data!$A$2:$A$1723,G$1,Data!$B$2:$B$1723,$A189))</f>
        <v>49053.3</v>
      </c>
      <c r="H189" s="1">
        <f>IF(COUNTIFS(Data!$A$2:$A$1723,H$1,Data!$B$2:$B$1723,$A189)=0,"",SUMIFS(Data!$F$2:$F$1723,Data!$A$2:$A$1723,H$1,Data!$B$2:$B$1723,$A189))</f>
        <v>27217.95</v>
      </c>
    </row>
    <row r="190" spans="1:8" x14ac:dyDescent="0.25">
      <c r="A190" s="21">
        <v>46230</v>
      </c>
      <c r="B190" s="1">
        <f>IF(COUNTIFS(Data!$A$2:$A$1723,B$1,Data!$B$2:$B$1723,$A190)=0,"",SUMIFS(Data!$F$2:$F$1723,Data!$A$2:$A$1723,B$1,Data!$B$2:$B$1723,$A190))</f>
        <v>23995.95</v>
      </c>
      <c r="C190" s="1">
        <f>IF(COUNTIFS(Data!$A$2:$A$1723,C$1,Data!$B$2:$B$1723,$A190)=0,"",SUMIFS(Data!$F$2:$F$1723,Data!$A$2:$A$1723,C$1,Data!$B$2:$B$1723,$A190))</f>
        <v>62303.65</v>
      </c>
      <c r="D190" s="1">
        <f>IF(COUNTIFS(Data!$A$2:$A$1723,D$1,Data!$B$2:$B$1723,$A190)=0,"",SUMIFS(Data!$F$2:$F$1723,Data!$A$2:$A$1723,D$1,Data!$B$2:$B$1723,$A190))</f>
        <v>19122.599999999999</v>
      </c>
      <c r="E190" s="1">
        <f>IF(COUNTIFS(Data!$A$2:$A$1723,E$1,Data!$B$2:$B$1723,$A190)=0,"",SUMIFS(Data!$F$2:$F$1723,Data!$A$2:$A$1723,E$1,Data!$B$2:$B$1723,$A190))</f>
        <v>57087.199999999997</v>
      </c>
      <c r="F190" s="1">
        <f>IF(COUNTIFS(Data!$A$2:$A$1723,F$1,Data!$B$2:$B$1723,$A190)=0,"",SUMIFS(Data!$F$2:$F$1723,Data!$A$2:$A$1723,F$1,Data!$B$2:$B$1723,$A190))</f>
        <v>29441.9</v>
      </c>
      <c r="G190" s="1">
        <f>IF(COUNTIFS(Data!$A$2:$A$1723,G$1,Data!$B$2:$B$1723,$A190)=0,"",SUMIFS(Data!$F$2:$F$1723,Data!$A$2:$A$1723,G$1,Data!$B$2:$B$1723,$A190))</f>
        <v>49564.800000000003</v>
      </c>
      <c r="H190" s="1">
        <f>IF(COUNTIFS(Data!$A$2:$A$1723,H$1,Data!$B$2:$B$1723,$A190)=0,"",SUMIFS(Data!$F$2:$F$1723,Data!$A$2:$A$1723,H$1,Data!$B$2:$B$1723,$A190))</f>
        <v>27653.4</v>
      </c>
    </row>
    <row r="191" spans="1:8" x14ac:dyDescent="0.25">
      <c r="A191" s="21">
        <v>46231</v>
      </c>
      <c r="B191" s="1">
        <f>IF(COUNTIFS(Data!$A$2:$A$1723,B$1,Data!$B$2:$B$1723,$A191)=0,"",SUMIFS(Data!$F$2:$F$1723,Data!$A$2:$A$1723,B$1,Data!$B$2:$B$1723,$A191))</f>
        <v>23985.35</v>
      </c>
      <c r="C191" s="1">
        <f>IF(COUNTIFS(Data!$A$2:$A$1723,C$1,Data!$B$2:$B$1723,$A191)=0,"",SUMIFS(Data!$F$2:$F$1723,Data!$A$2:$A$1723,C$1,Data!$B$2:$B$1723,$A191))</f>
        <v>62351.5</v>
      </c>
      <c r="D191" s="1">
        <f>IF(COUNTIFS(Data!$A$2:$A$1723,D$1,Data!$B$2:$B$1723,$A191)=0,"",SUMIFS(Data!$F$2:$F$1723,Data!$A$2:$A$1723,D$1,Data!$B$2:$B$1723,$A191))</f>
        <v>19080.7</v>
      </c>
      <c r="E191" s="1">
        <f>IF(COUNTIFS(Data!$A$2:$A$1723,E$1,Data!$B$2:$B$1723,$A191)=0,"",SUMIFS(Data!$F$2:$F$1723,Data!$A$2:$A$1723,E$1,Data!$B$2:$B$1723,$A191))</f>
        <v>56755.6</v>
      </c>
      <c r="F191" s="1">
        <f>IF(COUNTIFS(Data!$A$2:$A$1723,F$1,Data!$B$2:$B$1723,$A191)=0,"",SUMIFS(Data!$F$2:$F$1723,Data!$A$2:$A$1723,F$1,Data!$B$2:$B$1723,$A191))</f>
        <v>30418.35</v>
      </c>
      <c r="G191" s="1">
        <f>IF(COUNTIFS(Data!$A$2:$A$1723,G$1,Data!$B$2:$B$1723,$A191)=0,"",SUMIFS(Data!$F$2:$F$1723,Data!$A$2:$A$1723,G$1,Data!$B$2:$B$1723,$A191))</f>
        <v>48881.2</v>
      </c>
      <c r="H191" s="1">
        <f>IF(COUNTIFS(Data!$A$2:$A$1723,H$1,Data!$B$2:$B$1723,$A191)=0,"",SUMIFS(Data!$F$2:$F$1723,Data!$A$2:$A$1723,H$1,Data!$B$2:$B$1723,$A191))</f>
        <v>27843.9</v>
      </c>
    </row>
    <row r="192" spans="1:8" x14ac:dyDescent="0.25">
      <c r="A192" s="21">
        <v>46232</v>
      </c>
      <c r="B192" s="1">
        <f>IF(COUNTIFS(Data!$A$2:$A$1723,B$1,Data!$B$2:$B$1723,$A192)=0,"",SUMIFS(Data!$F$2:$F$1723,Data!$A$2:$A$1723,B$1,Data!$B$2:$B$1723,$A192))</f>
        <v>24250.2</v>
      </c>
      <c r="C192" s="1">
        <f>IF(COUNTIFS(Data!$A$2:$A$1723,C$1,Data!$B$2:$B$1723,$A192)=0,"",SUMIFS(Data!$F$2:$F$1723,Data!$A$2:$A$1723,C$1,Data!$B$2:$B$1723,$A192))</f>
        <v>62862.25</v>
      </c>
      <c r="D192" s="1">
        <f>IF(COUNTIFS(Data!$A$2:$A$1723,D$1,Data!$B$2:$B$1723,$A192)=0,"",SUMIFS(Data!$F$2:$F$1723,Data!$A$2:$A$1723,D$1,Data!$B$2:$B$1723,$A192))</f>
        <v>19362.349999999999</v>
      </c>
      <c r="E192" s="1">
        <f>IF(COUNTIFS(Data!$A$2:$A$1723,E$1,Data!$B$2:$B$1723,$A192)=0,"",SUMIFS(Data!$F$2:$F$1723,Data!$A$2:$A$1723,E$1,Data!$B$2:$B$1723,$A192))</f>
        <v>57205.9</v>
      </c>
      <c r="F192" s="1">
        <f>IF(COUNTIFS(Data!$A$2:$A$1723,F$1,Data!$B$2:$B$1723,$A192)=0,"",SUMIFS(Data!$F$2:$F$1723,Data!$A$2:$A$1723,F$1,Data!$B$2:$B$1723,$A192))</f>
        <v>31123.1</v>
      </c>
      <c r="G192" s="1">
        <f>IF(COUNTIFS(Data!$A$2:$A$1723,G$1,Data!$B$2:$B$1723,$A192)=0,"",SUMIFS(Data!$F$2:$F$1723,Data!$A$2:$A$1723,G$1,Data!$B$2:$B$1723,$A192))</f>
        <v>49690.65</v>
      </c>
      <c r="H192" s="1">
        <f>IF(COUNTIFS(Data!$A$2:$A$1723,H$1,Data!$B$2:$B$1723,$A192)=0,"",SUMIFS(Data!$F$2:$F$1723,Data!$A$2:$A$1723,H$1,Data!$B$2:$B$1723,$A192))</f>
        <v>27825.95</v>
      </c>
    </row>
    <row r="193" spans="1:8" x14ac:dyDescent="0.25">
      <c r="A193" s="21">
        <v>46233</v>
      </c>
      <c r="B193" s="1">
        <f>IF(COUNTIFS(Data!$A$2:$A$1723,B$1,Data!$B$2:$B$1723,$A193)=0,"",SUMIFS(Data!$F$2:$F$1723,Data!$A$2:$A$1723,B$1,Data!$B$2:$B$1723,$A193))</f>
        <v>24317.15</v>
      </c>
      <c r="C193" s="1">
        <f>IF(COUNTIFS(Data!$A$2:$A$1723,C$1,Data!$B$2:$B$1723,$A193)=0,"",SUMIFS(Data!$F$2:$F$1723,Data!$A$2:$A$1723,C$1,Data!$B$2:$B$1723,$A193))</f>
        <v>62641.75</v>
      </c>
      <c r="D193" s="1">
        <f>IF(COUNTIFS(Data!$A$2:$A$1723,D$1,Data!$B$2:$B$1723,$A193)=0,"",SUMIFS(Data!$F$2:$F$1723,Data!$A$2:$A$1723,D$1,Data!$B$2:$B$1723,$A193))</f>
        <v>19254.45</v>
      </c>
      <c r="E193" s="1">
        <f>IF(COUNTIFS(Data!$A$2:$A$1723,E$1,Data!$B$2:$B$1723,$A193)=0,"",SUMIFS(Data!$F$2:$F$1723,Data!$A$2:$A$1723,E$1,Data!$B$2:$B$1723,$A193))</f>
        <v>57147.5</v>
      </c>
      <c r="F193" s="1">
        <f>IF(COUNTIFS(Data!$A$2:$A$1723,F$1,Data!$B$2:$B$1723,$A193)=0,"",SUMIFS(Data!$F$2:$F$1723,Data!$A$2:$A$1723,F$1,Data!$B$2:$B$1723,$A193))</f>
        <v>31194.55</v>
      </c>
      <c r="G193" s="1">
        <f>IF(COUNTIFS(Data!$A$2:$A$1723,G$1,Data!$B$2:$B$1723,$A193)=0,"",SUMIFS(Data!$F$2:$F$1723,Data!$A$2:$A$1723,G$1,Data!$B$2:$B$1723,$A193))</f>
        <v>49642.05</v>
      </c>
      <c r="H193" s="1">
        <f>IF(COUNTIFS(Data!$A$2:$A$1723,H$1,Data!$B$2:$B$1723,$A193)=0,"",SUMIFS(Data!$F$2:$F$1723,Data!$A$2:$A$1723,H$1,Data!$B$2:$B$1723,$A193))</f>
        <v>28279.1</v>
      </c>
    </row>
    <row r="194" spans="1:8" x14ac:dyDescent="0.25">
      <c r="A194" s="21">
        <v>46234</v>
      </c>
      <c r="B194" s="1">
        <f>IF(COUNTIFS(Data!$A$2:$A$1723,B$1,Data!$B$2:$B$1723,$A194)=0,"",SUMIFS(Data!$F$2:$F$1723,Data!$A$2:$A$1723,B$1,Data!$B$2:$B$1723,$A194))</f>
        <v>24383.599999999999</v>
      </c>
      <c r="C194" s="1">
        <f>IF(COUNTIFS(Data!$A$2:$A$1723,C$1,Data!$B$2:$B$1723,$A194)=0,"",SUMIFS(Data!$F$2:$F$1723,Data!$A$2:$A$1723,C$1,Data!$B$2:$B$1723,$A194))</f>
        <v>62915.3</v>
      </c>
      <c r="D194" s="1">
        <f>IF(COUNTIFS(Data!$A$2:$A$1723,D$1,Data!$B$2:$B$1723,$A194)=0,"",SUMIFS(Data!$F$2:$F$1723,Data!$A$2:$A$1723,D$1,Data!$B$2:$B$1723,$A194))</f>
        <v>19339.650000000001</v>
      </c>
      <c r="E194" s="1">
        <f>IF(COUNTIFS(Data!$A$2:$A$1723,E$1,Data!$B$2:$B$1723,$A194)=0,"",SUMIFS(Data!$F$2:$F$1723,Data!$A$2:$A$1723,E$1,Data!$B$2:$B$1723,$A194))</f>
        <v>57264.85</v>
      </c>
      <c r="F194" s="1">
        <f>IF(COUNTIFS(Data!$A$2:$A$1723,F$1,Data!$B$2:$B$1723,$A194)=0,"",SUMIFS(Data!$F$2:$F$1723,Data!$A$2:$A$1723,F$1,Data!$B$2:$B$1723,$A194))</f>
        <v>30708.9</v>
      </c>
      <c r="G194" s="1">
        <f>IF(COUNTIFS(Data!$A$2:$A$1723,G$1,Data!$B$2:$B$1723,$A194)=0,"",SUMIFS(Data!$F$2:$F$1723,Data!$A$2:$A$1723,G$1,Data!$B$2:$B$1723,$A194))</f>
        <v>49121.2</v>
      </c>
      <c r="H194" s="1">
        <f>IF(COUNTIFS(Data!$A$2:$A$1723,H$1,Data!$B$2:$B$1723,$A194)=0,"",SUMIFS(Data!$F$2:$F$1723,Data!$A$2:$A$1723,H$1,Data!$B$2:$B$1723,$A194))</f>
        <v>28744.15</v>
      </c>
    </row>
    <row r="195" spans="1:8" x14ac:dyDescent="0.25">
      <c r="A195" s="21">
        <v>46237</v>
      </c>
      <c r="B195" s="1">
        <f>IF(COUNTIFS(Data!$A$2:$A$1723,B$1,Data!$B$2:$B$1723,$A195)=0,"",SUMIFS(Data!$F$2:$F$1723,Data!$A$2:$A$1723,B$1,Data!$B$2:$B$1723,$A195))</f>
        <v>24774.3</v>
      </c>
      <c r="C195" s="1">
        <f>IF(COUNTIFS(Data!$A$2:$A$1723,C$1,Data!$B$2:$B$1723,$A195)=0,"",SUMIFS(Data!$F$2:$F$1723,Data!$A$2:$A$1723,C$1,Data!$B$2:$B$1723,$A195))</f>
        <v>63679.3</v>
      </c>
      <c r="D195" s="1">
        <f>IF(COUNTIFS(Data!$A$2:$A$1723,D$1,Data!$B$2:$B$1723,$A195)=0,"",SUMIFS(Data!$F$2:$F$1723,Data!$A$2:$A$1723,D$1,Data!$B$2:$B$1723,$A195))</f>
        <v>19589.349999999999</v>
      </c>
      <c r="E195" s="1">
        <f>IF(COUNTIFS(Data!$A$2:$A$1723,E$1,Data!$B$2:$B$1723,$A195)=0,"",SUMIFS(Data!$F$2:$F$1723,Data!$A$2:$A$1723,E$1,Data!$B$2:$B$1723,$A195))</f>
        <v>58247.95</v>
      </c>
      <c r="F195" s="1">
        <f>IF(COUNTIFS(Data!$A$2:$A$1723,F$1,Data!$B$2:$B$1723,$A195)=0,"",SUMIFS(Data!$F$2:$F$1723,Data!$A$2:$A$1723,F$1,Data!$B$2:$B$1723,$A195))</f>
        <v>31715.25</v>
      </c>
      <c r="G195" s="1">
        <f>IF(COUNTIFS(Data!$A$2:$A$1723,G$1,Data!$B$2:$B$1723,$A195)=0,"",SUMIFS(Data!$F$2:$F$1723,Data!$A$2:$A$1723,G$1,Data!$B$2:$B$1723,$A195))</f>
        <v>49965.599999999999</v>
      </c>
      <c r="H195" s="1">
        <f>IF(COUNTIFS(Data!$A$2:$A$1723,H$1,Data!$B$2:$B$1723,$A195)=0,"",SUMIFS(Data!$F$2:$F$1723,Data!$A$2:$A$1723,H$1,Data!$B$2:$B$1723,$A195))</f>
        <v>29168.95</v>
      </c>
    </row>
    <row r="196" spans="1:8" x14ac:dyDescent="0.25">
      <c r="A196" s="21">
        <v>46238</v>
      </c>
      <c r="B196" s="1">
        <f>IF(COUNTIFS(Data!$A$2:$A$1723,B$1,Data!$B$2:$B$1723,$A196)=0,"",SUMIFS(Data!$F$2:$F$1723,Data!$A$2:$A$1723,B$1,Data!$B$2:$B$1723,$A196))</f>
        <v>24614.9</v>
      </c>
      <c r="C196" s="1">
        <f>IF(COUNTIFS(Data!$A$2:$A$1723,C$1,Data!$B$2:$B$1723,$A196)=0,"",SUMIFS(Data!$F$2:$F$1723,Data!$A$2:$A$1723,C$1,Data!$B$2:$B$1723,$A196))</f>
        <v>63491.6</v>
      </c>
      <c r="D196" s="1">
        <f>IF(COUNTIFS(Data!$A$2:$A$1723,D$1,Data!$B$2:$B$1723,$A196)=0,"",SUMIFS(Data!$F$2:$F$1723,Data!$A$2:$A$1723,D$1,Data!$B$2:$B$1723,$A196))</f>
        <v>19635.25</v>
      </c>
      <c r="E196" s="1">
        <f>IF(COUNTIFS(Data!$A$2:$A$1723,E$1,Data!$B$2:$B$1723,$A196)=0,"",SUMIFS(Data!$F$2:$F$1723,Data!$A$2:$A$1723,E$1,Data!$B$2:$B$1723,$A196))</f>
        <v>57907.199999999997</v>
      </c>
      <c r="F196" s="1">
        <f>IF(COUNTIFS(Data!$A$2:$A$1723,F$1,Data!$B$2:$B$1723,$A196)=0,"",SUMIFS(Data!$F$2:$F$1723,Data!$A$2:$A$1723,F$1,Data!$B$2:$B$1723,$A196))</f>
        <v>31454.15</v>
      </c>
      <c r="G196" s="1">
        <f>IF(COUNTIFS(Data!$A$2:$A$1723,G$1,Data!$B$2:$B$1723,$A196)=0,"",SUMIFS(Data!$F$2:$F$1723,Data!$A$2:$A$1723,G$1,Data!$B$2:$B$1723,$A196))</f>
        <v>49527.1</v>
      </c>
      <c r="H196" s="1">
        <f>IF(COUNTIFS(Data!$A$2:$A$1723,H$1,Data!$B$2:$B$1723,$A196)=0,"",SUMIFS(Data!$F$2:$F$1723,Data!$A$2:$A$1723,H$1,Data!$B$2:$B$1723,$A196))</f>
        <v>29041.3</v>
      </c>
    </row>
    <row r="197" spans="1:8" x14ac:dyDescent="0.25">
      <c r="A197" s="21">
        <v>46239</v>
      </c>
      <c r="B197" s="1">
        <f>IF(COUNTIFS(Data!$A$2:$A$1723,B$1,Data!$B$2:$B$1723,$A197)=0,"",SUMIFS(Data!$F$2:$F$1723,Data!$A$2:$A$1723,B$1,Data!$B$2:$B$1723,$A197))</f>
        <v>24624.65</v>
      </c>
      <c r="C197" s="1">
        <f>IF(COUNTIFS(Data!$A$2:$A$1723,C$1,Data!$B$2:$B$1723,$A197)=0,"",SUMIFS(Data!$F$2:$F$1723,Data!$A$2:$A$1723,C$1,Data!$B$2:$B$1723,$A197))</f>
        <v>63605.25</v>
      </c>
      <c r="D197" s="1">
        <f>IF(COUNTIFS(Data!$A$2:$A$1723,D$1,Data!$B$2:$B$1723,$A197)=0,"",SUMIFS(Data!$F$2:$F$1723,Data!$A$2:$A$1723,D$1,Data!$B$2:$B$1723,$A197))</f>
        <v>19783.7</v>
      </c>
      <c r="E197" s="1">
        <f>IF(COUNTIFS(Data!$A$2:$A$1723,E$1,Data!$B$2:$B$1723,$A197)=0,"",SUMIFS(Data!$F$2:$F$1723,Data!$A$2:$A$1723,E$1,Data!$B$2:$B$1723,$A197))</f>
        <v>57739.95</v>
      </c>
      <c r="F197" s="1">
        <f>IF(COUNTIFS(Data!$A$2:$A$1723,F$1,Data!$B$2:$B$1723,$A197)=0,"",SUMIFS(Data!$F$2:$F$1723,Data!$A$2:$A$1723,F$1,Data!$B$2:$B$1723,$A197))</f>
        <v>31404.05</v>
      </c>
      <c r="G197" s="1">
        <f>IF(COUNTIFS(Data!$A$2:$A$1723,G$1,Data!$B$2:$B$1723,$A197)=0,"",SUMIFS(Data!$F$2:$F$1723,Data!$A$2:$A$1723,G$1,Data!$B$2:$B$1723,$A197))</f>
        <v>49383.5</v>
      </c>
      <c r="H197" s="1">
        <f>IF(COUNTIFS(Data!$A$2:$A$1723,H$1,Data!$B$2:$B$1723,$A197)=0,"",SUMIFS(Data!$F$2:$F$1723,Data!$A$2:$A$1723,H$1,Data!$B$2:$B$1723,$A197))</f>
        <v>29411.55</v>
      </c>
    </row>
    <row r="198" spans="1:8" x14ac:dyDescent="0.25">
      <c r="A198" s="21">
        <v>46240</v>
      </c>
      <c r="B198" s="1">
        <f>IF(COUNTIFS(Data!$A$2:$A$1723,B$1,Data!$B$2:$B$1723,$A198)=0,"",SUMIFS(Data!$F$2:$F$1723,Data!$A$2:$A$1723,B$1,Data!$B$2:$B$1723,$A198))</f>
        <v>24636</v>
      </c>
      <c r="C198" s="1">
        <f>IF(COUNTIFS(Data!$A$2:$A$1723,C$1,Data!$B$2:$B$1723,$A198)=0,"",SUMIFS(Data!$F$2:$F$1723,Data!$A$2:$A$1723,C$1,Data!$B$2:$B$1723,$A198))</f>
        <v>63326.8</v>
      </c>
      <c r="D198" s="1">
        <f>IF(COUNTIFS(Data!$A$2:$A$1723,D$1,Data!$B$2:$B$1723,$A198)=0,"",SUMIFS(Data!$F$2:$F$1723,Data!$A$2:$A$1723,D$1,Data!$B$2:$B$1723,$A198))</f>
        <v>19878.25</v>
      </c>
      <c r="E198" s="1">
        <f>IF(COUNTIFS(Data!$A$2:$A$1723,E$1,Data!$B$2:$B$1723,$A198)=0,"",SUMIFS(Data!$F$2:$F$1723,Data!$A$2:$A$1723,E$1,Data!$B$2:$B$1723,$A198))</f>
        <v>58063.65</v>
      </c>
      <c r="F198" s="1">
        <f>IF(COUNTIFS(Data!$A$2:$A$1723,F$1,Data!$B$2:$B$1723,$A198)=0,"",SUMIFS(Data!$F$2:$F$1723,Data!$A$2:$A$1723,F$1,Data!$B$2:$B$1723,$A198))</f>
        <v>31106.2</v>
      </c>
      <c r="G198" s="1">
        <f>IF(COUNTIFS(Data!$A$2:$A$1723,G$1,Data!$B$2:$B$1723,$A198)=0,"",SUMIFS(Data!$F$2:$F$1723,Data!$A$2:$A$1723,G$1,Data!$B$2:$B$1723,$A198))</f>
        <v>49369.85</v>
      </c>
      <c r="H198" s="1">
        <f>IF(COUNTIFS(Data!$A$2:$A$1723,H$1,Data!$B$2:$B$1723,$A198)=0,"",SUMIFS(Data!$F$2:$F$1723,Data!$A$2:$A$1723,H$1,Data!$B$2:$B$1723,$A198))</f>
        <v>29113.4</v>
      </c>
    </row>
    <row r="199" spans="1:8" x14ac:dyDescent="0.25">
      <c r="A199" s="21">
        <v>46241</v>
      </c>
      <c r="B199" s="1">
        <f>IF(COUNTIFS(Data!$A$2:$A$1723,B$1,Data!$B$2:$B$1723,$A199)=0,"",SUMIFS(Data!$F$2:$F$1723,Data!$A$2:$A$1723,B$1,Data!$B$2:$B$1723,$A199))</f>
        <v>24570.65</v>
      </c>
      <c r="C199" s="1">
        <f>IF(COUNTIFS(Data!$A$2:$A$1723,C$1,Data!$B$2:$B$1723,$A199)=0,"",SUMIFS(Data!$F$2:$F$1723,Data!$A$2:$A$1723,C$1,Data!$B$2:$B$1723,$A199))</f>
        <v>63463.55</v>
      </c>
      <c r="D199" s="1">
        <f>IF(COUNTIFS(Data!$A$2:$A$1723,D$1,Data!$B$2:$B$1723,$A199)=0,"",SUMIFS(Data!$F$2:$F$1723,Data!$A$2:$A$1723,D$1,Data!$B$2:$B$1723,$A199))</f>
        <v>19867.8</v>
      </c>
      <c r="E199" s="1">
        <f>IF(COUNTIFS(Data!$A$2:$A$1723,E$1,Data!$B$2:$B$1723,$A199)=0,"",SUMIFS(Data!$F$2:$F$1723,Data!$A$2:$A$1723,E$1,Data!$B$2:$B$1723,$A199))</f>
        <v>57746.45</v>
      </c>
      <c r="F199" s="1">
        <f>IF(COUNTIFS(Data!$A$2:$A$1723,F$1,Data!$B$2:$B$1723,$A199)=0,"",SUMIFS(Data!$F$2:$F$1723,Data!$A$2:$A$1723,F$1,Data!$B$2:$B$1723,$A199))</f>
        <v>31547.7</v>
      </c>
      <c r="G199" s="1">
        <f>IF(COUNTIFS(Data!$A$2:$A$1723,G$1,Data!$B$2:$B$1723,$A199)=0,"",SUMIFS(Data!$F$2:$F$1723,Data!$A$2:$A$1723,G$1,Data!$B$2:$B$1723,$A199))</f>
        <v>49435.199999999997</v>
      </c>
      <c r="H199" s="1">
        <f>IF(COUNTIFS(Data!$A$2:$A$1723,H$1,Data!$B$2:$B$1723,$A199)=0,"",SUMIFS(Data!$F$2:$F$1723,Data!$A$2:$A$1723,H$1,Data!$B$2:$B$1723,$A199))</f>
        <v>29647.9</v>
      </c>
    </row>
    <row r="200" spans="1:8" x14ac:dyDescent="0.25">
      <c r="A200" s="21">
        <v>46244</v>
      </c>
      <c r="B200" s="1">
        <f>IF(COUNTIFS(Data!$A$2:$A$1723,B$1,Data!$B$2:$B$1723,$A200)=0,"",SUMIFS(Data!$F$2:$F$1723,Data!$A$2:$A$1723,B$1,Data!$B$2:$B$1723,$A200))</f>
        <v>24583.8</v>
      </c>
      <c r="C200" s="1">
        <f>IF(COUNTIFS(Data!$A$2:$A$1723,C$1,Data!$B$2:$B$1723,$A200)=0,"",SUMIFS(Data!$F$2:$F$1723,Data!$A$2:$A$1723,C$1,Data!$B$2:$B$1723,$A200))</f>
        <v>63855.7</v>
      </c>
      <c r="D200" s="1">
        <f>IF(COUNTIFS(Data!$A$2:$A$1723,D$1,Data!$B$2:$B$1723,$A200)=0,"",SUMIFS(Data!$F$2:$F$1723,Data!$A$2:$A$1723,D$1,Data!$B$2:$B$1723,$A200))</f>
        <v>19813.95</v>
      </c>
      <c r="E200" s="1">
        <f>IF(COUNTIFS(Data!$A$2:$A$1723,E$1,Data!$B$2:$B$1723,$A200)=0,"",SUMIFS(Data!$F$2:$F$1723,Data!$A$2:$A$1723,E$1,Data!$B$2:$B$1723,$A200))</f>
        <v>57686.95</v>
      </c>
      <c r="F200" s="1">
        <f>IF(COUNTIFS(Data!$A$2:$A$1723,F$1,Data!$B$2:$B$1723,$A200)=0,"",SUMIFS(Data!$F$2:$F$1723,Data!$A$2:$A$1723,F$1,Data!$B$2:$B$1723,$A200))</f>
        <v>31631.45</v>
      </c>
      <c r="G200" s="1">
        <f>IF(COUNTIFS(Data!$A$2:$A$1723,G$1,Data!$B$2:$B$1723,$A200)=0,"",SUMIFS(Data!$F$2:$F$1723,Data!$A$2:$A$1723,G$1,Data!$B$2:$B$1723,$A200))</f>
        <v>49363.6</v>
      </c>
      <c r="H200" s="1">
        <f>IF(COUNTIFS(Data!$A$2:$A$1723,H$1,Data!$B$2:$B$1723,$A200)=0,"",SUMIFS(Data!$F$2:$F$1723,Data!$A$2:$A$1723,H$1,Data!$B$2:$B$1723,$A200))</f>
        <v>29620.05</v>
      </c>
    </row>
    <row r="201" spans="1:8" x14ac:dyDescent="0.25">
      <c r="A201" s="21">
        <v>46245</v>
      </c>
      <c r="B201" s="1">
        <f>IF(COUNTIFS(Data!$A$2:$A$1723,B$1,Data!$B$2:$B$1723,$A201)=0,"",SUMIFS(Data!$F$2:$F$1723,Data!$A$2:$A$1723,B$1,Data!$B$2:$B$1723,$A201))</f>
        <v>24471.7</v>
      </c>
      <c r="C201" s="1">
        <f>IF(COUNTIFS(Data!$A$2:$A$1723,C$1,Data!$B$2:$B$1723,$A201)=0,"",SUMIFS(Data!$F$2:$F$1723,Data!$A$2:$A$1723,C$1,Data!$B$2:$B$1723,$A201))</f>
        <v>63843.85</v>
      </c>
      <c r="D201" s="1">
        <f>IF(COUNTIFS(Data!$A$2:$A$1723,D$1,Data!$B$2:$B$1723,$A201)=0,"",SUMIFS(Data!$F$2:$F$1723,Data!$A$2:$A$1723,D$1,Data!$B$2:$B$1723,$A201))</f>
        <v>19857.150000000001</v>
      </c>
      <c r="E201" s="1">
        <f>IF(COUNTIFS(Data!$A$2:$A$1723,E$1,Data!$B$2:$B$1723,$A201)=0,"",SUMIFS(Data!$F$2:$F$1723,Data!$A$2:$A$1723,E$1,Data!$B$2:$B$1723,$A201))</f>
        <v>57446.25</v>
      </c>
      <c r="F201" s="1">
        <f>IF(COUNTIFS(Data!$A$2:$A$1723,F$1,Data!$B$2:$B$1723,$A201)=0,"",SUMIFS(Data!$F$2:$F$1723,Data!$A$2:$A$1723,F$1,Data!$B$2:$B$1723,$A201))</f>
        <v>31823.15</v>
      </c>
      <c r="G201" s="1">
        <f>IF(COUNTIFS(Data!$A$2:$A$1723,G$1,Data!$B$2:$B$1723,$A201)=0,"",SUMIFS(Data!$F$2:$F$1723,Data!$A$2:$A$1723,G$1,Data!$B$2:$B$1723,$A201))</f>
        <v>48787.85</v>
      </c>
      <c r="H201" s="1">
        <f>IF(COUNTIFS(Data!$A$2:$A$1723,H$1,Data!$B$2:$B$1723,$A201)=0,"",SUMIFS(Data!$F$2:$F$1723,Data!$A$2:$A$1723,H$1,Data!$B$2:$B$1723,$A201))</f>
        <v>29458.55</v>
      </c>
    </row>
    <row r="202" spans="1:8" x14ac:dyDescent="0.25">
      <c r="A202" s="21">
        <v>46246</v>
      </c>
      <c r="B202" s="1">
        <f>IF(COUNTIFS(Data!$A$2:$A$1723,B$1,Data!$B$2:$B$1723,$A202)=0,"",SUMIFS(Data!$F$2:$F$1723,Data!$A$2:$A$1723,B$1,Data!$B$2:$B$1723,$A202))</f>
        <v>24435.95</v>
      </c>
      <c r="C202" s="1">
        <f>IF(COUNTIFS(Data!$A$2:$A$1723,C$1,Data!$B$2:$B$1723,$A202)=0,"",SUMIFS(Data!$F$2:$F$1723,Data!$A$2:$A$1723,C$1,Data!$B$2:$B$1723,$A202))</f>
        <v>64024.4</v>
      </c>
      <c r="D202" s="1">
        <f>IF(COUNTIFS(Data!$A$2:$A$1723,D$1,Data!$B$2:$B$1723,$A202)=0,"",SUMIFS(Data!$F$2:$F$1723,Data!$A$2:$A$1723,D$1,Data!$B$2:$B$1723,$A202))</f>
        <v>19821.650000000001</v>
      </c>
      <c r="E202" s="1">
        <f>IF(COUNTIFS(Data!$A$2:$A$1723,E$1,Data!$B$2:$B$1723,$A202)=0,"",SUMIFS(Data!$F$2:$F$1723,Data!$A$2:$A$1723,E$1,Data!$B$2:$B$1723,$A202))</f>
        <v>57885.85</v>
      </c>
      <c r="F202" s="1">
        <f>IF(COUNTIFS(Data!$A$2:$A$1723,F$1,Data!$B$2:$B$1723,$A202)=0,"",SUMIFS(Data!$F$2:$F$1723,Data!$A$2:$A$1723,F$1,Data!$B$2:$B$1723,$A202))</f>
        <v>31332.55</v>
      </c>
      <c r="G202" s="1">
        <f>IF(COUNTIFS(Data!$A$2:$A$1723,G$1,Data!$B$2:$B$1723,$A202)=0,"",SUMIFS(Data!$F$2:$F$1723,Data!$A$2:$A$1723,G$1,Data!$B$2:$B$1723,$A202))</f>
        <v>48429.35</v>
      </c>
      <c r="H202" s="1">
        <f>IF(COUNTIFS(Data!$A$2:$A$1723,H$1,Data!$B$2:$B$1723,$A202)=0,"",SUMIFS(Data!$F$2:$F$1723,Data!$A$2:$A$1723,H$1,Data!$B$2:$B$1723,$A202))</f>
        <v>29363.05</v>
      </c>
    </row>
    <row r="203" spans="1:8" x14ac:dyDescent="0.25">
      <c r="A203" s="21">
        <v>46247</v>
      </c>
      <c r="B203" s="1">
        <f>IF(COUNTIFS(Data!$A$2:$A$1723,B$1,Data!$B$2:$B$1723,$A203)=0,"",SUMIFS(Data!$F$2:$F$1723,Data!$A$2:$A$1723,B$1,Data!$B$2:$B$1723,$A203))</f>
        <v>24395.85</v>
      </c>
      <c r="C203" s="1">
        <f>IF(COUNTIFS(Data!$A$2:$A$1723,C$1,Data!$B$2:$B$1723,$A203)=0,"",SUMIFS(Data!$F$2:$F$1723,Data!$A$2:$A$1723,C$1,Data!$B$2:$B$1723,$A203))</f>
        <v>64121.55</v>
      </c>
      <c r="D203" s="1">
        <f>IF(COUNTIFS(Data!$A$2:$A$1723,D$1,Data!$B$2:$B$1723,$A203)=0,"",SUMIFS(Data!$F$2:$F$1723,Data!$A$2:$A$1723,D$1,Data!$B$2:$B$1723,$A203))</f>
        <v>19875.099999999999</v>
      </c>
      <c r="E203" s="1">
        <f>IF(COUNTIFS(Data!$A$2:$A$1723,E$1,Data!$B$2:$B$1723,$A203)=0,"",SUMIFS(Data!$F$2:$F$1723,Data!$A$2:$A$1723,E$1,Data!$B$2:$B$1723,$A203))</f>
        <v>57635.25</v>
      </c>
      <c r="F203" s="1">
        <f>IF(COUNTIFS(Data!$A$2:$A$1723,F$1,Data!$B$2:$B$1723,$A203)=0,"",SUMIFS(Data!$F$2:$F$1723,Data!$A$2:$A$1723,F$1,Data!$B$2:$B$1723,$A203))</f>
        <v>31453.9</v>
      </c>
      <c r="G203" s="1">
        <f>IF(COUNTIFS(Data!$A$2:$A$1723,G$1,Data!$B$2:$B$1723,$A203)=0,"",SUMIFS(Data!$F$2:$F$1723,Data!$A$2:$A$1723,G$1,Data!$B$2:$B$1723,$A203))</f>
        <v>48837.3</v>
      </c>
      <c r="H203" s="1">
        <f>IF(COUNTIFS(Data!$A$2:$A$1723,H$1,Data!$B$2:$B$1723,$A203)=0,"",SUMIFS(Data!$F$2:$F$1723,Data!$A$2:$A$1723,H$1,Data!$B$2:$B$1723,$A203))</f>
        <v>29392.15</v>
      </c>
    </row>
    <row r="204" spans="1:8" x14ac:dyDescent="0.25">
      <c r="A204" s="21">
        <v>46248</v>
      </c>
      <c r="B204" s="1">
        <f>IF(COUNTIFS(Data!$A$2:$A$1723,B$1,Data!$B$2:$B$1723,$A204)=0,"",SUMIFS(Data!$F$2:$F$1723,Data!$A$2:$A$1723,B$1,Data!$B$2:$B$1723,$A204))</f>
        <v>24366</v>
      </c>
      <c r="C204" s="1">
        <f>IF(COUNTIFS(Data!$A$2:$A$1723,C$1,Data!$B$2:$B$1723,$A204)=0,"",SUMIFS(Data!$F$2:$F$1723,Data!$A$2:$A$1723,C$1,Data!$B$2:$B$1723,$A204))</f>
        <v>63782.15</v>
      </c>
      <c r="D204" s="1">
        <f>IF(COUNTIFS(Data!$A$2:$A$1723,D$1,Data!$B$2:$B$1723,$A204)=0,"",SUMIFS(Data!$F$2:$F$1723,Data!$A$2:$A$1723,D$1,Data!$B$2:$B$1723,$A204))</f>
        <v>19738.55</v>
      </c>
      <c r="E204" s="1">
        <f>IF(COUNTIFS(Data!$A$2:$A$1723,E$1,Data!$B$2:$B$1723,$A204)=0,"",SUMIFS(Data!$F$2:$F$1723,Data!$A$2:$A$1723,E$1,Data!$B$2:$B$1723,$A204))</f>
        <v>57491.1</v>
      </c>
      <c r="F204" s="1">
        <f>IF(COUNTIFS(Data!$A$2:$A$1723,F$1,Data!$B$2:$B$1723,$A204)=0,"",SUMIFS(Data!$F$2:$F$1723,Data!$A$2:$A$1723,F$1,Data!$B$2:$B$1723,$A204))</f>
        <v>31357.75</v>
      </c>
      <c r="G204" s="1">
        <f>IF(COUNTIFS(Data!$A$2:$A$1723,G$1,Data!$B$2:$B$1723,$A204)=0,"",SUMIFS(Data!$F$2:$F$1723,Data!$A$2:$A$1723,G$1,Data!$B$2:$B$1723,$A204))</f>
        <v>48615.05</v>
      </c>
      <c r="H204" s="1">
        <f>IF(COUNTIFS(Data!$A$2:$A$1723,H$1,Data!$B$2:$B$1723,$A204)=0,"",SUMIFS(Data!$F$2:$F$1723,Data!$A$2:$A$1723,H$1,Data!$B$2:$B$1723,$A204))</f>
        <v>29207.9</v>
      </c>
    </row>
    <row r="205" spans="1:8" x14ac:dyDescent="0.25">
      <c r="A205" s="21">
        <v>46251</v>
      </c>
      <c r="B205" s="1">
        <f>IF(COUNTIFS(Data!$A$2:$A$1723,B$1,Data!$B$2:$B$1723,$A205)=0,"",SUMIFS(Data!$F$2:$F$1723,Data!$A$2:$A$1723,B$1,Data!$B$2:$B$1723,$A205))</f>
        <v>24287.65</v>
      </c>
      <c r="C205" s="1">
        <f>IF(COUNTIFS(Data!$A$2:$A$1723,C$1,Data!$B$2:$B$1723,$A205)=0,"",SUMIFS(Data!$F$2:$F$1723,Data!$A$2:$A$1723,C$1,Data!$B$2:$B$1723,$A205))</f>
        <v>63817</v>
      </c>
      <c r="D205" s="1">
        <f>IF(COUNTIFS(Data!$A$2:$A$1723,D$1,Data!$B$2:$B$1723,$A205)=0,"",SUMIFS(Data!$F$2:$F$1723,Data!$A$2:$A$1723,D$1,Data!$B$2:$B$1723,$A205))</f>
        <v>19809.25</v>
      </c>
      <c r="E205" s="1">
        <f>IF(COUNTIFS(Data!$A$2:$A$1723,E$1,Data!$B$2:$B$1723,$A205)=0,"",SUMIFS(Data!$F$2:$F$1723,Data!$A$2:$A$1723,E$1,Data!$B$2:$B$1723,$A205))</f>
        <v>57497.8</v>
      </c>
      <c r="F205" s="1">
        <f>IF(COUNTIFS(Data!$A$2:$A$1723,F$1,Data!$B$2:$B$1723,$A205)=0,"",SUMIFS(Data!$F$2:$F$1723,Data!$A$2:$A$1723,F$1,Data!$B$2:$B$1723,$A205))</f>
        <v>30807.8</v>
      </c>
      <c r="G205" s="1">
        <f>IF(COUNTIFS(Data!$A$2:$A$1723,G$1,Data!$B$2:$B$1723,$A205)=0,"",SUMIFS(Data!$F$2:$F$1723,Data!$A$2:$A$1723,G$1,Data!$B$2:$B$1723,$A205))</f>
        <v>48105.05</v>
      </c>
      <c r="H205" s="1">
        <f>IF(COUNTIFS(Data!$A$2:$A$1723,H$1,Data!$B$2:$B$1723,$A205)=0,"",SUMIFS(Data!$F$2:$F$1723,Data!$A$2:$A$1723,H$1,Data!$B$2:$B$1723,$A205))</f>
        <v>29178.1</v>
      </c>
    </row>
    <row r="206" spans="1:8" x14ac:dyDescent="0.25">
      <c r="A206" s="21">
        <v>46252</v>
      </c>
      <c r="B206" s="1">
        <f>IF(COUNTIFS(Data!$A$2:$A$1723,B$1,Data!$B$2:$B$1723,$A206)=0,"",SUMIFS(Data!$F$2:$F$1723,Data!$A$2:$A$1723,B$1,Data!$B$2:$B$1723,$A206))</f>
        <v>24154.9</v>
      </c>
      <c r="C206" s="1">
        <f>IF(COUNTIFS(Data!$A$2:$A$1723,C$1,Data!$B$2:$B$1723,$A206)=0,"",SUMIFS(Data!$F$2:$F$1723,Data!$A$2:$A$1723,C$1,Data!$B$2:$B$1723,$A206))</f>
        <v>63539.4</v>
      </c>
      <c r="D206" s="1">
        <f>IF(COUNTIFS(Data!$A$2:$A$1723,D$1,Data!$B$2:$B$1723,$A206)=0,"",SUMIFS(Data!$F$2:$F$1723,Data!$A$2:$A$1723,D$1,Data!$B$2:$B$1723,$A206))</f>
        <v>19808.849999999999</v>
      </c>
      <c r="E206" s="1">
        <f>IF(COUNTIFS(Data!$A$2:$A$1723,E$1,Data!$B$2:$B$1723,$A206)=0,"",SUMIFS(Data!$F$2:$F$1723,Data!$A$2:$A$1723,E$1,Data!$B$2:$B$1723,$A206))</f>
        <v>57262.400000000001</v>
      </c>
      <c r="F206" s="1">
        <f>IF(COUNTIFS(Data!$A$2:$A$1723,F$1,Data!$B$2:$B$1723,$A206)=0,"",SUMIFS(Data!$F$2:$F$1723,Data!$A$2:$A$1723,F$1,Data!$B$2:$B$1723,$A206))</f>
        <v>30213.45</v>
      </c>
      <c r="G206" s="1">
        <f>IF(COUNTIFS(Data!$A$2:$A$1723,G$1,Data!$B$2:$B$1723,$A206)=0,"",SUMIFS(Data!$F$2:$F$1723,Data!$A$2:$A$1723,G$1,Data!$B$2:$B$1723,$A206))</f>
        <v>47734.8</v>
      </c>
      <c r="H206" s="1">
        <f>IF(COUNTIFS(Data!$A$2:$A$1723,H$1,Data!$B$2:$B$1723,$A206)=0,"",SUMIFS(Data!$F$2:$F$1723,Data!$A$2:$A$1723,H$1,Data!$B$2:$B$1723,$A206))</f>
        <v>29264.55</v>
      </c>
    </row>
    <row r="207" spans="1:8" x14ac:dyDescent="0.25">
      <c r="A207" s="21">
        <v>46253</v>
      </c>
      <c r="B207" s="1">
        <f>IF(COUNTIFS(Data!$A$2:$A$1723,B$1,Data!$B$2:$B$1723,$A207)=0,"",SUMIFS(Data!$F$2:$F$1723,Data!$A$2:$A$1723,B$1,Data!$B$2:$B$1723,$A207))</f>
        <v>24078.3</v>
      </c>
      <c r="C207" s="1">
        <f>IF(COUNTIFS(Data!$A$2:$A$1723,C$1,Data!$B$2:$B$1723,$A207)=0,"",SUMIFS(Data!$F$2:$F$1723,Data!$A$2:$A$1723,C$1,Data!$B$2:$B$1723,$A207))</f>
        <v>63408.75</v>
      </c>
      <c r="D207" s="1">
        <f>IF(COUNTIFS(Data!$A$2:$A$1723,D$1,Data!$B$2:$B$1723,$A207)=0,"",SUMIFS(Data!$F$2:$F$1723,Data!$A$2:$A$1723,D$1,Data!$B$2:$B$1723,$A207))</f>
        <v>19707.150000000001</v>
      </c>
      <c r="E207" s="1">
        <f>IF(COUNTIFS(Data!$A$2:$A$1723,E$1,Data!$B$2:$B$1723,$A207)=0,"",SUMIFS(Data!$F$2:$F$1723,Data!$A$2:$A$1723,E$1,Data!$B$2:$B$1723,$A207))</f>
        <v>57239.75</v>
      </c>
      <c r="F207" s="1">
        <f>IF(COUNTIFS(Data!$A$2:$A$1723,F$1,Data!$B$2:$B$1723,$A207)=0,"",SUMIFS(Data!$F$2:$F$1723,Data!$A$2:$A$1723,F$1,Data!$B$2:$B$1723,$A207))</f>
        <v>30433.05</v>
      </c>
      <c r="G207" s="1">
        <f>IF(COUNTIFS(Data!$A$2:$A$1723,G$1,Data!$B$2:$B$1723,$A207)=0,"",SUMIFS(Data!$F$2:$F$1723,Data!$A$2:$A$1723,G$1,Data!$B$2:$B$1723,$A207))</f>
        <v>47473.9</v>
      </c>
      <c r="H207" s="1">
        <f>IF(COUNTIFS(Data!$A$2:$A$1723,H$1,Data!$B$2:$B$1723,$A207)=0,"",SUMIFS(Data!$F$2:$F$1723,Data!$A$2:$A$1723,H$1,Data!$B$2:$B$1723,$A207))</f>
        <v>29185.4</v>
      </c>
    </row>
    <row r="208" spans="1:8" x14ac:dyDescent="0.25">
      <c r="A208" s="21">
        <v>46254</v>
      </c>
      <c r="B208" s="1">
        <f>IF(COUNTIFS(Data!$A$2:$A$1723,B$1,Data!$B$2:$B$1723,$A208)=0,"",SUMIFS(Data!$F$2:$F$1723,Data!$A$2:$A$1723,B$1,Data!$B$2:$B$1723,$A208))</f>
        <v>24231.85</v>
      </c>
      <c r="C208" s="1">
        <f>IF(COUNTIFS(Data!$A$2:$A$1723,C$1,Data!$B$2:$B$1723,$A208)=0,"",SUMIFS(Data!$F$2:$F$1723,Data!$A$2:$A$1723,C$1,Data!$B$2:$B$1723,$A208))</f>
        <v>63671.55</v>
      </c>
      <c r="D208" s="1">
        <f>IF(COUNTIFS(Data!$A$2:$A$1723,D$1,Data!$B$2:$B$1723,$A208)=0,"",SUMIFS(Data!$F$2:$F$1723,Data!$A$2:$A$1723,D$1,Data!$B$2:$B$1723,$A208))</f>
        <v>19841.45</v>
      </c>
      <c r="E208" s="1">
        <f>IF(COUNTIFS(Data!$A$2:$A$1723,E$1,Data!$B$2:$B$1723,$A208)=0,"",SUMIFS(Data!$F$2:$F$1723,Data!$A$2:$A$1723,E$1,Data!$B$2:$B$1723,$A208))</f>
        <v>57495.9</v>
      </c>
      <c r="F208" s="1">
        <f>IF(COUNTIFS(Data!$A$2:$A$1723,F$1,Data!$B$2:$B$1723,$A208)=0,"",SUMIFS(Data!$F$2:$F$1723,Data!$A$2:$A$1723,F$1,Data!$B$2:$B$1723,$A208))</f>
        <v>30673.05</v>
      </c>
      <c r="G208" s="1">
        <f>IF(COUNTIFS(Data!$A$2:$A$1723,G$1,Data!$B$2:$B$1723,$A208)=0,"",SUMIFS(Data!$F$2:$F$1723,Data!$A$2:$A$1723,G$1,Data!$B$2:$B$1723,$A208))</f>
        <v>47863.25</v>
      </c>
      <c r="H208" s="1">
        <f>IF(COUNTIFS(Data!$A$2:$A$1723,H$1,Data!$B$2:$B$1723,$A208)=0,"",SUMIFS(Data!$F$2:$F$1723,Data!$A$2:$A$1723,H$1,Data!$B$2:$B$1723,$A208))</f>
        <v>29301.75</v>
      </c>
    </row>
    <row r="209" spans="1:8" x14ac:dyDescent="0.25">
      <c r="A209" s="21">
        <v>46255</v>
      </c>
      <c r="B209" s="1">
        <f>IF(COUNTIFS(Data!$A$2:$A$1723,B$1,Data!$B$2:$B$1723,$A209)=0,"",SUMIFS(Data!$F$2:$F$1723,Data!$A$2:$A$1723,B$1,Data!$B$2:$B$1723,$A209))</f>
        <v>24252</v>
      </c>
      <c r="C209" s="1">
        <f>IF(COUNTIFS(Data!$A$2:$A$1723,C$1,Data!$B$2:$B$1723,$A209)=0,"",SUMIFS(Data!$F$2:$F$1723,Data!$A$2:$A$1723,C$1,Data!$B$2:$B$1723,$A209))</f>
        <v>63735.75</v>
      </c>
      <c r="D209" s="1">
        <f>IF(COUNTIFS(Data!$A$2:$A$1723,D$1,Data!$B$2:$B$1723,$A209)=0,"",SUMIFS(Data!$F$2:$F$1723,Data!$A$2:$A$1723,D$1,Data!$B$2:$B$1723,$A209))</f>
        <v>19977.75</v>
      </c>
      <c r="E209" s="1">
        <f>IF(COUNTIFS(Data!$A$2:$A$1723,E$1,Data!$B$2:$B$1723,$A209)=0,"",SUMIFS(Data!$F$2:$F$1723,Data!$A$2:$A$1723,E$1,Data!$B$2:$B$1723,$A209))</f>
        <v>57761.95</v>
      </c>
      <c r="F209" s="1">
        <f>IF(COUNTIFS(Data!$A$2:$A$1723,F$1,Data!$B$2:$B$1723,$A209)=0,"",SUMIFS(Data!$F$2:$F$1723,Data!$A$2:$A$1723,F$1,Data!$B$2:$B$1723,$A209))</f>
        <v>30532.25</v>
      </c>
      <c r="G209" s="1">
        <f>IF(COUNTIFS(Data!$A$2:$A$1723,G$1,Data!$B$2:$B$1723,$A209)=0,"",SUMIFS(Data!$F$2:$F$1723,Data!$A$2:$A$1723,G$1,Data!$B$2:$B$1723,$A209))</f>
        <v>47510.95</v>
      </c>
      <c r="H209" s="1">
        <f>IF(COUNTIFS(Data!$A$2:$A$1723,H$1,Data!$B$2:$B$1723,$A209)=0,"",SUMIFS(Data!$F$2:$F$1723,Data!$A$2:$A$1723,H$1,Data!$B$2:$B$1723,$A209))</f>
        <v>29124.6</v>
      </c>
    </row>
    <row r="210" spans="1:8" x14ac:dyDescent="0.25">
      <c r="A210" s="21">
        <v>46258</v>
      </c>
      <c r="B210" s="1">
        <f>IF(COUNTIFS(Data!$A$2:$A$1723,B$1,Data!$B$2:$B$1723,$A210)=0,"",SUMIFS(Data!$F$2:$F$1723,Data!$A$2:$A$1723,B$1,Data!$B$2:$B$1723,$A210))</f>
        <v>24219.05</v>
      </c>
      <c r="C210" s="1">
        <f>IF(COUNTIFS(Data!$A$2:$A$1723,C$1,Data!$B$2:$B$1723,$A210)=0,"",SUMIFS(Data!$F$2:$F$1723,Data!$A$2:$A$1723,C$1,Data!$B$2:$B$1723,$A210))</f>
        <v>63817.25</v>
      </c>
      <c r="D210" s="1">
        <f>IF(COUNTIFS(Data!$A$2:$A$1723,D$1,Data!$B$2:$B$1723,$A210)=0,"",SUMIFS(Data!$F$2:$F$1723,Data!$A$2:$A$1723,D$1,Data!$B$2:$B$1723,$A210))</f>
        <v>19926.75</v>
      </c>
      <c r="E210" s="1">
        <f>IF(COUNTIFS(Data!$A$2:$A$1723,E$1,Data!$B$2:$B$1723,$A210)=0,"",SUMIFS(Data!$F$2:$F$1723,Data!$A$2:$A$1723,E$1,Data!$B$2:$B$1723,$A210))</f>
        <v>57525.95</v>
      </c>
      <c r="F210" s="1">
        <f>IF(COUNTIFS(Data!$A$2:$A$1723,F$1,Data!$B$2:$B$1723,$A210)=0,"",SUMIFS(Data!$F$2:$F$1723,Data!$A$2:$A$1723,F$1,Data!$B$2:$B$1723,$A210))</f>
        <v>30596.9</v>
      </c>
      <c r="G210" s="1">
        <f>IF(COUNTIFS(Data!$A$2:$A$1723,G$1,Data!$B$2:$B$1723,$A210)=0,"",SUMIFS(Data!$F$2:$F$1723,Data!$A$2:$A$1723,G$1,Data!$B$2:$B$1723,$A210))</f>
        <v>47527.8</v>
      </c>
      <c r="H210" s="1">
        <f>IF(COUNTIFS(Data!$A$2:$A$1723,H$1,Data!$B$2:$B$1723,$A210)=0,"",SUMIFS(Data!$F$2:$F$1723,Data!$A$2:$A$1723,H$1,Data!$B$2:$B$1723,$A210))</f>
        <v>29101.3</v>
      </c>
    </row>
    <row r="211" spans="1:8" x14ac:dyDescent="0.25">
      <c r="A211" s="21">
        <v>46259</v>
      </c>
      <c r="B211" s="1">
        <f>IF(COUNTIFS(Data!$A$2:$A$1723,B$1,Data!$B$2:$B$1723,$A211)=0,"",SUMIFS(Data!$F$2:$F$1723,Data!$A$2:$A$1723,B$1,Data!$B$2:$B$1723,$A211))</f>
        <v>24334.55</v>
      </c>
      <c r="C211" s="1">
        <f>IF(COUNTIFS(Data!$A$2:$A$1723,C$1,Data!$B$2:$B$1723,$A211)=0,"",SUMIFS(Data!$F$2:$F$1723,Data!$A$2:$A$1723,C$1,Data!$B$2:$B$1723,$A211))</f>
        <v>64162.9</v>
      </c>
      <c r="D211" s="1">
        <f>IF(COUNTIFS(Data!$A$2:$A$1723,D$1,Data!$B$2:$B$1723,$A211)=0,"",SUMIFS(Data!$F$2:$F$1723,Data!$A$2:$A$1723,D$1,Data!$B$2:$B$1723,$A211))</f>
        <v>19906.599999999999</v>
      </c>
      <c r="E211" s="1">
        <f>IF(COUNTIFS(Data!$A$2:$A$1723,E$1,Data!$B$2:$B$1723,$A211)=0,"",SUMIFS(Data!$F$2:$F$1723,Data!$A$2:$A$1723,E$1,Data!$B$2:$B$1723,$A211))</f>
        <v>57514.2</v>
      </c>
      <c r="F211" s="1">
        <f>IF(COUNTIFS(Data!$A$2:$A$1723,F$1,Data!$B$2:$B$1723,$A211)=0,"",SUMIFS(Data!$F$2:$F$1723,Data!$A$2:$A$1723,F$1,Data!$B$2:$B$1723,$A211))</f>
        <v>30771.8</v>
      </c>
      <c r="G211" s="1">
        <f>IF(COUNTIFS(Data!$A$2:$A$1723,G$1,Data!$B$2:$B$1723,$A211)=0,"",SUMIFS(Data!$F$2:$F$1723,Data!$A$2:$A$1723,G$1,Data!$B$2:$B$1723,$A211))</f>
        <v>47706.95</v>
      </c>
      <c r="H211" s="1">
        <f>IF(COUNTIFS(Data!$A$2:$A$1723,H$1,Data!$B$2:$B$1723,$A211)=0,"",SUMIFS(Data!$F$2:$F$1723,Data!$A$2:$A$1723,H$1,Data!$B$2:$B$1723,$A211))</f>
        <v>29216.9</v>
      </c>
    </row>
    <row r="212" spans="1:8" x14ac:dyDescent="0.25">
      <c r="A212" s="21">
        <v>46260</v>
      </c>
      <c r="B212" s="1">
        <f>IF(COUNTIFS(Data!$A$2:$A$1723,B$1,Data!$B$2:$B$1723,$A212)=0,"",SUMIFS(Data!$F$2:$F$1723,Data!$A$2:$A$1723,B$1,Data!$B$2:$B$1723,$A212))</f>
        <v>24207.75</v>
      </c>
      <c r="C212" s="1">
        <f>IF(COUNTIFS(Data!$A$2:$A$1723,C$1,Data!$B$2:$B$1723,$A212)=0,"",SUMIFS(Data!$F$2:$F$1723,Data!$A$2:$A$1723,C$1,Data!$B$2:$B$1723,$A212))</f>
        <v>64101.2</v>
      </c>
      <c r="D212" s="1">
        <f>IF(COUNTIFS(Data!$A$2:$A$1723,D$1,Data!$B$2:$B$1723,$A212)=0,"",SUMIFS(Data!$F$2:$F$1723,Data!$A$2:$A$1723,D$1,Data!$B$2:$B$1723,$A212))</f>
        <v>20067.3</v>
      </c>
      <c r="E212" s="1">
        <f>IF(COUNTIFS(Data!$A$2:$A$1723,E$1,Data!$B$2:$B$1723,$A212)=0,"",SUMIFS(Data!$F$2:$F$1723,Data!$A$2:$A$1723,E$1,Data!$B$2:$B$1723,$A212))</f>
        <v>57783.75</v>
      </c>
      <c r="F212" s="1">
        <f>IF(COUNTIFS(Data!$A$2:$A$1723,F$1,Data!$B$2:$B$1723,$A212)=0,"",SUMIFS(Data!$F$2:$F$1723,Data!$A$2:$A$1723,F$1,Data!$B$2:$B$1723,$A212))</f>
        <v>30318.85</v>
      </c>
      <c r="G212" s="1">
        <f>IF(COUNTIFS(Data!$A$2:$A$1723,G$1,Data!$B$2:$B$1723,$A212)=0,"",SUMIFS(Data!$F$2:$F$1723,Data!$A$2:$A$1723,G$1,Data!$B$2:$B$1723,$A212))</f>
        <v>47252.9</v>
      </c>
      <c r="H212" s="1">
        <f>IF(COUNTIFS(Data!$A$2:$A$1723,H$1,Data!$B$2:$B$1723,$A212)=0,"",SUMIFS(Data!$F$2:$F$1723,Data!$A$2:$A$1723,H$1,Data!$B$2:$B$1723,$A212))</f>
        <v>29000.15</v>
      </c>
    </row>
    <row r="213" spans="1:8" x14ac:dyDescent="0.25">
      <c r="A213" s="21">
        <v>46261</v>
      </c>
      <c r="B213" s="1">
        <f>IF(COUNTIFS(Data!$A$2:$A$1723,B$1,Data!$B$2:$B$1723,$A213)=0,"",SUMIFS(Data!$F$2:$F$1723,Data!$A$2:$A$1723,B$1,Data!$B$2:$B$1723,$A213))</f>
        <v>24090.85</v>
      </c>
      <c r="C213" s="1">
        <f>IF(COUNTIFS(Data!$A$2:$A$1723,C$1,Data!$B$2:$B$1723,$A213)=0,"",SUMIFS(Data!$F$2:$F$1723,Data!$A$2:$A$1723,C$1,Data!$B$2:$B$1723,$A213))</f>
        <v>64035.45</v>
      </c>
      <c r="D213" s="1">
        <f>IF(COUNTIFS(Data!$A$2:$A$1723,D$1,Data!$B$2:$B$1723,$A213)=0,"",SUMIFS(Data!$F$2:$F$1723,Data!$A$2:$A$1723,D$1,Data!$B$2:$B$1723,$A213))</f>
        <v>20040.650000000001</v>
      </c>
      <c r="E213" s="1">
        <f>IF(COUNTIFS(Data!$A$2:$A$1723,E$1,Data!$B$2:$B$1723,$A213)=0,"",SUMIFS(Data!$F$2:$F$1723,Data!$A$2:$A$1723,E$1,Data!$B$2:$B$1723,$A213))</f>
        <v>57509.95</v>
      </c>
      <c r="F213" s="1">
        <f>IF(COUNTIFS(Data!$A$2:$A$1723,F$1,Data!$B$2:$B$1723,$A213)=0,"",SUMIFS(Data!$F$2:$F$1723,Data!$A$2:$A$1723,F$1,Data!$B$2:$B$1723,$A213))</f>
        <v>30221.15</v>
      </c>
      <c r="G213" s="1">
        <f>IF(COUNTIFS(Data!$A$2:$A$1723,G$1,Data!$B$2:$B$1723,$A213)=0,"",SUMIFS(Data!$F$2:$F$1723,Data!$A$2:$A$1723,G$1,Data!$B$2:$B$1723,$A213))</f>
        <v>47030.45</v>
      </c>
      <c r="H213" s="1">
        <f>IF(COUNTIFS(Data!$A$2:$A$1723,H$1,Data!$B$2:$B$1723,$A213)=0,"",SUMIFS(Data!$F$2:$F$1723,Data!$A$2:$A$1723,H$1,Data!$B$2:$B$1723,$A213))</f>
        <v>28883.5</v>
      </c>
    </row>
    <row r="214" spans="1:8" x14ac:dyDescent="0.25">
      <c r="A214" s="21">
        <v>46262</v>
      </c>
      <c r="B214" s="1">
        <f>IF(COUNTIFS(Data!$A$2:$A$1723,B$1,Data!$B$2:$B$1723,$A214)=0,"",SUMIFS(Data!$F$2:$F$1723,Data!$A$2:$A$1723,B$1,Data!$B$2:$B$1723,$A214))</f>
        <v>24175.65</v>
      </c>
      <c r="C214" s="1">
        <f>IF(COUNTIFS(Data!$A$2:$A$1723,C$1,Data!$B$2:$B$1723,$A214)=0,"",SUMIFS(Data!$F$2:$F$1723,Data!$A$2:$A$1723,C$1,Data!$B$2:$B$1723,$A214))</f>
        <v>64069.5</v>
      </c>
      <c r="D214" s="1">
        <f>IF(COUNTIFS(Data!$A$2:$A$1723,D$1,Data!$B$2:$B$1723,$A214)=0,"",SUMIFS(Data!$F$2:$F$1723,Data!$A$2:$A$1723,D$1,Data!$B$2:$B$1723,$A214))</f>
        <v>20080</v>
      </c>
      <c r="E214" s="1">
        <f>IF(COUNTIFS(Data!$A$2:$A$1723,E$1,Data!$B$2:$B$1723,$A214)=0,"",SUMIFS(Data!$F$2:$F$1723,Data!$A$2:$A$1723,E$1,Data!$B$2:$B$1723,$A214))</f>
        <v>57496.3</v>
      </c>
      <c r="F214" s="1">
        <f>IF(COUNTIFS(Data!$A$2:$A$1723,F$1,Data!$B$2:$B$1723,$A214)=0,"",SUMIFS(Data!$F$2:$F$1723,Data!$A$2:$A$1723,F$1,Data!$B$2:$B$1723,$A214))</f>
        <v>31281.7</v>
      </c>
      <c r="G214" s="1">
        <f>IF(COUNTIFS(Data!$A$2:$A$1723,G$1,Data!$B$2:$B$1723,$A214)=0,"",SUMIFS(Data!$F$2:$F$1723,Data!$A$2:$A$1723,G$1,Data!$B$2:$B$1723,$A214))</f>
        <v>46815</v>
      </c>
      <c r="H214" s="1">
        <f>IF(COUNTIFS(Data!$A$2:$A$1723,H$1,Data!$B$2:$B$1723,$A214)=0,"",SUMIFS(Data!$F$2:$F$1723,Data!$A$2:$A$1723,H$1,Data!$B$2:$B$1723,$A214))</f>
        <v>28851.8</v>
      </c>
    </row>
    <row r="215" spans="1:8" x14ac:dyDescent="0.25">
      <c r="A215" s="21">
        <v>46265</v>
      </c>
      <c r="B215" s="1">
        <f>IF(COUNTIFS(Data!$A$2:$A$1723,B$1,Data!$B$2:$B$1723,$A215)=0,"",SUMIFS(Data!$F$2:$F$1723,Data!$A$2:$A$1723,B$1,Data!$B$2:$B$1723,$A215))</f>
        <v>24080.400000000001</v>
      </c>
      <c r="C215" s="1">
        <f>IF(COUNTIFS(Data!$A$2:$A$1723,C$1,Data!$B$2:$B$1723,$A215)=0,"",SUMIFS(Data!$F$2:$F$1723,Data!$A$2:$A$1723,C$1,Data!$B$2:$B$1723,$A215))</f>
        <v>64224.75</v>
      </c>
      <c r="D215" s="1">
        <f>IF(COUNTIFS(Data!$A$2:$A$1723,D$1,Data!$B$2:$B$1723,$A215)=0,"",SUMIFS(Data!$F$2:$F$1723,Data!$A$2:$A$1723,D$1,Data!$B$2:$B$1723,$A215))</f>
        <v>19931.650000000001</v>
      </c>
      <c r="E215" s="1">
        <f>IF(COUNTIFS(Data!$A$2:$A$1723,E$1,Data!$B$2:$B$1723,$A215)=0,"",SUMIFS(Data!$F$2:$F$1723,Data!$A$2:$A$1723,E$1,Data!$B$2:$B$1723,$A215))</f>
        <v>58024.95</v>
      </c>
      <c r="F215" s="1">
        <f>IF(COUNTIFS(Data!$A$2:$A$1723,F$1,Data!$B$2:$B$1723,$A215)=0,"",SUMIFS(Data!$F$2:$F$1723,Data!$A$2:$A$1723,F$1,Data!$B$2:$B$1723,$A215))</f>
        <v>31191.45</v>
      </c>
      <c r="G215" s="1">
        <f>IF(COUNTIFS(Data!$A$2:$A$1723,G$1,Data!$B$2:$B$1723,$A215)=0,"",SUMIFS(Data!$F$2:$F$1723,Data!$A$2:$A$1723,G$1,Data!$B$2:$B$1723,$A215))</f>
        <v>46025.55</v>
      </c>
      <c r="H215" s="1">
        <f>IF(COUNTIFS(Data!$A$2:$A$1723,H$1,Data!$B$2:$B$1723,$A215)=0,"",SUMIFS(Data!$F$2:$F$1723,Data!$A$2:$A$1723,H$1,Data!$B$2:$B$1723,$A215))</f>
        <v>28841.5</v>
      </c>
    </row>
    <row r="216" spans="1:8" x14ac:dyDescent="0.25">
      <c r="A216" s="21">
        <v>46266</v>
      </c>
      <c r="B216" s="1">
        <f>IF(COUNTIFS(Data!$A$2:$A$1723,B$1,Data!$B$2:$B$1723,$A216)=0,"",SUMIFS(Data!$F$2:$F$1723,Data!$A$2:$A$1723,B$1,Data!$B$2:$B$1723,$A216))</f>
        <v>24055.8</v>
      </c>
      <c r="C216" s="1">
        <f>IF(COUNTIFS(Data!$A$2:$A$1723,C$1,Data!$B$2:$B$1723,$A216)=0,"",SUMIFS(Data!$F$2:$F$1723,Data!$A$2:$A$1723,C$1,Data!$B$2:$B$1723,$A216))</f>
        <v>63334.5</v>
      </c>
      <c r="D216" s="1">
        <f>IF(COUNTIFS(Data!$A$2:$A$1723,D$1,Data!$B$2:$B$1723,$A216)=0,"",SUMIFS(Data!$F$2:$F$1723,Data!$A$2:$A$1723,D$1,Data!$B$2:$B$1723,$A216))</f>
        <v>19886.25</v>
      </c>
      <c r="E216" s="1">
        <f>IF(COUNTIFS(Data!$A$2:$A$1723,E$1,Data!$B$2:$B$1723,$A216)=0,"",SUMIFS(Data!$F$2:$F$1723,Data!$A$2:$A$1723,E$1,Data!$B$2:$B$1723,$A216))</f>
        <v>57409.599999999999</v>
      </c>
      <c r="F216" s="1">
        <f>IF(COUNTIFS(Data!$A$2:$A$1723,F$1,Data!$B$2:$B$1723,$A216)=0,"",SUMIFS(Data!$F$2:$F$1723,Data!$A$2:$A$1723,F$1,Data!$B$2:$B$1723,$A216))</f>
        <v>31496.7</v>
      </c>
      <c r="G216" s="1">
        <f>IF(COUNTIFS(Data!$A$2:$A$1723,G$1,Data!$B$2:$B$1723,$A216)=0,"",SUMIFS(Data!$F$2:$F$1723,Data!$A$2:$A$1723,G$1,Data!$B$2:$B$1723,$A216))</f>
        <v>46457.15</v>
      </c>
      <c r="H216" s="1">
        <f>IF(COUNTIFS(Data!$A$2:$A$1723,H$1,Data!$B$2:$B$1723,$A216)=0,"",SUMIFS(Data!$F$2:$F$1723,Data!$A$2:$A$1723,H$1,Data!$B$2:$B$1723,$A216))</f>
        <v>28491.05</v>
      </c>
    </row>
    <row r="217" spans="1:8" x14ac:dyDescent="0.25">
      <c r="A217" s="21">
        <v>46267</v>
      </c>
      <c r="B217" s="1">
        <f>IF(COUNTIFS(Data!$A$2:$A$1723,B$1,Data!$B$2:$B$1723,$A217)=0,"",SUMIFS(Data!$F$2:$F$1723,Data!$A$2:$A$1723,B$1,Data!$B$2:$B$1723,$A217))</f>
        <v>23914.45</v>
      </c>
      <c r="C217" s="1">
        <f>IF(COUNTIFS(Data!$A$2:$A$1723,C$1,Data!$B$2:$B$1723,$A217)=0,"",SUMIFS(Data!$F$2:$F$1723,Data!$A$2:$A$1723,C$1,Data!$B$2:$B$1723,$A217))</f>
        <v>63001.599999999999</v>
      </c>
      <c r="D217" s="1">
        <f>IF(COUNTIFS(Data!$A$2:$A$1723,D$1,Data!$B$2:$B$1723,$A217)=0,"",SUMIFS(Data!$F$2:$F$1723,Data!$A$2:$A$1723,D$1,Data!$B$2:$B$1723,$A217))</f>
        <v>19812.25</v>
      </c>
      <c r="E217" s="1">
        <f>IF(COUNTIFS(Data!$A$2:$A$1723,E$1,Data!$B$2:$B$1723,$A217)=0,"",SUMIFS(Data!$F$2:$F$1723,Data!$A$2:$A$1723,E$1,Data!$B$2:$B$1723,$A217))</f>
        <v>57172</v>
      </c>
      <c r="F217" s="1">
        <f>IF(COUNTIFS(Data!$A$2:$A$1723,F$1,Data!$B$2:$B$1723,$A217)=0,"",SUMIFS(Data!$F$2:$F$1723,Data!$A$2:$A$1723,F$1,Data!$B$2:$B$1723,$A217))</f>
        <v>31102.9</v>
      </c>
      <c r="G217" s="1">
        <f>IF(COUNTIFS(Data!$A$2:$A$1723,G$1,Data!$B$2:$B$1723,$A217)=0,"",SUMIFS(Data!$F$2:$F$1723,Data!$A$2:$A$1723,G$1,Data!$B$2:$B$1723,$A217))</f>
        <v>46240.55</v>
      </c>
      <c r="H217" s="1">
        <f>IF(COUNTIFS(Data!$A$2:$A$1723,H$1,Data!$B$2:$B$1723,$A217)=0,"",SUMIFS(Data!$F$2:$F$1723,Data!$A$2:$A$1723,H$1,Data!$B$2:$B$1723,$A217))</f>
        <v>27981.95</v>
      </c>
    </row>
    <row r="218" spans="1:8" x14ac:dyDescent="0.25">
      <c r="A218" s="21">
        <v>46268</v>
      </c>
      <c r="B218" s="1">
        <f>IF(COUNTIFS(Data!$A$2:$A$1723,B$1,Data!$B$2:$B$1723,$A218)=0,"",SUMIFS(Data!$F$2:$F$1723,Data!$A$2:$A$1723,B$1,Data!$B$2:$B$1723,$A218))</f>
        <v>23873.45</v>
      </c>
      <c r="C218" s="1">
        <f>IF(COUNTIFS(Data!$A$2:$A$1723,C$1,Data!$B$2:$B$1723,$A218)=0,"",SUMIFS(Data!$F$2:$F$1723,Data!$A$2:$A$1723,C$1,Data!$B$2:$B$1723,$A218))</f>
        <v>63235.199999999997</v>
      </c>
      <c r="D218" s="1">
        <f>IF(COUNTIFS(Data!$A$2:$A$1723,D$1,Data!$B$2:$B$1723,$A218)=0,"",SUMIFS(Data!$F$2:$F$1723,Data!$A$2:$A$1723,D$1,Data!$B$2:$B$1723,$A218))</f>
        <v>20050.75</v>
      </c>
      <c r="E218" s="1">
        <f>IF(COUNTIFS(Data!$A$2:$A$1723,E$1,Data!$B$2:$B$1723,$A218)=0,"",SUMIFS(Data!$F$2:$F$1723,Data!$A$2:$A$1723,E$1,Data!$B$2:$B$1723,$A218))</f>
        <v>57380.6</v>
      </c>
      <c r="F218" s="1">
        <f>IF(COUNTIFS(Data!$A$2:$A$1723,F$1,Data!$B$2:$B$1723,$A218)=0,"",SUMIFS(Data!$F$2:$F$1723,Data!$A$2:$A$1723,F$1,Data!$B$2:$B$1723,$A218))</f>
        <v>30838.85</v>
      </c>
      <c r="G218" s="1">
        <f>IF(COUNTIFS(Data!$A$2:$A$1723,G$1,Data!$B$2:$B$1723,$A218)=0,"",SUMIFS(Data!$F$2:$F$1723,Data!$A$2:$A$1723,G$1,Data!$B$2:$B$1723,$A218))</f>
        <v>45955.65</v>
      </c>
      <c r="H218" s="1">
        <f>IF(COUNTIFS(Data!$A$2:$A$1723,H$1,Data!$B$2:$B$1723,$A218)=0,"",SUMIFS(Data!$F$2:$F$1723,Data!$A$2:$A$1723,H$1,Data!$B$2:$B$1723,$A218))</f>
        <v>27837.4</v>
      </c>
    </row>
    <row r="219" spans="1:8" x14ac:dyDescent="0.25">
      <c r="A219" s="21">
        <v>46269</v>
      </c>
      <c r="B219" s="1">
        <f>IF(COUNTIFS(Data!$A$2:$A$1723,B$1,Data!$B$2:$B$1723,$A219)=0,"",SUMIFS(Data!$F$2:$F$1723,Data!$A$2:$A$1723,B$1,Data!$B$2:$B$1723,$A219))</f>
        <v>23897.7</v>
      </c>
      <c r="C219" s="1">
        <f>IF(COUNTIFS(Data!$A$2:$A$1723,C$1,Data!$B$2:$B$1723,$A219)=0,"",SUMIFS(Data!$F$2:$F$1723,Data!$A$2:$A$1723,C$1,Data!$B$2:$B$1723,$A219))</f>
        <v>63079.05</v>
      </c>
      <c r="D219" s="1">
        <f>IF(COUNTIFS(Data!$A$2:$A$1723,D$1,Data!$B$2:$B$1723,$A219)=0,"",SUMIFS(Data!$F$2:$F$1723,Data!$A$2:$A$1723,D$1,Data!$B$2:$B$1723,$A219))</f>
        <v>20095.45</v>
      </c>
      <c r="E219" s="1">
        <f>IF(COUNTIFS(Data!$A$2:$A$1723,E$1,Data!$B$2:$B$1723,$A219)=0,"",SUMIFS(Data!$F$2:$F$1723,Data!$A$2:$A$1723,E$1,Data!$B$2:$B$1723,$A219))</f>
        <v>57369.65</v>
      </c>
      <c r="F219" s="1">
        <f>IF(COUNTIFS(Data!$A$2:$A$1723,F$1,Data!$B$2:$B$1723,$A219)=0,"",SUMIFS(Data!$F$2:$F$1723,Data!$A$2:$A$1723,F$1,Data!$B$2:$B$1723,$A219))</f>
        <v>30695.1</v>
      </c>
      <c r="G219" s="1">
        <f>IF(COUNTIFS(Data!$A$2:$A$1723,G$1,Data!$B$2:$B$1723,$A219)=0,"",SUMIFS(Data!$F$2:$F$1723,Data!$A$2:$A$1723,G$1,Data!$B$2:$B$1723,$A219))</f>
        <v>45892.75</v>
      </c>
      <c r="H219" s="1">
        <f>IF(COUNTIFS(Data!$A$2:$A$1723,H$1,Data!$B$2:$B$1723,$A219)=0,"",SUMIFS(Data!$F$2:$F$1723,Data!$A$2:$A$1723,H$1,Data!$B$2:$B$1723,$A219))</f>
        <v>27710.9</v>
      </c>
    </row>
    <row r="220" spans="1:8" x14ac:dyDescent="0.25">
      <c r="A220" s="21">
        <v>46272</v>
      </c>
      <c r="B220" s="1">
        <f>IF(COUNTIFS(Data!$A$2:$A$1723,B$1,Data!$B$2:$B$1723,$A220)=0,"",SUMIFS(Data!$F$2:$F$1723,Data!$A$2:$A$1723,B$1,Data!$B$2:$B$1723,$A220))</f>
        <v>23779.15</v>
      </c>
      <c r="C220" s="1">
        <f>IF(COUNTIFS(Data!$A$2:$A$1723,C$1,Data!$B$2:$B$1723,$A220)=0,"",SUMIFS(Data!$F$2:$F$1723,Data!$A$2:$A$1723,C$1,Data!$B$2:$B$1723,$A220))</f>
        <v>62786.15</v>
      </c>
      <c r="D220" s="1">
        <f>IF(COUNTIFS(Data!$A$2:$A$1723,D$1,Data!$B$2:$B$1723,$A220)=0,"",SUMIFS(Data!$F$2:$F$1723,Data!$A$2:$A$1723,D$1,Data!$B$2:$B$1723,$A220))</f>
        <v>20100.2</v>
      </c>
      <c r="E220" s="1">
        <f>IF(COUNTIFS(Data!$A$2:$A$1723,E$1,Data!$B$2:$B$1723,$A220)=0,"",SUMIFS(Data!$F$2:$F$1723,Data!$A$2:$A$1723,E$1,Data!$B$2:$B$1723,$A220))</f>
        <v>57088.3</v>
      </c>
      <c r="F220" s="1">
        <f>IF(COUNTIFS(Data!$A$2:$A$1723,F$1,Data!$B$2:$B$1723,$A220)=0,"",SUMIFS(Data!$F$2:$F$1723,Data!$A$2:$A$1723,F$1,Data!$B$2:$B$1723,$A220))</f>
        <v>29995.200000000001</v>
      </c>
      <c r="G220" s="1">
        <f>IF(COUNTIFS(Data!$A$2:$A$1723,G$1,Data!$B$2:$B$1723,$A220)=0,"",SUMIFS(Data!$F$2:$F$1723,Data!$A$2:$A$1723,G$1,Data!$B$2:$B$1723,$A220))</f>
        <v>45592.15</v>
      </c>
      <c r="H220" s="1">
        <f>IF(COUNTIFS(Data!$A$2:$A$1723,H$1,Data!$B$2:$B$1723,$A220)=0,"",SUMIFS(Data!$F$2:$F$1723,Data!$A$2:$A$1723,H$1,Data!$B$2:$B$1723,$A220))</f>
        <v>27698.75</v>
      </c>
    </row>
    <row r="221" spans="1:8" x14ac:dyDescent="0.25">
      <c r="A221" s="21">
        <v>46273</v>
      </c>
      <c r="B221" s="1">
        <f>IF(COUNTIFS(Data!$A$2:$A$1723,B$1,Data!$B$2:$B$1723,$A221)=0,"",SUMIFS(Data!$F$2:$F$1723,Data!$A$2:$A$1723,B$1,Data!$B$2:$B$1723,$A221))</f>
        <v>23635.1</v>
      </c>
      <c r="C221" s="1">
        <f>IF(COUNTIFS(Data!$A$2:$A$1723,C$1,Data!$B$2:$B$1723,$A221)=0,"",SUMIFS(Data!$F$2:$F$1723,Data!$A$2:$A$1723,C$1,Data!$B$2:$B$1723,$A221))</f>
        <v>62915.8</v>
      </c>
      <c r="D221" s="1">
        <f>IF(COUNTIFS(Data!$A$2:$A$1723,D$1,Data!$B$2:$B$1723,$A221)=0,"",SUMIFS(Data!$F$2:$F$1723,Data!$A$2:$A$1723,D$1,Data!$B$2:$B$1723,$A221))</f>
        <v>20133.75</v>
      </c>
      <c r="E221" s="1">
        <f>IF(COUNTIFS(Data!$A$2:$A$1723,E$1,Data!$B$2:$B$1723,$A221)=0,"",SUMIFS(Data!$F$2:$F$1723,Data!$A$2:$A$1723,E$1,Data!$B$2:$B$1723,$A221))</f>
        <v>56777.55</v>
      </c>
      <c r="F221" s="1">
        <f>IF(COUNTIFS(Data!$A$2:$A$1723,F$1,Data!$B$2:$B$1723,$A221)=0,"",SUMIFS(Data!$F$2:$F$1723,Data!$A$2:$A$1723,F$1,Data!$B$2:$B$1723,$A221))</f>
        <v>29883.45</v>
      </c>
      <c r="G221" s="1">
        <f>IF(COUNTIFS(Data!$A$2:$A$1723,G$1,Data!$B$2:$B$1723,$A221)=0,"",SUMIFS(Data!$F$2:$F$1723,Data!$A$2:$A$1723,G$1,Data!$B$2:$B$1723,$A221))</f>
        <v>45749.85</v>
      </c>
      <c r="H221" s="1">
        <f>IF(COUNTIFS(Data!$A$2:$A$1723,H$1,Data!$B$2:$B$1723,$A221)=0,"",SUMIFS(Data!$F$2:$F$1723,Data!$A$2:$A$1723,H$1,Data!$B$2:$B$1723,$A221))</f>
        <v>27775.35</v>
      </c>
    </row>
    <row r="222" spans="1:8" x14ac:dyDescent="0.25">
      <c r="A222" s="21">
        <v>46274</v>
      </c>
      <c r="B222" s="1">
        <f>IF(COUNTIFS(Data!$A$2:$A$1723,B$1,Data!$B$2:$B$1723,$A222)=0,"",SUMIFS(Data!$F$2:$F$1723,Data!$A$2:$A$1723,B$1,Data!$B$2:$B$1723,$A222))</f>
        <v>23431.5</v>
      </c>
      <c r="C222" s="1">
        <f>IF(COUNTIFS(Data!$A$2:$A$1723,C$1,Data!$B$2:$B$1723,$A222)=0,"",SUMIFS(Data!$F$2:$F$1723,Data!$A$2:$A$1723,C$1,Data!$B$2:$B$1723,$A222))</f>
        <v>62592.800000000003</v>
      </c>
      <c r="D222" s="1">
        <f>IF(COUNTIFS(Data!$A$2:$A$1723,D$1,Data!$B$2:$B$1723,$A222)=0,"",SUMIFS(Data!$F$2:$F$1723,Data!$A$2:$A$1723,D$1,Data!$B$2:$B$1723,$A222))</f>
        <v>20036.900000000001</v>
      </c>
      <c r="E222" s="1">
        <f>IF(COUNTIFS(Data!$A$2:$A$1723,E$1,Data!$B$2:$B$1723,$A222)=0,"",SUMIFS(Data!$F$2:$F$1723,Data!$A$2:$A$1723,E$1,Data!$B$2:$B$1723,$A222))</f>
        <v>56295.55</v>
      </c>
      <c r="F222" s="1">
        <f>IF(COUNTIFS(Data!$A$2:$A$1723,F$1,Data!$B$2:$B$1723,$A222)=0,"",SUMIFS(Data!$F$2:$F$1723,Data!$A$2:$A$1723,F$1,Data!$B$2:$B$1723,$A222))</f>
        <v>28913.95</v>
      </c>
      <c r="G222" s="1">
        <f>IF(COUNTIFS(Data!$A$2:$A$1723,G$1,Data!$B$2:$B$1723,$A222)=0,"",SUMIFS(Data!$F$2:$F$1723,Data!$A$2:$A$1723,G$1,Data!$B$2:$B$1723,$A222))</f>
        <v>45309.25</v>
      </c>
      <c r="H222" s="1">
        <f>IF(COUNTIFS(Data!$A$2:$A$1723,H$1,Data!$B$2:$B$1723,$A222)=0,"",SUMIFS(Data!$F$2:$F$1723,Data!$A$2:$A$1723,H$1,Data!$B$2:$B$1723,$A222))</f>
        <v>27653.35</v>
      </c>
    </row>
    <row r="223" spans="1:8" x14ac:dyDescent="0.25">
      <c r="A223" s="21">
        <v>46275</v>
      </c>
      <c r="B223" s="1">
        <f>IF(COUNTIFS(Data!$A$2:$A$1723,B$1,Data!$B$2:$B$1723,$A223)=0,"",SUMIFS(Data!$F$2:$F$1723,Data!$A$2:$A$1723,B$1,Data!$B$2:$B$1723,$A223))</f>
        <v>23477.8</v>
      </c>
      <c r="C223" s="1">
        <f>IF(COUNTIFS(Data!$A$2:$A$1723,C$1,Data!$B$2:$B$1723,$A223)=0,"",SUMIFS(Data!$F$2:$F$1723,Data!$A$2:$A$1723,C$1,Data!$B$2:$B$1723,$A223))</f>
        <v>62357.35</v>
      </c>
      <c r="D223" s="1">
        <f>IF(COUNTIFS(Data!$A$2:$A$1723,D$1,Data!$B$2:$B$1723,$A223)=0,"",SUMIFS(Data!$F$2:$F$1723,Data!$A$2:$A$1723,D$1,Data!$B$2:$B$1723,$A223))</f>
        <v>20021.95</v>
      </c>
      <c r="E223" s="1">
        <f>IF(COUNTIFS(Data!$A$2:$A$1723,E$1,Data!$B$2:$B$1723,$A223)=0,"",SUMIFS(Data!$F$2:$F$1723,Data!$A$2:$A$1723,E$1,Data!$B$2:$B$1723,$A223))</f>
        <v>56471.95</v>
      </c>
      <c r="F223" s="1">
        <f>IF(COUNTIFS(Data!$A$2:$A$1723,F$1,Data!$B$2:$B$1723,$A223)=0,"",SUMIFS(Data!$F$2:$F$1723,Data!$A$2:$A$1723,F$1,Data!$B$2:$B$1723,$A223))</f>
        <v>28890.9</v>
      </c>
      <c r="G223" s="1">
        <f>IF(COUNTIFS(Data!$A$2:$A$1723,G$1,Data!$B$2:$B$1723,$A223)=0,"",SUMIFS(Data!$F$2:$F$1723,Data!$A$2:$A$1723,G$1,Data!$B$2:$B$1723,$A223))</f>
        <v>45185.599999999999</v>
      </c>
      <c r="H223" s="1">
        <f>IF(COUNTIFS(Data!$A$2:$A$1723,H$1,Data!$B$2:$B$1723,$A223)=0,"",SUMIFS(Data!$F$2:$F$1723,Data!$A$2:$A$1723,H$1,Data!$B$2:$B$1723,$A223))</f>
        <v>27540.95</v>
      </c>
    </row>
    <row r="224" spans="1:8" x14ac:dyDescent="0.25">
      <c r="A224" s="21">
        <v>46276</v>
      </c>
      <c r="B224" s="1">
        <f>IF(COUNTIFS(Data!$A$2:$A$1723,B$1,Data!$B$2:$B$1723,$A224)=0,"",SUMIFS(Data!$F$2:$F$1723,Data!$A$2:$A$1723,B$1,Data!$B$2:$B$1723,$A224))</f>
        <v>23398.1</v>
      </c>
      <c r="C224" s="1">
        <f>IF(COUNTIFS(Data!$A$2:$A$1723,C$1,Data!$B$2:$B$1723,$A224)=0,"",SUMIFS(Data!$F$2:$F$1723,Data!$A$2:$A$1723,C$1,Data!$B$2:$B$1723,$A224))</f>
        <v>62197.2</v>
      </c>
      <c r="D224" s="1">
        <f>IF(COUNTIFS(Data!$A$2:$A$1723,D$1,Data!$B$2:$B$1723,$A224)=0,"",SUMIFS(Data!$F$2:$F$1723,Data!$A$2:$A$1723,D$1,Data!$B$2:$B$1723,$A224))</f>
        <v>19906.3</v>
      </c>
      <c r="E224" s="1">
        <f>IF(COUNTIFS(Data!$A$2:$A$1723,E$1,Data!$B$2:$B$1723,$A224)=0,"",SUMIFS(Data!$F$2:$F$1723,Data!$A$2:$A$1723,E$1,Data!$B$2:$B$1723,$A224))</f>
        <v>56606.55</v>
      </c>
      <c r="F224" s="1">
        <f>IF(COUNTIFS(Data!$A$2:$A$1723,F$1,Data!$B$2:$B$1723,$A224)=0,"",SUMIFS(Data!$F$2:$F$1723,Data!$A$2:$A$1723,F$1,Data!$B$2:$B$1723,$A224))</f>
        <v>28921.5</v>
      </c>
      <c r="G224" s="1">
        <f>IF(COUNTIFS(Data!$A$2:$A$1723,G$1,Data!$B$2:$B$1723,$A224)=0,"",SUMIFS(Data!$F$2:$F$1723,Data!$A$2:$A$1723,G$1,Data!$B$2:$B$1723,$A224))</f>
        <v>45053.75</v>
      </c>
      <c r="H224" s="1">
        <f>IF(COUNTIFS(Data!$A$2:$A$1723,H$1,Data!$B$2:$B$1723,$A224)=0,"",SUMIFS(Data!$F$2:$F$1723,Data!$A$2:$A$1723,H$1,Data!$B$2:$B$1723,$A224))</f>
        <v>27304.5</v>
      </c>
    </row>
    <row r="225" spans="1:8" x14ac:dyDescent="0.25">
      <c r="A225" s="21">
        <v>46280</v>
      </c>
      <c r="B225" s="1">
        <f>IF(COUNTIFS(Data!$A$2:$A$1723,B$1,Data!$B$2:$B$1723,$A225)=0,"",SUMIFS(Data!$F$2:$F$1723,Data!$A$2:$A$1723,B$1,Data!$B$2:$B$1723,$A225))</f>
        <v>23118.6</v>
      </c>
      <c r="C225" s="1">
        <f>IF(COUNTIFS(Data!$A$2:$A$1723,C$1,Data!$B$2:$B$1723,$A225)=0,"",SUMIFS(Data!$F$2:$F$1723,Data!$A$2:$A$1723,C$1,Data!$B$2:$B$1723,$A225))</f>
        <v>60878.25</v>
      </c>
      <c r="D225" s="1">
        <f>IF(COUNTIFS(Data!$A$2:$A$1723,D$1,Data!$B$2:$B$1723,$A225)=0,"",SUMIFS(Data!$F$2:$F$1723,Data!$A$2:$A$1723,D$1,Data!$B$2:$B$1723,$A225))</f>
        <v>19422.45</v>
      </c>
      <c r="E225" s="1">
        <f>IF(COUNTIFS(Data!$A$2:$A$1723,E$1,Data!$B$2:$B$1723,$A225)=0,"",SUMIFS(Data!$F$2:$F$1723,Data!$A$2:$A$1723,E$1,Data!$B$2:$B$1723,$A225))</f>
        <v>55794.75</v>
      </c>
      <c r="F225" s="1">
        <f>IF(COUNTIFS(Data!$A$2:$A$1723,F$1,Data!$B$2:$B$1723,$A225)=0,"",SUMIFS(Data!$F$2:$F$1723,Data!$A$2:$A$1723,F$1,Data!$B$2:$B$1723,$A225))</f>
        <v>29555.3</v>
      </c>
      <c r="G225" s="1">
        <f>IF(COUNTIFS(Data!$A$2:$A$1723,G$1,Data!$B$2:$B$1723,$A225)=0,"",SUMIFS(Data!$F$2:$F$1723,Data!$A$2:$A$1723,G$1,Data!$B$2:$B$1723,$A225))</f>
        <v>44829.95</v>
      </c>
      <c r="H225" s="1">
        <f>IF(COUNTIFS(Data!$A$2:$A$1723,H$1,Data!$B$2:$B$1723,$A225)=0,"",SUMIFS(Data!$F$2:$F$1723,Data!$A$2:$A$1723,H$1,Data!$B$2:$B$1723,$A225))</f>
        <v>26756.6</v>
      </c>
    </row>
    <row r="226" spans="1:8" x14ac:dyDescent="0.25">
      <c r="A226" s="21">
        <v>46281</v>
      </c>
      <c r="B226" s="1">
        <f>IF(COUNTIFS(Data!$A$2:$A$1723,B$1,Data!$B$2:$B$1723,$A226)=0,"",SUMIFS(Data!$F$2:$F$1723,Data!$A$2:$A$1723,B$1,Data!$B$2:$B$1723,$A226))</f>
        <v>23217.599999999999</v>
      </c>
      <c r="C226" s="1">
        <f>IF(COUNTIFS(Data!$A$2:$A$1723,C$1,Data!$B$2:$B$1723,$A226)=0,"",SUMIFS(Data!$F$2:$F$1723,Data!$A$2:$A$1723,C$1,Data!$B$2:$B$1723,$A226))</f>
        <v>60874.2</v>
      </c>
      <c r="D226" s="1">
        <f>IF(COUNTIFS(Data!$A$2:$A$1723,D$1,Data!$B$2:$B$1723,$A226)=0,"",SUMIFS(Data!$F$2:$F$1723,Data!$A$2:$A$1723,D$1,Data!$B$2:$B$1723,$A226))</f>
        <v>19388.3</v>
      </c>
      <c r="E226" s="1">
        <f>IF(COUNTIFS(Data!$A$2:$A$1723,E$1,Data!$B$2:$B$1723,$A226)=0,"",SUMIFS(Data!$F$2:$F$1723,Data!$A$2:$A$1723,E$1,Data!$B$2:$B$1723,$A226))</f>
        <v>56292.45</v>
      </c>
      <c r="F226" s="1">
        <f>IF(COUNTIFS(Data!$A$2:$A$1723,F$1,Data!$B$2:$B$1723,$A226)=0,"",SUMIFS(Data!$F$2:$F$1723,Data!$A$2:$A$1723,F$1,Data!$B$2:$B$1723,$A226))</f>
        <v>29087.65</v>
      </c>
      <c r="G226" s="1">
        <f>IF(COUNTIFS(Data!$A$2:$A$1723,G$1,Data!$B$2:$B$1723,$A226)=0,"",SUMIFS(Data!$F$2:$F$1723,Data!$A$2:$A$1723,G$1,Data!$B$2:$B$1723,$A226))</f>
        <v>45559</v>
      </c>
      <c r="H226" s="1">
        <f>IF(COUNTIFS(Data!$A$2:$A$1723,H$1,Data!$B$2:$B$1723,$A226)=0,"",SUMIFS(Data!$F$2:$F$1723,Data!$A$2:$A$1723,H$1,Data!$B$2:$B$1723,$A226))</f>
        <v>26893.65</v>
      </c>
    </row>
    <row r="227" spans="1:8" x14ac:dyDescent="0.25">
      <c r="A227" s="21">
        <v>46282</v>
      </c>
      <c r="B227" s="1">
        <f>IF(COUNTIFS(Data!$A$2:$A$1723,B$1,Data!$B$2:$B$1723,$A227)=0,"",SUMIFS(Data!$F$2:$F$1723,Data!$A$2:$A$1723,B$1,Data!$B$2:$B$1723,$A227))</f>
        <v>23270.6</v>
      </c>
      <c r="C227" s="1">
        <f>IF(COUNTIFS(Data!$A$2:$A$1723,C$1,Data!$B$2:$B$1723,$A227)=0,"",SUMIFS(Data!$F$2:$F$1723,Data!$A$2:$A$1723,C$1,Data!$B$2:$B$1723,$A227))</f>
        <v>61432.1</v>
      </c>
      <c r="D227" s="1">
        <f>IF(COUNTIFS(Data!$A$2:$A$1723,D$1,Data!$B$2:$B$1723,$A227)=0,"",SUMIFS(Data!$F$2:$F$1723,Data!$A$2:$A$1723,D$1,Data!$B$2:$B$1723,$A227))</f>
        <v>19535.7</v>
      </c>
      <c r="E227" s="1">
        <f>IF(COUNTIFS(Data!$A$2:$A$1723,E$1,Data!$B$2:$B$1723,$A227)=0,"",SUMIFS(Data!$F$2:$F$1723,Data!$A$2:$A$1723,E$1,Data!$B$2:$B$1723,$A227))</f>
        <v>56055.75</v>
      </c>
      <c r="F227" s="1">
        <f>IF(COUNTIFS(Data!$A$2:$A$1723,F$1,Data!$B$2:$B$1723,$A227)=0,"",SUMIFS(Data!$F$2:$F$1723,Data!$A$2:$A$1723,F$1,Data!$B$2:$B$1723,$A227))</f>
        <v>29155.599999999999</v>
      </c>
      <c r="G227" s="1">
        <f>IF(COUNTIFS(Data!$A$2:$A$1723,G$1,Data!$B$2:$B$1723,$A227)=0,"",SUMIFS(Data!$F$2:$F$1723,Data!$A$2:$A$1723,G$1,Data!$B$2:$B$1723,$A227))</f>
        <v>45572.7</v>
      </c>
      <c r="H227" s="1">
        <f>IF(COUNTIFS(Data!$A$2:$A$1723,H$1,Data!$B$2:$B$1723,$A227)=0,"",SUMIFS(Data!$F$2:$F$1723,Data!$A$2:$A$1723,H$1,Data!$B$2:$B$1723,$A227))</f>
        <v>27159.15</v>
      </c>
    </row>
    <row r="228" spans="1:8" x14ac:dyDescent="0.25">
      <c r="A228" s="21">
        <v>46283</v>
      </c>
      <c r="B228" s="1">
        <f>IF(COUNTIFS(Data!$A$2:$A$1723,B$1,Data!$B$2:$B$1723,$A228)=0,"",SUMIFS(Data!$F$2:$F$1723,Data!$A$2:$A$1723,B$1,Data!$B$2:$B$1723,$A228))</f>
        <v>23346.400000000001</v>
      </c>
      <c r="C228" s="1">
        <f>IF(COUNTIFS(Data!$A$2:$A$1723,C$1,Data!$B$2:$B$1723,$A228)=0,"",SUMIFS(Data!$F$2:$F$1723,Data!$A$2:$A$1723,C$1,Data!$B$2:$B$1723,$A228))</f>
        <v>62191.25</v>
      </c>
      <c r="D228" s="1">
        <f>IF(COUNTIFS(Data!$A$2:$A$1723,D$1,Data!$B$2:$B$1723,$A228)=0,"",SUMIFS(Data!$F$2:$F$1723,Data!$A$2:$A$1723,D$1,Data!$B$2:$B$1723,$A228))</f>
        <v>19875.7</v>
      </c>
      <c r="E228" s="1">
        <f>IF(COUNTIFS(Data!$A$2:$A$1723,E$1,Data!$B$2:$B$1723,$A228)=0,"",SUMIFS(Data!$F$2:$F$1723,Data!$A$2:$A$1723,E$1,Data!$B$2:$B$1723,$A228))</f>
        <v>56358.7</v>
      </c>
      <c r="F228" s="1">
        <f>IF(COUNTIFS(Data!$A$2:$A$1723,F$1,Data!$B$2:$B$1723,$A228)=0,"",SUMIFS(Data!$F$2:$F$1723,Data!$A$2:$A$1723,F$1,Data!$B$2:$B$1723,$A228))</f>
        <v>28854.55</v>
      </c>
      <c r="G228" s="1">
        <f>IF(COUNTIFS(Data!$A$2:$A$1723,G$1,Data!$B$2:$B$1723,$A228)=0,"",SUMIFS(Data!$F$2:$F$1723,Data!$A$2:$A$1723,G$1,Data!$B$2:$B$1723,$A228))</f>
        <v>45466.8</v>
      </c>
      <c r="H228" s="1">
        <f>IF(COUNTIFS(Data!$A$2:$A$1723,H$1,Data!$B$2:$B$1723,$A228)=0,"",SUMIFS(Data!$F$2:$F$1723,Data!$A$2:$A$1723,H$1,Data!$B$2:$B$1723,$A228))</f>
        <v>27129</v>
      </c>
    </row>
    <row r="229" spans="1:8" x14ac:dyDescent="0.25">
      <c r="A229" s="21">
        <v>46286</v>
      </c>
      <c r="B229" s="1">
        <f>IF(COUNTIFS(Data!$A$2:$A$1723,B$1,Data!$B$2:$B$1723,$A229)=0,"",SUMIFS(Data!$F$2:$F$1723,Data!$A$2:$A$1723,B$1,Data!$B$2:$B$1723,$A229))</f>
        <v>23414.3</v>
      </c>
      <c r="C229" s="1">
        <f>IF(COUNTIFS(Data!$A$2:$A$1723,C$1,Data!$B$2:$B$1723,$A229)=0,"",SUMIFS(Data!$F$2:$F$1723,Data!$A$2:$A$1723,C$1,Data!$B$2:$B$1723,$A229))</f>
        <v>62013.1</v>
      </c>
      <c r="D229" s="1">
        <f>IF(COUNTIFS(Data!$A$2:$A$1723,D$1,Data!$B$2:$B$1723,$A229)=0,"",SUMIFS(Data!$F$2:$F$1723,Data!$A$2:$A$1723,D$1,Data!$B$2:$B$1723,$A229))</f>
        <v>19861.5</v>
      </c>
      <c r="E229" s="1">
        <f>IF(COUNTIFS(Data!$A$2:$A$1723,E$1,Data!$B$2:$B$1723,$A229)=0,"",SUMIFS(Data!$F$2:$F$1723,Data!$A$2:$A$1723,E$1,Data!$B$2:$B$1723,$A229))</f>
        <v>56470.65</v>
      </c>
      <c r="F229" s="1">
        <f>IF(COUNTIFS(Data!$A$2:$A$1723,F$1,Data!$B$2:$B$1723,$A229)=0,"",SUMIFS(Data!$F$2:$F$1723,Data!$A$2:$A$1723,F$1,Data!$B$2:$B$1723,$A229))</f>
        <v>28830.9</v>
      </c>
      <c r="G229" s="1">
        <f>IF(COUNTIFS(Data!$A$2:$A$1723,G$1,Data!$B$2:$B$1723,$A229)=0,"",SUMIFS(Data!$F$2:$F$1723,Data!$A$2:$A$1723,G$1,Data!$B$2:$B$1723,$A229))</f>
        <v>45900.9</v>
      </c>
      <c r="H229" s="1">
        <f>IF(COUNTIFS(Data!$A$2:$A$1723,H$1,Data!$B$2:$B$1723,$A229)=0,"",SUMIFS(Data!$F$2:$F$1723,Data!$A$2:$A$1723,H$1,Data!$B$2:$B$1723,$A229))</f>
        <v>27151.1</v>
      </c>
    </row>
    <row r="230" spans="1:8" x14ac:dyDescent="0.25">
      <c r="A230" s="21">
        <v>46287</v>
      </c>
      <c r="B230" s="1">
        <f>IF(COUNTIFS(Data!$A$2:$A$1723,B$1,Data!$B$2:$B$1723,$A230)=0,"",SUMIFS(Data!$F$2:$F$1723,Data!$A$2:$A$1723,B$1,Data!$B$2:$B$1723,$A230))</f>
        <v>23329</v>
      </c>
      <c r="C230" s="1">
        <f>IF(COUNTIFS(Data!$A$2:$A$1723,C$1,Data!$B$2:$B$1723,$A230)=0,"",SUMIFS(Data!$F$2:$F$1723,Data!$A$2:$A$1723,C$1,Data!$B$2:$B$1723,$A230))</f>
        <v>61963.15</v>
      </c>
      <c r="D230" s="1">
        <f>IF(COUNTIFS(Data!$A$2:$A$1723,D$1,Data!$B$2:$B$1723,$A230)=0,"",SUMIFS(Data!$F$2:$F$1723,Data!$A$2:$A$1723,D$1,Data!$B$2:$B$1723,$A230))</f>
        <v>19815.45</v>
      </c>
      <c r="E230" s="1">
        <f>IF(COUNTIFS(Data!$A$2:$A$1723,E$1,Data!$B$2:$B$1723,$A230)=0,"",SUMIFS(Data!$F$2:$F$1723,Data!$A$2:$A$1723,E$1,Data!$B$2:$B$1723,$A230))</f>
        <v>56215.55</v>
      </c>
      <c r="F230" s="1">
        <f>IF(COUNTIFS(Data!$A$2:$A$1723,F$1,Data!$B$2:$B$1723,$A230)=0,"",SUMIFS(Data!$F$2:$F$1723,Data!$A$2:$A$1723,F$1,Data!$B$2:$B$1723,$A230))</f>
        <v>28582.1</v>
      </c>
      <c r="G230" s="1">
        <f>IF(COUNTIFS(Data!$A$2:$A$1723,G$1,Data!$B$2:$B$1723,$A230)=0,"",SUMIFS(Data!$F$2:$F$1723,Data!$A$2:$A$1723,G$1,Data!$B$2:$B$1723,$A230))</f>
        <v>45657.75</v>
      </c>
      <c r="H230" s="1">
        <f>IF(COUNTIFS(Data!$A$2:$A$1723,H$1,Data!$B$2:$B$1723,$A230)=0,"",SUMIFS(Data!$F$2:$F$1723,Data!$A$2:$A$1723,H$1,Data!$B$2:$B$1723,$A230))</f>
        <v>27086.3</v>
      </c>
    </row>
    <row r="231" spans="1:8" x14ac:dyDescent="0.25">
      <c r="A231" s="21">
        <v>46288</v>
      </c>
      <c r="B231" s="1">
        <f>IF(COUNTIFS(Data!$A$2:$A$1723,B$1,Data!$B$2:$B$1723,$A231)=0,"",SUMIFS(Data!$F$2:$F$1723,Data!$A$2:$A$1723,B$1,Data!$B$2:$B$1723,$A231))</f>
        <v>23446.799999999999</v>
      </c>
      <c r="C231" s="1">
        <f>IF(COUNTIFS(Data!$A$2:$A$1723,C$1,Data!$B$2:$B$1723,$A231)=0,"",SUMIFS(Data!$F$2:$F$1723,Data!$A$2:$A$1723,C$1,Data!$B$2:$B$1723,$A231))</f>
        <v>62396.45</v>
      </c>
      <c r="D231" s="1">
        <f>IF(COUNTIFS(Data!$A$2:$A$1723,D$1,Data!$B$2:$B$1723,$A231)=0,"",SUMIFS(Data!$F$2:$F$1723,Data!$A$2:$A$1723,D$1,Data!$B$2:$B$1723,$A231))</f>
        <v>19991.5</v>
      </c>
      <c r="E231" s="1">
        <f>IF(COUNTIFS(Data!$A$2:$A$1723,E$1,Data!$B$2:$B$1723,$A231)=0,"",SUMIFS(Data!$F$2:$F$1723,Data!$A$2:$A$1723,E$1,Data!$B$2:$B$1723,$A231))</f>
        <v>56548.9</v>
      </c>
      <c r="F231" s="1">
        <f>IF(COUNTIFS(Data!$A$2:$A$1723,F$1,Data!$B$2:$B$1723,$A231)=0,"",SUMIFS(Data!$F$2:$F$1723,Data!$A$2:$A$1723,F$1,Data!$B$2:$B$1723,$A231))</f>
        <v>28334.05</v>
      </c>
      <c r="G231" s="1">
        <f>IF(COUNTIFS(Data!$A$2:$A$1723,G$1,Data!$B$2:$B$1723,$A231)=0,"",SUMIFS(Data!$F$2:$F$1723,Data!$A$2:$A$1723,G$1,Data!$B$2:$B$1723,$A231))</f>
        <v>46259.35</v>
      </c>
      <c r="H231" s="1">
        <f>IF(COUNTIFS(Data!$A$2:$A$1723,H$1,Data!$B$2:$B$1723,$A231)=0,"",SUMIFS(Data!$F$2:$F$1723,Data!$A$2:$A$1723,H$1,Data!$B$2:$B$1723,$A231))</f>
        <v>27157.55</v>
      </c>
    </row>
    <row r="232" spans="1:8" x14ac:dyDescent="0.25">
      <c r="A232" s="21">
        <v>46289</v>
      </c>
      <c r="B232" s="1">
        <f>IF(COUNTIFS(Data!$A$2:$A$1723,B$1,Data!$B$2:$B$1723,$A232)=0,"",SUMIFS(Data!$F$2:$F$1723,Data!$A$2:$A$1723,B$1,Data!$B$2:$B$1723,$A232))</f>
        <v>23063.1</v>
      </c>
      <c r="C232" s="1">
        <f>IF(COUNTIFS(Data!$A$2:$A$1723,C$1,Data!$B$2:$B$1723,$A232)=0,"",SUMIFS(Data!$F$2:$F$1723,Data!$A$2:$A$1723,C$1,Data!$B$2:$B$1723,$A232))</f>
        <v>60990.15</v>
      </c>
      <c r="D232" s="1">
        <f>IF(COUNTIFS(Data!$A$2:$A$1723,D$1,Data!$B$2:$B$1723,$A232)=0,"",SUMIFS(Data!$F$2:$F$1723,Data!$A$2:$A$1723,D$1,Data!$B$2:$B$1723,$A232))</f>
        <v>19684.75</v>
      </c>
      <c r="E232" s="1">
        <f>IF(COUNTIFS(Data!$A$2:$A$1723,E$1,Data!$B$2:$B$1723,$A232)=0,"",SUMIFS(Data!$F$2:$F$1723,Data!$A$2:$A$1723,E$1,Data!$B$2:$B$1723,$A232))</f>
        <v>55438.5</v>
      </c>
      <c r="F232" s="1">
        <f>IF(COUNTIFS(Data!$A$2:$A$1723,F$1,Data!$B$2:$B$1723,$A232)=0,"",SUMIFS(Data!$F$2:$F$1723,Data!$A$2:$A$1723,F$1,Data!$B$2:$B$1723,$A232))</f>
        <v>28208.85</v>
      </c>
      <c r="G232" s="1">
        <f>IF(COUNTIFS(Data!$A$2:$A$1723,G$1,Data!$B$2:$B$1723,$A232)=0,"",SUMIFS(Data!$F$2:$F$1723,Data!$A$2:$A$1723,G$1,Data!$B$2:$B$1723,$A232))</f>
        <v>45759.35</v>
      </c>
      <c r="H232" s="1">
        <f>IF(COUNTIFS(Data!$A$2:$A$1723,H$1,Data!$B$2:$B$1723,$A232)=0,"",SUMIFS(Data!$F$2:$F$1723,Data!$A$2:$A$1723,H$1,Data!$B$2:$B$1723,$A232))</f>
        <v>26730.1</v>
      </c>
    </row>
    <row r="233" spans="1:8" x14ac:dyDescent="0.25">
      <c r="A233" s="21">
        <v>46290</v>
      </c>
      <c r="B233" s="1">
        <f>IF(COUNTIFS(Data!$A$2:$A$1723,B$1,Data!$B$2:$B$1723,$A233)=0,"",SUMIFS(Data!$F$2:$F$1723,Data!$A$2:$A$1723,B$1,Data!$B$2:$B$1723,$A233))</f>
        <v>23140.5</v>
      </c>
      <c r="C233" s="1">
        <f>IF(COUNTIFS(Data!$A$2:$A$1723,C$1,Data!$B$2:$B$1723,$A233)=0,"",SUMIFS(Data!$F$2:$F$1723,Data!$A$2:$A$1723,C$1,Data!$B$2:$B$1723,$A233))</f>
        <v>60906</v>
      </c>
      <c r="D233" s="1">
        <f>IF(COUNTIFS(Data!$A$2:$A$1723,D$1,Data!$B$2:$B$1723,$A233)=0,"",SUMIFS(Data!$F$2:$F$1723,Data!$A$2:$A$1723,D$1,Data!$B$2:$B$1723,$A233))</f>
        <v>19715.25</v>
      </c>
      <c r="E233" s="1">
        <f>IF(COUNTIFS(Data!$A$2:$A$1723,E$1,Data!$B$2:$B$1723,$A233)=0,"",SUMIFS(Data!$F$2:$F$1723,Data!$A$2:$A$1723,E$1,Data!$B$2:$B$1723,$A233))</f>
        <v>55580.4</v>
      </c>
      <c r="F233" s="1">
        <f>IF(COUNTIFS(Data!$A$2:$A$1723,F$1,Data!$B$2:$B$1723,$A233)=0,"",SUMIFS(Data!$F$2:$F$1723,Data!$A$2:$A$1723,F$1,Data!$B$2:$B$1723,$A233))</f>
        <v>28160.9</v>
      </c>
      <c r="G233" s="1">
        <f>IF(COUNTIFS(Data!$A$2:$A$1723,G$1,Data!$B$2:$B$1723,$A233)=0,"",SUMIFS(Data!$F$2:$F$1723,Data!$A$2:$A$1723,G$1,Data!$B$2:$B$1723,$A233))</f>
        <v>45941.3</v>
      </c>
      <c r="H233" s="1">
        <f>IF(COUNTIFS(Data!$A$2:$A$1723,H$1,Data!$B$2:$B$1723,$A233)=0,"",SUMIFS(Data!$F$2:$F$1723,Data!$A$2:$A$1723,H$1,Data!$B$2:$B$1723,$A233))</f>
        <v>26967.9</v>
      </c>
    </row>
    <row r="234" spans="1:8" x14ac:dyDescent="0.25">
      <c r="A234" s="21">
        <v>46293</v>
      </c>
      <c r="B234" s="1">
        <f>IF(COUNTIFS(Data!$A$2:$A$1723,B$1,Data!$B$2:$B$1723,$A234)=0,"",SUMIFS(Data!$F$2:$F$1723,Data!$A$2:$A$1723,B$1,Data!$B$2:$B$1723,$A234))</f>
        <v>22780.25</v>
      </c>
      <c r="C234" s="1">
        <f>IF(COUNTIFS(Data!$A$2:$A$1723,C$1,Data!$B$2:$B$1723,$A234)=0,"",SUMIFS(Data!$F$2:$F$1723,Data!$A$2:$A$1723,C$1,Data!$B$2:$B$1723,$A234))</f>
        <v>59914.2</v>
      </c>
      <c r="D234" s="1">
        <f>IF(COUNTIFS(Data!$A$2:$A$1723,D$1,Data!$B$2:$B$1723,$A234)=0,"",SUMIFS(Data!$F$2:$F$1723,Data!$A$2:$A$1723,D$1,Data!$B$2:$B$1723,$A234))</f>
        <v>19351.099999999999</v>
      </c>
      <c r="E234" s="1">
        <f>IF(COUNTIFS(Data!$A$2:$A$1723,E$1,Data!$B$2:$B$1723,$A234)=0,"",SUMIFS(Data!$F$2:$F$1723,Data!$A$2:$A$1723,E$1,Data!$B$2:$B$1723,$A234))</f>
        <v>54471.65</v>
      </c>
      <c r="F234" s="1">
        <f>IF(COUNTIFS(Data!$A$2:$A$1723,F$1,Data!$B$2:$B$1723,$A234)=0,"",SUMIFS(Data!$F$2:$F$1723,Data!$A$2:$A$1723,F$1,Data!$B$2:$B$1723,$A234))</f>
        <v>28086.5</v>
      </c>
      <c r="G234" s="1">
        <f>IF(COUNTIFS(Data!$A$2:$A$1723,G$1,Data!$B$2:$B$1723,$A234)=0,"",SUMIFS(Data!$F$2:$F$1723,Data!$A$2:$A$1723,G$1,Data!$B$2:$B$1723,$A234))</f>
        <v>45264.35</v>
      </c>
      <c r="H234" s="1">
        <f>IF(COUNTIFS(Data!$A$2:$A$1723,H$1,Data!$B$2:$B$1723,$A234)=0,"",SUMIFS(Data!$F$2:$F$1723,Data!$A$2:$A$1723,H$1,Data!$B$2:$B$1723,$A234))</f>
        <v>26525.05</v>
      </c>
    </row>
    <row r="235" spans="1:8" x14ac:dyDescent="0.25">
      <c r="A235" s="21">
        <v>46294</v>
      </c>
      <c r="B235" s="1">
        <f>IF(COUNTIFS(Data!$A$2:$A$1723,B$1,Data!$B$2:$B$1723,$A235)=0,"",SUMIFS(Data!$F$2:$F$1723,Data!$A$2:$A$1723,B$1,Data!$B$2:$B$1723,$A235))</f>
        <v>22716.2</v>
      </c>
      <c r="C235" s="1">
        <f>IF(COUNTIFS(Data!$A$2:$A$1723,C$1,Data!$B$2:$B$1723,$A235)=0,"",SUMIFS(Data!$F$2:$F$1723,Data!$A$2:$A$1723,C$1,Data!$B$2:$B$1723,$A235))</f>
        <v>59319.4</v>
      </c>
      <c r="D235" s="1">
        <f>IF(COUNTIFS(Data!$A$2:$A$1723,D$1,Data!$B$2:$B$1723,$A235)=0,"",SUMIFS(Data!$F$2:$F$1723,Data!$A$2:$A$1723,D$1,Data!$B$2:$B$1723,$A235))</f>
        <v>19193.55</v>
      </c>
      <c r="E235" s="1">
        <f>IF(COUNTIFS(Data!$A$2:$A$1723,E$1,Data!$B$2:$B$1723,$A235)=0,"",SUMIFS(Data!$F$2:$F$1723,Data!$A$2:$A$1723,E$1,Data!$B$2:$B$1723,$A235))</f>
        <v>54259.95</v>
      </c>
      <c r="F235" s="1">
        <f>IF(COUNTIFS(Data!$A$2:$A$1723,F$1,Data!$B$2:$B$1723,$A235)=0,"",SUMIFS(Data!$F$2:$F$1723,Data!$A$2:$A$1723,F$1,Data!$B$2:$B$1723,$A235))</f>
        <v>27670</v>
      </c>
      <c r="G235" s="1">
        <f>IF(COUNTIFS(Data!$A$2:$A$1723,G$1,Data!$B$2:$B$1723,$A235)=0,"",SUMIFS(Data!$F$2:$F$1723,Data!$A$2:$A$1723,G$1,Data!$B$2:$B$1723,$A235))</f>
        <v>44790.3</v>
      </c>
      <c r="H235" s="1">
        <f>IF(COUNTIFS(Data!$A$2:$A$1723,H$1,Data!$B$2:$B$1723,$A235)=0,"",SUMIFS(Data!$F$2:$F$1723,Data!$A$2:$A$1723,H$1,Data!$B$2:$B$1723,$A235))</f>
        <v>26173.35</v>
      </c>
    </row>
    <row r="236" spans="1:8" x14ac:dyDescent="0.25">
      <c r="A236" s="21">
        <v>46295</v>
      </c>
      <c r="B236" s="1">
        <f>IF(COUNTIFS(Data!$A$2:$A$1723,B$1,Data!$B$2:$B$1723,$A236)=0,"",SUMIFS(Data!$F$2:$F$1723,Data!$A$2:$A$1723,B$1,Data!$B$2:$B$1723,$A236))</f>
        <v>22620.45</v>
      </c>
      <c r="C236" s="1">
        <f>IF(COUNTIFS(Data!$A$2:$A$1723,C$1,Data!$B$2:$B$1723,$A236)=0,"",SUMIFS(Data!$F$2:$F$1723,Data!$A$2:$A$1723,C$1,Data!$B$2:$B$1723,$A236))</f>
        <v>59332.05</v>
      </c>
      <c r="D236" s="1">
        <f>IF(COUNTIFS(Data!$A$2:$A$1723,D$1,Data!$B$2:$B$1723,$A236)=0,"",SUMIFS(Data!$F$2:$F$1723,Data!$A$2:$A$1723,D$1,Data!$B$2:$B$1723,$A236))</f>
        <v>19245.7</v>
      </c>
      <c r="E236" s="1">
        <f>IF(COUNTIFS(Data!$A$2:$A$1723,E$1,Data!$B$2:$B$1723,$A236)=0,"",SUMIFS(Data!$F$2:$F$1723,Data!$A$2:$A$1723,E$1,Data!$B$2:$B$1723,$A236))</f>
        <v>54633.05</v>
      </c>
      <c r="F236" s="1">
        <f>IF(COUNTIFS(Data!$A$2:$A$1723,F$1,Data!$B$2:$B$1723,$A236)=0,"",SUMIFS(Data!$F$2:$F$1723,Data!$A$2:$A$1723,F$1,Data!$B$2:$B$1723,$A236))</f>
        <v>27704.799999999999</v>
      </c>
      <c r="G236" s="1">
        <f>IF(COUNTIFS(Data!$A$2:$A$1723,G$1,Data!$B$2:$B$1723,$A236)=0,"",SUMIFS(Data!$F$2:$F$1723,Data!$A$2:$A$1723,G$1,Data!$B$2:$B$1723,$A236))</f>
        <v>44508.45</v>
      </c>
      <c r="H236" s="1">
        <f>IF(COUNTIFS(Data!$A$2:$A$1723,H$1,Data!$B$2:$B$1723,$A236)=0,"",SUMIFS(Data!$F$2:$F$1723,Data!$A$2:$A$1723,H$1,Data!$B$2:$B$1723,$A236))</f>
        <v>26293.95</v>
      </c>
    </row>
    <row r="237" spans="1:8" x14ac:dyDescent="0.25">
      <c r="A237" s="21">
        <v>46296</v>
      </c>
      <c r="B237" s="1">
        <f>IF(COUNTIFS(Data!$A$2:$A$1723,B$1,Data!$B$2:$B$1723,$A237)=0,"",SUMIFS(Data!$F$2:$F$1723,Data!$A$2:$A$1723,B$1,Data!$B$2:$B$1723,$A237))</f>
        <v>22421.95</v>
      </c>
      <c r="C237" s="1">
        <f>IF(COUNTIFS(Data!$A$2:$A$1723,C$1,Data!$B$2:$B$1723,$A237)=0,"",SUMIFS(Data!$F$2:$F$1723,Data!$A$2:$A$1723,C$1,Data!$B$2:$B$1723,$A237))</f>
        <v>58732</v>
      </c>
      <c r="D237" s="1">
        <f>IF(COUNTIFS(Data!$A$2:$A$1723,D$1,Data!$B$2:$B$1723,$A237)=0,"",SUMIFS(Data!$F$2:$F$1723,Data!$A$2:$A$1723,D$1,Data!$B$2:$B$1723,$A237))</f>
        <v>19058.650000000001</v>
      </c>
      <c r="E237" s="1">
        <f>IF(COUNTIFS(Data!$A$2:$A$1723,E$1,Data!$B$2:$B$1723,$A237)=0,"",SUMIFS(Data!$F$2:$F$1723,Data!$A$2:$A$1723,E$1,Data!$B$2:$B$1723,$A237))</f>
        <v>54450.75</v>
      </c>
      <c r="F237" s="1">
        <f>IF(COUNTIFS(Data!$A$2:$A$1723,F$1,Data!$B$2:$B$1723,$A237)=0,"",SUMIFS(Data!$F$2:$F$1723,Data!$A$2:$A$1723,F$1,Data!$B$2:$B$1723,$A237))</f>
        <v>28304.7</v>
      </c>
      <c r="G237" s="1">
        <f>IF(COUNTIFS(Data!$A$2:$A$1723,G$1,Data!$B$2:$B$1723,$A237)=0,"",SUMIFS(Data!$F$2:$F$1723,Data!$A$2:$A$1723,G$1,Data!$B$2:$B$1723,$A237))</f>
        <v>43789.85</v>
      </c>
      <c r="H237" s="1">
        <f>IF(COUNTIFS(Data!$A$2:$A$1723,H$1,Data!$B$2:$B$1723,$A237)=0,"",SUMIFS(Data!$F$2:$F$1723,Data!$A$2:$A$1723,H$1,Data!$B$2:$B$1723,$A237))</f>
        <v>25384.95</v>
      </c>
    </row>
    <row r="238" spans="1:8" x14ac:dyDescent="0.25">
      <c r="A238" s="21">
        <v>46300</v>
      </c>
      <c r="B238" s="1">
        <f>IF(COUNTIFS(Data!$A$2:$A$1723,B$1,Data!$B$2:$B$1723,$A238)=0,"",SUMIFS(Data!$F$2:$F$1723,Data!$A$2:$A$1723,B$1,Data!$B$2:$B$1723,$A238))</f>
        <v>22555.75</v>
      </c>
      <c r="C238" s="1">
        <f>IF(COUNTIFS(Data!$A$2:$A$1723,C$1,Data!$B$2:$B$1723,$A238)=0,"",SUMIFS(Data!$F$2:$F$1723,Data!$A$2:$A$1723,C$1,Data!$B$2:$B$1723,$A238))</f>
        <v>59123.65</v>
      </c>
      <c r="D238" s="1">
        <f>IF(COUNTIFS(Data!$A$2:$A$1723,D$1,Data!$B$2:$B$1723,$A238)=0,"",SUMIFS(Data!$F$2:$F$1723,Data!$A$2:$A$1723,D$1,Data!$B$2:$B$1723,$A238))</f>
        <v>19149.099999999999</v>
      </c>
      <c r="E238" s="1">
        <f>IF(COUNTIFS(Data!$A$2:$A$1723,E$1,Data!$B$2:$B$1723,$A238)=0,"",SUMIFS(Data!$F$2:$F$1723,Data!$A$2:$A$1723,E$1,Data!$B$2:$B$1723,$A238))</f>
        <v>54714.1</v>
      </c>
      <c r="F238" s="1">
        <f>IF(COUNTIFS(Data!$A$2:$A$1723,F$1,Data!$B$2:$B$1723,$A238)=0,"",SUMIFS(Data!$F$2:$F$1723,Data!$A$2:$A$1723,F$1,Data!$B$2:$B$1723,$A238))</f>
        <v>28301.65</v>
      </c>
      <c r="G238" s="1">
        <f>IF(COUNTIFS(Data!$A$2:$A$1723,G$1,Data!$B$2:$B$1723,$A238)=0,"",SUMIFS(Data!$F$2:$F$1723,Data!$A$2:$A$1723,G$1,Data!$B$2:$B$1723,$A238))</f>
        <v>44579.65</v>
      </c>
      <c r="H238" s="1">
        <f>IF(COUNTIFS(Data!$A$2:$A$1723,H$1,Data!$B$2:$B$1723,$A238)=0,"",SUMIFS(Data!$F$2:$F$1723,Data!$A$2:$A$1723,H$1,Data!$B$2:$B$1723,$A238))</f>
        <v>25421.9</v>
      </c>
    </row>
    <row r="239" spans="1:8" x14ac:dyDescent="0.25">
      <c r="A239" s="21">
        <v>46301</v>
      </c>
      <c r="B239" s="1">
        <f>IF(COUNTIFS(Data!$A$2:$A$1723,B$1,Data!$B$2:$B$1723,$A239)=0,"",SUMIFS(Data!$F$2:$F$1723,Data!$A$2:$A$1723,B$1,Data!$B$2:$B$1723,$A239))</f>
        <v>22776.1</v>
      </c>
      <c r="C239" s="1">
        <f>IF(COUNTIFS(Data!$A$2:$A$1723,C$1,Data!$B$2:$B$1723,$A239)=0,"",SUMIFS(Data!$F$2:$F$1723,Data!$A$2:$A$1723,C$1,Data!$B$2:$B$1723,$A239))</f>
        <v>59761.2</v>
      </c>
      <c r="D239" s="1">
        <f>IF(COUNTIFS(Data!$A$2:$A$1723,D$1,Data!$B$2:$B$1723,$A239)=0,"",SUMIFS(Data!$F$2:$F$1723,Data!$A$2:$A$1723,D$1,Data!$B$2:$B$1723,$A239))</f>
        <v>19448.7</v>
      </c>
      <c r="E239" s="1">
        <f>IF(COUNTIFS(Data!$A$2:$A$1723,E$1,Data!$B$2:$B$1723,$A239)=0,"",SUMIFS(Data!$F$2:$F$1723,Data!$A$2:$A$1723,E$1,Data!$B$2:$B$1723,$A239))</f>
        <v>55128.4</v>
      </c>
      <c r="F239" s="1">
        <f>IF(COUNTIFS(Data!$A$2:$A$1723,F$1,Data!$B$2:$B$1723,$A239)=0,"",SUMIFS(Data!$F$2:$F$1723,Data!$A$2:$A$1723,F$1,Data!$B$2:$B$1723,$A239))</f>
        <v>28136.05</v>
      </c>
      <c r="G239" s="1">
        <f>IF(COUNTIFS(Data!$A$2:$A$1723,G$1,Data!$B$2:$B$1723,$A239)=0,"",SUMIFS(Data!$F$2:$F$1723,Data!$A$2:$A$1723,G$1,Data!$B$2:$B$1723,$A239))</f>
        <v>45205.35</v>
      </c>
      <c r="H239" s="1">
        <f>IF(COUNTIFS(Data!$A$2:$A$1723,H$1,Data!$B$2:$B$1723,$A239)=0,"",SUMIFS(Data!$F$2:$F$1723,Data!$A$2:$A$1723,H$1,Data!$B$2:$B$1723,$A239))</f>
        <v>25541.95</v>
      </c>
    </row>
    <row r="240" spans="1:8" x14ac:dyDescent="0.25">
      <c r="A240" s="21">
        <v>46302</v>
      </c>
      <c r="B240" s="1">
        <f>IF(COUNTIFS(Data!$A$2:$A$1723,B$1,Data!$B$2:$B$1723,$A240)=0,"",SUMIFS(Data!$F$2:$F$1723,Data!$A$2:$A$1723,B$1,Data!$B$2:$B$1723,$A240))</f>
        <v>22603.05</v>
      </c>
      <c r="C240" s="1">
        <f>IF(COUNTIFS(Data!$A$2:$A$1723,C$1,Data!$B$2:$B$1723,$A240)=0,"",SUMIFS(Data!$F$2:$F$1723,Data!$A$2:$A$1723,C$1,Data!$B$2:$B$1723,$A240))</f>
        <v>59382.6</v>
      </c>
      <c r="D240" s="1">
        <f>IF(COUNTIFS(Data!$A$2:$A$1723,D$1,Data!$B$2:$B$1723,$A240)=0,"",SUMIFS(Data!$F$2:$F$1723,Data!$A$2:$A$1723,D$1,Data!$B$2:$B$1723,$A240))</f>
        <v>19506.95</v>
      </c>
      <c r="E240" s="1">
        <f>IF(COUNTIFS(Data!$A$2:$A$1723,E$1,Data!$B$2:$B$1723,$A240)=0,"",SUMIFS(Data!$F$2:$F$1723,Data!$A$2:$A$1723,E$1,Data!$B$2:$B$1723,$A240))</f>
        <v>55055.55</v>
      </c>
      <c r="F240" s="1">
        <f>IF(COUNTIFS(Data!$A$2:$A$1723,F$1,Data!$B$2:$B$1723,$A240)=0,"",SUMIFS(Data!$F$2:$F$1723,Data!$A$2:$A$1723,F$1,Data!$B$2:$B$1723,$A240))</f>
        <v>27757.8</v>
      </c>
      <c r="G240" s="1">
        <f>IF(COUNTIFS(Data!$A$2:$A$1723,G$1,Data!$B$2:$B$1723,$A240)=0,"",SUMIFS(Data!$F$2:$F$1723,Data!$A$2:$A$1723,G$1,Data!$B$2:$B$1723,$A240))</f>
        <v>44800.85</v>
      </c>
      <c r="H240" s="1">
        <f>IF(COUNTIFS(Data!$A$2:$A$1723,H$1,Data!$B$2:$B$1723,$A240)=0,"",SUMIFS(Data!$F$2:$F$1723,Data!$A$2:$A$1723,H$1,Data!$B$2:$B$1723,$A240))</f>
        <v>25138.9</v>
      </c>
    </row>
    <row r="241" spans="1:8" x14ac:dyDescent="0.25">
      <c r="A241" s="21">
        <v>46303</v>
      </c>
      <c r="B241" s="1">
        <f>IF(COUNTIFS(Data!$A$2:$A$1723,B$1,Data!$B$2:$B$1723,$A241)=0,"",SUMIFS(Data!$F$2:$F$1723,Data!$A$2:$A$1723,B$1,Data!$B$2:$B$1723,$A241))</f>
        <v>22231.8</v>
      </c>
      <c r="C241" s="1">
        <f>IF(COUNTIFS(Data!$A$2:$A$1723,C$1,Data!$B$2:$B$1723,$A241)=0,"",SUMIFS(Data!$F$2:$F$1723,Data!$A$2:$A$1723,C$1,Data!$B$2:$B$1723,$A241))</f>
        <v>57882.5</v>
      </c>
      <c r="D241" s="1">
        <f>IF(COUNTIFS(Data!$A$2:$A$1723,D$1,Data!$B$2:$B$1723,$A241)=0,"",SUMIFS(Data!$F$2:$F$1723,Data!$A$2:$A$1723,D$1,Data!$B$2:$B$1723,$A241))</f>
        <v>19050.099999999999</v>
      </c>
      <c r="E241" s="1">
        <f>IF(COUNTIFS(Data!$A$2:$A$1723,E$1,Data!$B$2:$B$1723,$A241)=0,"",SUMIFS(Data!$F$2:$F$1723,Data!$A$2:$A$1723,E$1,Data!$B$2:$B$1723,$A241))</f>
        <v>54515.05</v>
      </c>
      <c r="F241" s="1">
        <f>IF(COUNTIFS(Data!$A$2:$A$1723,F$1,Data!$B$2:$B$1723,$A241)=0,"",SUMIFS(Data!$F$2:$F$1723,Data!$A$2:$A$1723,F$1,Data!$B$2:$B$1723,$A241))</f>
        <v>27736.6</v>
      </c>
      <c r="G241" s="1">
        <f>IF(COUNTIFS(Data!$A$2:$A$1723,G$1,Data!$B$2:$B$1723,$A241)=0,"",SUMIFS(Data!$F$2:$F$1723,Data!$A$2:$A$1723,G$1,Data!$B$2:$B$1723,$A241))</f>
        <v>43898.05</v>
      </c>
      <c r="H241" s="1">
        <f>IF(COUNTIFS(Data!$A$2:$A$1723,H$1,Data!$B$2:$B$1723,$A241)=0,"",SUMIFS(Data!$F$2:$F$1723,Data!$A$2:$A$1723,H$1,Data!$B$2:$B$1723,$A241))</f>
        <v>24512.7</v>
      </c>
    </row>
    <row r="242" spans="1:8" x14ac:dyDescent="0.25">
      <c r="A242" s="21">
        <v>46304</v>
      </c>
      <c r="B242" s="1">
        <f>IF(COUNTIFS(Data!$A$2:$A$1723,B$1,Data!$B$2:$B$1723,$A242)=0,"",SUMIFS(Data!$F$2:$F$1723,Data!$A$2:$A$1723,B$1,Data!$B$2:$B$1723,$A242))</f>
        <v>22520.45</v>
      </c>
      <c r="C242" s="1">
        <f>IF(COUNTIFS(Data!$A$2:$A$1723,C$1,Data!$B$2:$B$1723,$A242)=0,"",SUMIFS(Data!$F$2:$F$1723,Data!$A$2:$A$1723,C$1,Data!$B$2:$B$1723,$A242))</f>
        <v>58787.3</v>
      </c>
      <c r="D242" s="1">
        <f>IF(COUNTIFS(Data!$A$2:$A$1723,D$1,Data!$B$2:$B$1723,$A242)=0,"",SUMIFS(Data!$F$2:$F$1723,Data!$A$2:$A$1723,D$1,Data!$B$2:$B$1723,$A242))</f>
        <v>19153.7</v>
      </c>
      <c r="E242" s="1">
        <f>IF(COUNTIFS(Data!$A$2:$A$1723,E$1,Data!$B$2:$B$1723,$A242)=0,"",SUMIFS(Data!$F$2:$F$1723,Data!$A$2:$A$1723,E$1,Data!$B$2:$B$1723,$A242))</f>
        <v>55256.65</v>
      </c>
      <c r="F242" s="1">
        <f>IF(COUNTIFS(Data!$A$2:$A$1723,F$1,Data!$B$2:$B$1723,$A242)=0,"",SUMIFS(Data!$F$2:$F$1723,Data!$A$2:$A$1723,F$1,Data!$B$2:$B$1723,$A242))</f>
        <v>28574.9</v>
      </c>
      <c r="G242" s="1">
        <f>IF(COUNTIFS(Data!$A$2:$A$1723,G$1,Data!$B$2:$B$1723,$A242)=0,"",SUMIFS(Data!$F$2:$F$1723,Data!$A$2:$A$1723,G$1,Data!$B$2:$B$1723,$A242))</f>
        <v>44864.25</v>
      </c>
      <c r="H242" s="1">
        <f>IF(COUNTIFS(Data!$A$2:$A$1723,H$1,Data!$B$2:$B$1723,$A242)=0,"",SUMIFS(Data!$F$2:$F$1723,Data!$A$2:$A$1723,H$1,Data!$B$2:$B$1723,$A242))</f>
        <v>24859.9</v>
      </c>
    </row>
    <row r="243" spans="1:8" x14ac:dyDescent="0.25">
      <c r="A243" s="21">
        <v>46307</v>
      </c>
      <c r="B243" s="1">
        <f>IF(COUNTIFS(Data!$A$2:$A$1723,B$1,Data!$B$2:$B$1723,$A243)=0,"",SUMIFS(Data!$F$2:$F$1723,Data!$A$2:$A$1723,B$1,Data!$B$2:$B$1723,$A243))</f>
        <v>22363.35</v>
      </c>
      <c r="C243" s="1">
        <f>IF(COUNTIFS(Data!$A$2:$A$1723,C$1,Data!$B$2:$B$1723,$A243)=0,"",SUMIFS(Data!$F$2:$F$1723,Data!$A$2:$A$1723,C$1,Data!$B$2:$B$1723,$A243))</f>
        <v>58834.55</v>
      </c>
      <c r="D243" s="1">
        <f>IF(COUNTIFS(Data!$A$2:$A$1723,D$1,Data!$B$2:$B$1723,$A243)=0,"",SUMIFS(Data!$F$2:$F$1723,Data!$A$2:$A$1723,D$1,Data!$B$2:$B$1723,$A243))</f>
        <v>19425.8</v>
      </c>
      <c r="E243" s="1">
        <f>IF(COUNTIFS(Data!$A$2:$A$1723,E$1,Data!$B$2:$B$1723,$A243)=0,"",SUMIFS(Data!$F$2:$F$1723,Data!$A$2:$A$1723,E$1,Data!$B$2:$B$1723,$A243))</f>
        <v>54918</v>
      </c>
      <c r="F243" s="1">
        <f>IF(COUNTIFS(Data!$A$2:$A$1723,F$1,Data!$B$2:$B$1723,$A243)=0,"",SUMIFS(Data!$F$2:$F$1723,Data!$A$2:$A$1723,F$1,Data!$B$2:$B$1723,$A243))</f>
        <v>28349.599999999999</v>
      </c>
      <c r="G243" s="1">
        <f>IF(COUNTIFS(Data!$A$2:$A$1723,G$1,Data!$B$2:$B$1723,$A243)=0,"",SUMIFS(Data!$F$2:$F$1723,Data!$A$2:$A$1723,G$1,Data!$B$2:$B$1723,$A243))</f>
        <v>44113.4</v>
      </c>
      <c r="H243" s="1">
        <f>IF(COUNTIFS(Data!$A$2:$A$1723,H$1,Data!$B$2:$B$1723,$A243)=0,"",SUMIFS(Data!$F$2:$F$1723,Data!$A$2:$A$1723,H$1,Data!$B$2:$B$1723,$A243))</f>
        <v>25084.400000000001</v>
      </c>
    </row>
    <row r="244" spans="1:8" x14ac:dyDescent="0.25">
      <c r="A244" s="21">
        <v>46308</v>
      </c>
      <c r="B244" s="1">
        <f>IF(COUNTIFS(Data!$A$2:$A$1723,B$1,Data!$B$2:$B$1723,$A244)=0,"",SUMIFS(Data!$F$2:$F$1723,Data!$A$2:$A$1723,B$1,Data!$B$2:$B$1723,$A244))</f>
        <v>22721.95</v>
      </c>
      <c r="C244" s="1">
        <f>IF(COUNTIFS(Data!$A$2:$A$1723,C$1,Data!$B$2:$B$1723,$A244)=0,"",SUMIFS(Data!$F$2:$F$1723,Data!$A$2:$A$1723,C$1,Data!$B$2:$B$1723,$A244))</f>
        <v>59459.199999999997</v>
      </c>
      <c r="D244" s="1">
        <f>IF(COUNTIFS(Data!$A$2:$A$1723,D$1,Data!$B$2:$B$1723,$A244)=0,"",SUMIFS(Data!$F$2:$F$1723,Data!$A$2:$A$1723,D$1,Data!$B$2:$B$1723,$A244))</f>
        <v>19447.400000000001</v>
      </c>
      <c r="E244" s="1">
        <f>IF(COUNTIFS(Data!$A$2:$A$1723,E$1,Data!$B$2:$B$1723,$A244)=0,"",SUMIFS(Data!$F$2:$F$1723,Data!$A$2:$A$1723,E$1,Data!$B$2:$B$1723,$A244))</f>
        <v>55481.05</v>
      </c>
      <c r="F244" s="1">
        <f>IF(COUNTIFS(Data!$A$2:$A$1723,F$1,Data!$B$2:$B$1723,$A244)=0,"",SUMIFS(Data!$F$2:$F$1723,Data!$A$2:$A$1723,F$1,Data!$B$2:$B$1723,$A244))</f>
        <v>29830.1</v>
      </c>
      <c r="G244" s="1">
        <f>IF(COUNTIFS(Data!$A$2:$A$1723,G$1,Data!$B$2:$B$1723,$A244)=0,"",SUMIFS(Data!$F$2:$F$1723,Data!$A$2:$A$1723,G$1,Data!$B$2:$B$1723,$A244))</f>
        <v>44731.15</v>
      </c>
      <c r="H244" s="1">
        <f>IF(COUNTIFS(Data!$A$2:$A$1723,H$1,Data!$B$2:$B$1723,$A244)=0,"",SUMIFS(Data!$F$2:$F$1723,Data!$A$2:$A$1723,H$1,Data!$B$2:$B$1723,$A244))</f>
        <v>25391.85</v>
      </c>
    </row>
    <row r="245" spans="1:8" x14ac:dyDescent="0.25">
      <c r="A245" s="21">
        <v>46309</v>
      </c>
      <c r="B245" s="1">
        <f>IF(COUNTIFS(Data!$A$2:$A$1723,B$1,Data!$B$2:$B$1723,$A245)=0,"",SUMIFS(Data!$F$2:$F$1723,Data!$A$2:$A$1723,B$1,Data!$B$2:$B$1723,$A245))</f>
        <v>22622.7</v>
      </c>
      <c r="C245" s="1">
        <f>IF(COUNTIFS(Data!$A$2:$A$1723,C$1,Data!$B$2:$B$1723,$A245)=0,"",SUMIFS(Data!$F$2:$F$1723,Data!$A$2:$A$1723,C$1,Data!$B$2:$B$1723,$A245))</f>
        <v>59409.1</v>
      </c>
      <c r="D245" s="1">
        <f>IF(COUNTIFS(Data!$A$2:$A$1723,D$1,Data!$B$2:$B$1723,$A245)=0,"",SUMIFS(Data!$F$2:$F$1723,Data!$A$2:$A$1723,D$1,Data!$B$2:$B$1723,$A245))</f>
        <v>19384.8</v>
      </c>
      <c r="E245" s="1">
        <f>IF(COUNTIFS(Data!$A$2:$A$1723,E$1,Data!$B$2:$B$1723,$A245)=0,"",SUMIFS(Data!$F$2:$F$1723,Data!$A$2:$A$1723,E$1,Data!$B$2:$B$1723,$A245))</f>
        <v>55316</v>
      </c>
      <c r="F245" s="1">
        <f>IF(COUNTIFS(Data!$A$2:$A$1723,F$1,Data!$B$2:$B$1723,$A245)=0,"",SUMIFS(Data!$F$2:$F$1723,Data!$A$2:$A$1723,F$1,Data!$B$2:$B$1723,$A245))</f>
        <v>30171</v>
      </c>
      <c r="G245" s="1">
        <f>IF(COUNTIFS(Data!$A$2:$A$1723,G$1,Data!$B$2:$B$1723,$A245)=0,"",SUMIFS(Data!$F$2:$F$1723,Data!$A$2:$A$1723,G$1,Data!$B$2:$B$1723,$A245))</f>
        <v>45271.7</v>
      </c>
      <c r="H245" s="1">
        <f>IF(COUNTIFS(Data!$A$2:$A$1723,H$1,Data!$B$2:$B$1723,$A245)=0,"",SUMIFS(Data!$F$2:$F$1723,Data!$A$2:$A$1723,H$1,Data!$B$2:$B$1723,$A245))</f>
        <v>25156.75</v>
      </c>
    </row>
    <row r="246" spans="1:8" x14ac:dyDescent="0.25">
      <c r="A246" s="21">
        <v>46310</v>
      </c>
      <c r="B246" s="1">
        <f>IF(COUNTIFS(Data!$A$2:$A$1723,B$1,Data!$B$2:$B$1723,$A246)=0,"",SUMIFS(Data!$F$2:$F$1723,Data!$A$2:$A$1723,B$1,Data!$B$2:$B$1723,$A246))</f>
        <v>22997.35</v>
      </c>
      <c r="C246" s="1">
        <f>IF(COUNTIFS(Data!$A$2:$A$1723,C$1,Data!$B$2:$B$1723,$A246)=0,"",SUMIFS(Data!$F$2:$F$1723,Data!$A$2:$A$1723,C$1,Data!$B$2:$B$1723,$A246))</f>
        <v>59197.25</v>
      </c>
      <c r="D246" s="1">
        <f>IF(COUNTIFS(Data!$A$2:$A$1723,D$1,Data!$B$2:$B$1723,$A246)=0,"",SUMIFS(Data!$F$2:$F$1723,Data!$A$2:$A$1723,D$1,Data!$B$2:$B$1723,$A246))</f>
        <v>19131.7</v>
      </c>
      <c r="E246" s="1">
        <f>IF(COUNTIFS(Data!$A$2:$A$1723,E$1,Data!$B$2:$B$1723,$A246)=0,"",SUMIFS(Data!$F$2:$F$1723,Data!$A$2:$A$1723,E$1,Data!$B$2:$B$1723,$A246))</f>
        <v>55810.5</v>
      </c>
      <c r="F246" s="1">
        <f>IF(COUNTIFS(Data!$A$2:$A$1723,F$1,Data!$B$2:$B$1723,$A246)=0,"",SUMIFS(Data!$F$2:$F$1723,Data!$A$2:$A$1723,F$1,Data!$B$2:$B$1723,$A246))</f>
        <v>30719.8</v>
      </c>
      <c r="G246" s="1">
        <f>IF(COUNTIFS(Data!$A$2:$A$1723,G$1,Data!$B$2:$B$1723,$A246)=0,"",SUMIFS(Data!$F$2:$F$1723,Data!$A$2:$A$1723,G$1,Data!$B$2:$B$1723,$A246))</f>
        <v>44791.65</v>
      </c>
      <c r="H246" s="1">
        <f>IF(COUNTIFS(Data!$A$2:$A$1723,H$1,Data!$B$2:$B$1723,$A246)=0,"",SUMIFS(Data!$F$2:$F$1723,Data!$A$2:$A$1723,H$1,Data!$B$2:$B$1723,$A246))</f>
        <v>25576.400000000001</v>
      </c>
    </row>
    <row r="247" spans="1:8" x14ac:dyDescent="0.25">
      <c r="A247" s="21">
        <v>46311</v>
      </c>
      <c r="B247" s="1">
        <f>IF(COUNTIFS(Data!$A$2:$A$1723,B$1,Data!$B$2:$B$1723,$A247)=0,"",SUMIFS(Data!$F$2:$F$1723,Data!$A$2:$A$1723,B$1,Data!$B$2:$B$1723,$A247))</f>
        <v>23146.15</v>
      </c>
      <c r="C247" s="1">
        <f>IF(COUNTIFS(Data!$A$2:$A$1723,C$1,Data!$B$2:$B$1723,$A247)=0,"",SUMIFS(Data!$F$2:$F$1723,Data!$A$2:$A$1723,C$1,Data!$B$2:$B$1723,$A247))</f>
        <v>59129.75</v>
      </c>
      <c r="D247" s="1">
        <f>IF(COUNTIFS(Data!$A$2:$A$1723,D$1,Data!$B$2:$B$1723,$A247)=0,"",SUMIFS(Data!$F$2:$F$1723,Data!$A$2:$A$1723,D$1,Data!$B$2:$B$1723,$A247))</f>
        <v>19129.8</v>
      </c>
      <c r="E247" s="1">
        <f>IF(COUNTIFS(Data!$A$2:$A$1723,E$1,Data!$B$2:$B$1723,$A247)=0,"",SUMIFS(Data!$F$2:$F$1723,Data!$A$2:$A$1723,E$1,Data!$B$2:$B$1723,$A247))</f>
        <v>55844</v>
      </c>
      <c r="F247" s="1">
        <f>IF(COUNTIFS(Data!$A$2:$A$1723,F$1,Data!$B$2:$B$1723,$A247)=0,"",SUMIFS(Data!$F$2:$F$1723,Data!$A$2:$A$1723,F$1,Data!$B$2:$B$1723,$A247))</f>
        <v>31924.1</v>
      </c>
      <c r="G247" s="1">
        <f>IF(COUNTIFS(Data!$A$2:$A$1723,G$1,Data!$B$2:$B$1723,$A247)=0,"",SUMIFS(Data!$F$2:$F$1723,Data!$A$2:$A$1723,G$1,Data!$B$2:$B$1723,$A247))</f>
        <v>44616.15</v>
      </c>
      <c r="H247" s="1">
        <f>IF(COUNTIFS(Data!$A$2:$A$1723,H$1,Data!$B$2:$B$1723,$A247)=0,"",SUMIFS(Data!$F$2:$F$1723,Data!$A$2:$A$1723,H$1,Data!$B$2:$B$1723,$A247))</f>
        <v>25768.5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opLeftCell="A3" zoomScaleNormal="100" workbookViewId="0">
      <selection activeCell="H11" sqref="H11"/>
    </sheetView>
  </sheetViews>
  <sheetFormatPr defaultColWidth="8.7109375" defaultRowHeight="15" x14ac:dyDescent="0.25"/>
  <cols>
    <col min="1" max="1" width="34" customWidth="1"/>
    <col min="2" max="4" width="12" customWidth="1"/>
    <col min="5" max="5" width="22" customWidth="1"/>
    <col min="6" max="6" width="28" customWidth="1"/>
  </cols>
  <sheetData>
    <row r="1" spans="1:6" ht="18" x14ac:dyDescent="0.25">
      <c r="A1" s="2" t="s">
        <v>47</v>
      </c>
    </row>
    <row r="3" spans="1:6" ht="31.5" customHeight="1" x14ac:dyDescent="0.25">
      <c r="A3" s="15" t="s">
        <v>40</v>
      </c>
      <c r="B3" s="15" t="s">
        <v>48</v>
      </c>
      <c r="C3" s="15" t="s">
        <v>49</v>
      </c>
      <c r="D3" s="15" t="s">
        <v>50</v>
      </c>
      <c r="E3" s="15" t="s">
        <v>51</v>
      </c>
      <c r="F3" s="15" t="s">
        <v>52</v>
      </c>
    </row>
    <row r="4" spans="1:6" x14ac:dyDescent="0.25">
      <c r="A4" s="8" t="str">
        <f>Prices!B1</f>
        <v>NIFTY 50</v>
      </c>
      <c r="B4" s="9">
        <f>INDEX(Prices!$B$2:$H$247,Inputs!$B$12,MATCH($A4,Prices!$B$1:$H$1,0))/INDEX(Prices!$B$2:$H$247,Inputs!$B$12-Inputs!$B$9,MATCH($A4,Prices!$B$1:$H$1,0))-1</f>
        <v>2.7783636650244636E-2</v>
      </c>
      <c r="C4" s="9">
        <f>INDEX(Prices!$B$2:$H$247,Inputs!$B$12,MATCH($A4,Prices!$B$1:$H$1,0))/INDEX(Prices!$B$2:$H$247,Inputs!$B$12-Inputs!$B$10,MATCH($A4,Prices!$B$1:$H$1,0))-1</f>
        <v>-3.0774067948451389E-3</v>
      </c>
      <c r="D4" s="9">
        <f>INDEX(Prices!$B$2:$H$247,Inputs!$B$12,MATCH($A4,Prices!$B$1:$H$1,0))/INDEX(Prices!$B$2:$H$247,Inputs!$B$12-Inputs!$B$11,MATCH($A4,Prices!$B$1:$H$1,0))-1</f>
        <v>-4.8826142523105132E-2</v>
      </c>
      <c r="E4" s="9">
        <f>INDEX(Prices!$B$2:$H$247,Inputs!$B$12,MATCH($A4,Prices!$B$1:$H$1,0))/INDEX(Prices!$B$2:$H$247,Inputs!$B$14,MATCH($A4,Prices!$B$1:$H$1,0))-1</f>
        <v>4.1128023821732862E-2</v>
      </c>
      <c r="F4" s="9">
        <f>INDEX(Prices!$B$2:$H$247,Inputs!$B$12,MATCH($A4,Prices!$B$1:$H$1,0))/INDEX(Prices!$B$2:$H$247,1,MATCH($A4,Prices!$B$1:$H$1,0))-1</f>
        <v>-0.10436034306963349</v>
      </c>
    </row>
    <row r="5" spans="1:6" x14ac:dyDescent="0.25">
      <c r="A5" s="8" t="str">
        <f>Prices!C1</f>
        <v>NIFTY MIDCAP 100</v>
      </c>
      <c r="B5" s="9">
        <f>INDEX(Prices!$B$2:$H$247,Inputs!$B$12,MATCH($A5,Prices!$B$1:$H$1,0))/INDEX(Prices!$B$2:$H$247,Inputs!$B$12-Inputs!$B$9,MATCH($A5,Prices!$B$1:$H$1,0))-1</f>
        <v>5.8252377639387287E-3</v>
      </c>
      <c r="C5" s="9">
        <f>INDEX(Prices!$B$2:$H$247,Inputs!$B$12,MATCH($A5,Prices!$B$1:$H$1,0))/INDEX(Prices!$B$2:$H$247,Inputs!$B$12-Inputs!$B$10,MATCH($A5,Prices!$B$1:$H$1,0))-1</f>
        <v>-2.8656639430169051E-2</v>
      </c>
      <c r="D5" s="9">
        <f>INDEX(Prices!$B$2:$H$247,Inputs!$B$12,MATCH($A5,Prices!$B$1:$H$1,0))/INDEX(Prices!$B$2:$H$247,Inputs!$B$12-Inputs!$B$11,MATCH($A5,Prices!$B$1:$H$1,0))-1</f>
        <v>-5.2833622065722063E-2</v>
      </c>
      <c r="E5" s="9">
        <f>INDEX(Prices!$B$2:$H$247,Inputs!$B$12,MATCH($A5,Prices!$B$1:$H$1,0))/INDEX(Prices!$B$2:$H$247,Inputs!$B$14,MATCH($A5,Prices!$B$1:$H$1,0))-1</f>
        <v>2.1547963546840521E-2</v>
      </c>
      <c r="F5" s="9">
        <f>INDEX(Prices!$B$2:$H$247,Inputs!$B$12,MATCH($A5,Prices!$B$1:$H$1,0))/INDEX(Prices!$B$2:$H$247,1,MATCH($A5,Prices!$B$1:$H$1,0))-1</f>
        <v>-3.6187009748165355E-3</v>
      </c>
    </row>
    <row r="6" spans="1:6" x14ac:dyDescent="0.25">
      <c r="A6" s="8" t="str">
        <f>Prices!D1</f>
        <v>NIFTY SMALLCAP 100</v>
      </c>
      <c r="B6" s="9">
        <f>INDEX(Prices!$B$2:$H$247,Inputs!$B$12,MATCH($A6,Prices!$B$1:$H$1,0))/INDEX(Prices!$B$2:$H$247,Inputs!$B$12-Inputs!$B$9,MATCH($A6,Prices!$B$1:$H$1,0))-1</f>
        <v>-1.2478006860293656E-3</v>
      </c>
      <c r="C6" s="9">
        <f>INDEX(Prices!$B$2:$H$247,Inputs!$B$12,MATCH($A6,Prices!$B$1:$H$1,0))/INDEX(Prices!$B$2:$H$247,Inputs!$B$12-Inputs!$B$10,MATCH($A6,Prices!$B$1:$H$1,0))-1</f>
        <v>-1.3332783173357177E-2</v>
      </c>
      <c r="D6" s="9">
        <f>INDEX(Prices!$B$2:$H$247,Inputs!$B$12,MATCH($A6,Prices!$B$1:$H$1,0))/INDEX(Prices!$B$2:$H$247,Inputs!$B$12-Inputs!$B$11,MATCH($A6,Prices!$B$1:$H$1,0))-1</f>
        <v>-8.6285971922078764E-3</v>
      </c>
      <c r="E6" s="9">
        <f>INDEX(Prices!$B$2:$H$247,Inputs!$B$12,MATCH($A6,Prices!$B$1:$H$1,0))/INDEX(Prices!$B$2:$H$247,Inputs!$B$14,MATCH($A6,Prices!$B$1:$H$1,0))-1</f>
        <v>4.1837050724142788E-3</v>
      </c>
      <c r="F6" s="9">
        <f>INDEX(Prices!$B$2:$H$247,Inputs!$B$12,MATCH($A6,Prices!$B$1:$H$1,0))/INDEX(Prices!$B$2:$H$247,1,MATCH($A6,Prices!$B$1:$H$1,0))-1</f>
        <v>5.0732856754448274E-2</v>
      </c>
    </row>
    <row r="7" spans="1:6" x14ac:dyDescent="0.25">
      <c r="A7" s="8" t="str">
        <f>Prices!E1</f>
        <v>NIFTY BANK</v>
      </c>
      <c r="B7" s="9">
        <f>INDEX(Prices!$B$2:$H$247,Inputs!$B$12,MATCH($A7,Prices!$B$1:$H$1,0))/INDEX(Prices!$B$2:$H$247,Inputs!$B$12-Inputs!$B$9,MATCH($A7,Prices!$B$1:$H$1,0))-1</f>
        <v>1.062948984420875E-2</v>
      </c>
      <c r="C7" s="9">
        <f>INDEX(Prices!$B$2:$H$247,Inputs!$B$12,MATCH($A7,Prices!$B$1:$H$1,0))/INDEX(Prices!$B$2:$H$247,Inputs!$B$12-Inputs!$B$10,MATCH($A7,Prices!$B$1:$H$1,0))-1</f>
        <v>-7.9664324434270961E-3</v>
      </c>
      <c r="D7" s="9">
        <f>INDEX(Prices!$B$2:$H$247,Inputs!$B$12,MATCH($A7,Prices!$B$1:$H$1,0))/INDEX(Prices!$B$2:$H$247,Inputs!$B$12-Inputs!$B$11,MATCH($A7,Prices!$B$1:$H$1,0))-1</f>
        <v>-4.5750785182856246E-2</v>
      </c>
      <c r="E7" s="9">
        <f>INDEX(Prices!$B$2:$H$247,Inputs!$B$12,MATCH($A7,Prices!$B$1:$H$1,0))/INDEX(Prices!$B$2:$H$247,Inputs!$B$14,MATCH($A7,Prices!$B$1:$H$1,0))-1</f>
        <v>2.4377671853919258E-2</v>
      </c>
      <c r="F7" s="9">
        <f>INDEX(Prices!$B$2:$H$247,Inputs!$B$12,MATCH($A7,Prices!$B$1:$H$1,0))/INDEX(Prices!$B$2:$H$247,1,MATCH($A7,Prices!$B$1:$H$1,0))-1</f>
        <v>-3.7723234286580754E-2</v>
      </c>
    </row>
    <row r="8" spans="1:6" x14ac:dyDescent="0.25">
      <c r="A8" s="8" t="str">
        <f>Prices!F1</f>
        <v>NIFTY IT</v>
      </c>
      <c r="B8" s="9">
        <f>INDEX(Prices!$B$2:$H$247,Inputs!$B$12,MATCH($A8,Prices!$B$1:$H$1,0))/INDEX(Prices!$B$2:$H$247,Inputs!$B$12-Inputs!$B$9,MATCH($A8,Prices!$B$1:$H$1,0))-1</f>
        <v>0.11720775925725024</v>
      </c>
      <c r="C8" s="9">
        <f>INDEX(Prices!$B$2:$H$247,Inputs!$B$12,MATCH($A8,Prices!$B$1:$H$1,0))/INDEX(Prices!$B$2:$H$247,Inputs!$B$12-Inputs!$B$10,MATCH($A8,Prices!$B$1:$H$1,0))-1</f>
        <v>9.7513893353364578E-2</v>
      </c>
      <c r="D8" s="9">
        <f>INDEX(Prices!$B$2:$H$247,Inputs!$B$12,MATCH($A8,Prices!$B$1:$H$1,0))/INDEX(Prices!$B$2:$H$247,Inputs!$B$12-Inputs!$B$11,MATCH($A8,Prices!$B$1:$H$1,0))-1</f>
        <v>9.2296059069477909E-2</v>
      </c>
      <c r="E8" s="9">
        <f>INDEX(Prices!$B$2:$H$247,Inputs!$B$12,MATCH($A8,Prices!$B$1:$H$1,0))/INDEX(Prices!$B$2:$H$247,Inputs!$B$14,MATCH($A8,Prices!$B$1:$H$1,0))-1</f>
        <v>0.15097380356640677</v>
      </c>
      <c r="F8" s="9">
        <f>INDEX(Prices!$B$2:$H$247,Inputs!$B$12,MATCH($A8,Prices!$B$1:$H$1,0))/INDEX(Prices!$B$2:$H$247,1,MATCH($A8,Prices!$B$1:$H$1,0))-1</f>
        <v>-9.5444937465644308E-2</v>
      </c>
    </row>
    <row r="9" spans="1:6" x14ac:dyDescent="0.25">
      <c r="A9" s="8" t="str">
        <f>Prices!G1</f>
        <v>NIFTY FMCG</v>
      </c>
      <c r="B9" s="9">
        <f>INDEX(Prices!$B$2:$H$247,Inputs!$B$12,MATCH($A9,Prices!$B$1:$H$1,0))/INDEX(Prices!$B$2:$H$247,Inputs!$B$12-Inputs!$B$9,MATCH($A9,Prices!$B$1:$H$1,0))-1</f>
        <v>-5.5300155468998025E-3</v>
      </c>
      <c r="C9" s="9">
        <f>INDEX(Prices!$B$2:$H$247,Inputs!$B$12,MATCH($A9,Prices!$B$1:$H$1,0))/INDEX(Prices!$B$2:$H$247,Inputs!$B$12-Inputs!$B$10,MATCH($A9,Prices!$B$1:$H$1,0))-1</f>
        <v>-2.0695142562391577E-2</v>
      </c>
      <c r="D9" s="9">
        <f>INDEX(Prices!$B$2:$H$247,Inputs!$B$12,MATCH($A9,Prices!$B$1:$H$1,0))/INDEX(Prices!$B$2:$H$247,Inputs!$B$12-Inputs!$B$11,MATCH($A9,Prices!$B$1:$H$1,0))-1</f>
        <v>-8.477251701070998E-2</v>
      </c>
      <c r="E9" s="9">
        <f>INDEX(Prices!$B$2:$H$247,Inputs!$B$12,MATCH($A9,Prices!$B$1:$H$1,0))/INDEX(Prices!$B$2:$H$247,Inputs!$B$14,MATCH($A9,Prices!$B$1:$H$1,0))-1</f>
        <v>1.6358357603583729E-2</v>
      </c>
      <c r="F9" s="9">
        <f>INDEX(Prices!$B$2:$H$247,Inputs!$B$12,MATCH($A9,Prices!$B$1:$H$1,0))/INDEX(Prices!$B$2:$H$247,1,MATCH($A9,Prices!$B$1:$H$1,0))-1</f>
        <v>-0.21168910448670997</v>
      </c>
    </row>
    <row r="10" spans="1:6" x14ac:dyDescent="0.25">
      <c r="A10" s="8" t="str">
        <f>Prices!H1</f>
        <v>NIFTY AUTO</v>
      </c>
      <c r="B10" s="9">
        <f>INDEX(Prices!$B$2:$H$247,Inputs!$B$12,MATCH($A10,Prices!$B$1:$H$1,0))/INDEX(Prices!$B$2:$H$247,Inputs!$B$12-Inputs!$B$9,MATCH($A10,Prices!$B$1:$H$1,0))-1</f>
        <v>3.6548819584953929E-2</v>
      </c>
      <c r="C10" s="9">
        <f>INDEX(Prices!$B$2:$H$247,Inputs!$B$12,MATCH($A10,Prices!$B$1:$H$1,0))/INDEX(Prices!$B$2:$H$247,Inputs!$B$12-Inputs!$B$10,MATCH($A10,Prices!$B$1:$H$1,0))-1</f>
        <v>-4.1837013570117931E-2</v>
      </c>
      <c r="D10" s="9">
        <f>INDEX(Prices!$B$2:$H$247,Inputs!$B$12,MATCH($A10,Prices!$B$1:$H$1,0))/INDEX(Prices!$B$2:$H$247,Inputs!$B$12-Inputs!$B$11,MATCH($A10,Prices!$B$1:$H$1,0))-1</f>
        <v>-4.9124069410234394E-2</v>
      </c>
      <c r="E10" s="9">
        <f>INDEX(Prices!$B$2:$H$247,Inputs!$B$12,MATCH($A10,Prices!$B$1:$H$1,0))/INDEX(Prices!$B$2:$H$247,Inputs!$B$14,MATCH($A10,Prices!$B$1:$H$1,0))-1</f>
        <v>5.1230586593888017E-2</v>
      </c>
      <c r="F10" s="9">
        <f>INDEX(Prices!$B$2:$H$247,Inputs!$B$12,MATCH($A10,Prices!$B$1:$H$1,0))/INDEX(Prices!$B$2:$H$247,1,MATCH($A10,Prices!$B$1:$H$1,0))-1</f>
        <v>-5.2121631240240718E-2</v>
      </c>
    </row>
    <row r="13" spans="1:6" x14ac:dyDescent="0.25">
      <c r="A13" s="6" t="s">
        <v>53</v>
      </c>
    </row>
    <row r="14" spans="1:6" x14ac:dyDescent="0.25">
      <c r="A14" s="15" t="s">
        <v>54</v>
      </c>
      <c r="B14" s="15" t="s">
        <v>48</v>
      </c>
      <c r="C14" s="15" t="s">
        <v>49</v>
      </c>
      <c r="D14" s="15" t="s">
        <v>50</v>
      </c>
      <c r="E14" s="15" t="s">
        <v>55</v>
      </c>
      <c r="F14" s="15" t="s">
        <v>56</v>
      </c>
    </row>
    <row r="15" spans="1:6" x14ac:dyDescent="0.25">
      <c r="A15" s="9" t="s">
        <v>57</v>
      </c>
      <c r="B15" s="9">
        <f>B4-B5</f>
        <v>2.1958398886305908E-2</v>
      </c>
      <c r="C15" s="9">
        <f>C4-C5</f>
        <v>2.5579232635323912E-2</v>
      </c>
      <c r="D15" s="9">
        <f>D4-D5</f>
        <v>4.0074795426169318E-3</v>
      </c>
      <c r="E15" s="9">
        <f>E4-E5</f>
        <v>1.9580060274892341E-2</v>
      </c>
      <c r="F15" s="9" t="str">
        <f>IF(E15&gt;Inputs!$B$15,"Large caps lead (narrow)",IF(E15&gt;Inputs!$B$15/2,"Large caps slightly ahead",IF(E15&lt;-Inputs!$B$15,"Smaller caps lead (broad)",IF(E15&lt;-Inputs!$B$15/2,"Smaller caps slightly ahead","In line"))))</f>
        <v>Large caps slightly ahead</v>
      </c>
    </row>
    <row r="16" spans="1:6" x14ac:dyDescent="0.25">
      <c r="A16" s="9" t="s">
        <v>58</v>
      </c>
      <c r="B16" s="9">
        <f>B4-B6</f>
        <v>2.9031437336274002E-2</v>
      </c>
      <c r="C16" s="9">
        <f>C4-C6</f>
        <v>1.0255376378512038E-2</v>
      </c>
      <c r="D16" s="9">
        <f>D4-D6</f>
        <v>-4.0197545330897255E-2</v>
      </c>
      <c r="E16" s="9">
        <f>E4-E6</f>
        <v>3.6944318749318583E-2</v>
      </c>
      <c r="F16" s="9" t="str">
        <f>IF(E16&gt;Inputs!$B$15,"Large caps lead (narrow)",IF(E16&gt;Inputs!$B$15/2,"Large caps slightly ahead",IF(E16&lt;-Inputs!$B$15,"Smaller caps lead (broad)",IF(E16&lt;-Inputs!$B$15/2,"Smaller caps slightly ahead","In line"))))</f>
        <v>Large caps lead (narrow)</v>
      </c>
    </row>
    <row r="18" spans="1:1" x14ac:dyDescent="0.25">
      <c r="A18" s="1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8"/>
  <sheetViews>
    <sheetView showGridLines="0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ColWidth="8.7109375" defaultRowHeight="15" x14ac:dyDescent="0.25"/>
  <cols>
    <col min="1" max="1" width="21.140625" customWidth="1"/>
    <col min="2" max="2" width="15" customWidth="1"/>
    <col min="3" max="3" width="19.5703125" customWidth="1"/>
    <col min="4" max="4" width="19.140625" customWidth="1"/>
    <col min="5" max="8" width="15" customWidth="1"/>
  </cols>
  <sheetData>
    <row r="1" spans="1:8" ht="30" customHeight="1" x14ac:dyDescent="0.25">
      <c r="A1" s="16" t="s">
        <v>60</v>
      </c>
      <c r="B1" s="17" t="s">
        <v>61</v>
      </c>
      <c r="C1" s="17" t="s">
        <v>76</v>
      </c>
      <c r="D1" s="17" t="s">
        <v>77</v>
      </c>
      <c r="E1" s="17" t="s">
        <v>78</v>
      </c>
      <c r="F1" s="17" t="s">
        <v>65</v>
      </c>
      <c r="G1" s="17" t="s">
        <v>66</v>
      </c>
      <c r="H1" s="17" t="s">
        <v>79</v>
      </c>
    </row>
    <row r="2" spans="1:8" x14ac:dyDescent="0.25">
      <c r="A2" s="10">
        <f>INDEX(Prices!$A$2:$A$247,Inputs!$B$13+ROW()-2)</f>
        <v>46219</v>
      </c>
      <c r="B2" s="12">
        <f>INDEX(Prices!B$2:B$247,Inputs!$B$13+ROW()-2)/INDEX(Prices!B$2:B$247,Inputs!$B$13)*100</f>
        <v>100</v>
      </c>
      <c r="C2" s="12">
        <f>INDEX(Prices!C$2:C$247,Inputs!$B$13+ROW()-2)/INDEX(Prices!C$2:C$247,Inputs!$B$13)*100</f>
        <v>100</v>
      </c>
      <c r="D2" s="12">
        <f>INDEX(Prices!D$2:D$247,Inputs!$B$13+ROW()-2)/INDEX(Prices!D$2:D$247,Inputs!$B$13)*100</f>
        <v>100</v>
      </c>
      <c r="E2" s="12">
        <f>INDEX(Prices!E$2:E$247,Inputs!$B$13+ROW()-2)/INDEX(Prices!E$2:E$247,Inputs!$B$13)*100</f>
        <v>100</v>
      </c>
      <c r="F2" s="12">
        <f>INDEX(Prices!F$2:F$247,Inputs!$B$13+ROW()-2)/INDEX(Prices!F$2:F$247,Inputs!$B$13)*100</f>
        <v>100</v>
      </c>
      <c r="G2" s="12">
        <f>INDEX(Prices!G$2:G$247,Inputs!$B$13+ROW()-2)/INDEX(Prices!G$2:G$247,Inputs!$B$13)*100</f>
        <v>100</v>
      </c>
      <c r="H2" s="12">
        <f>INDEX(Prices!H$2:H$247,Inputs!$B$13+ROW()-2)/INDEX(Prices!H$2:H$247,Inputs!$B$13)*100</f>
        <v>100</v>
      </c>
    </row>
    <row r="3" spans="1:8" x14ac:dyDescent="0.25">
      <c r="A3" s="10">
        <f>INDEX(Prices!$A$2:$A$247,Inputs!$B$13+ROW()-2)</f>
        <v>46220</v>
      </c>
      <c r="B3" s="12">
        <f>INDEX(Prices!B$2:B$247,Inputs!$B$13+ROW()-2)/INDEX(Prices!B$2:B$247,Inputs!$B$13)*100</f>
        <v>101.08649821894049</v>
      </c>
      <c r="C3" s="12">
        <f>INDEX(Prices!C$2:C$247,Inputs!$B$13+ROW()-2)/INDEX(Prices!C$2:C$247,Inputs!$B$13)*100</f>
        <v>99.587313108432014</v>
      </c>
      <c r="D3" s="12">
        <f>INDEX(Prices!D$2:D$247,Inputs!$B$13+ROW()-2)/INDEX(Prices!D$2:D$247,Inputs!$B$13)*100</f>
        <v>99.793393238089081</v>
      </c>
      <c r="E3" s="12">
        <f>INDEX(Prices!E$2:E$247,Inputs!$B$13+ROW()-2)/INDEX(Prices!E$2:E$247,Inputs!$B$13)*100</f>
        <v>101.63097134967806</v>
      </c>
      <c r="F3" s="12">
        <f>INDEX(Prices!F$2:F$247,Inputs!$B$13+ROW()-2)/INDEX(Prices!F$2:F$247,Inputs!$B$13)*100</f>
        <v>101.75471579870903</v>
      </c>
      <c r="G3" s="12">
        <f>INDEX(Prices!G$2:G$247,Inputs!$B$13+ROW()-2)/INDEX(Prices!G$2:G$247,Inputs!$B$13)*100</f>
        <v>100.70380928772103</v>
      </c>
      <c r="H3" s="12">
        <f>INDEX(Prices!H$2:H$247,Inputs!$B$13+ROW()-2)/INDEX(Prices!H$2:H$247,Inputs!$B$13)*100</f>
        <v>101.24105493405263</v>
      </c>
    </row>
    <row r="4" spans="1:8" x14ac:dyDescent="0.25">
      <c r="A4" s="10">
        <f>INDEX(Prices!$A$2:$A$247,Inputs!$B$13+ROW()-2)</f>
        <v>46223</v>
      </c>
      <c r="B4" s="12">
        <f>INDEX(Prices!B$2:B$247,Inputs!$B$13+ROW()-2)/INDEX(Prices!B$2:B$247,Inputs!$B$13)*100</f>
        <v>100.68853786958283</v>
      </c>
      <c r="C4" s="12">
        <f>INDEX(Prices!C$2:C$247,Inputs!$B$13+ROW()-2)/INDEX(Prices!C$2:C$247,Inputs!$B$13)*100</f>
        <v>100.18345184588451</v>
      </c>
      <c r="D4" s="12">
        <f>INDEX(Prices!D$2:D$247,Inputs!$B$13+ROW()-2)/INDEX(Prices!D$2:D$247,Inputs!$B$13)*100</f>
        <v>99.949317990820347</v>
      </c>
      <c r="E4" s="12">
        <f>INDEX(Prices!E$2:E$247,Inputs!$B$13+ROW()-2)/INDEX(Prices!E$2:E$247,Inputs!$B$13)*100</f>
        <v>100.62996843645394</v>
      </c>
      <c r="F4" s="12">
        <f>INDEX(Prices!F$2:F$247,Inputs!$B$13+ROW()-2)/INDEX(Prices!F$2:F$247,Inputs!$B$13)*100</f>
        <v>101.52928356068045</v>
      </c>
      <c r="G4" s="12">
        <f>INDEX(Prices!G$2:G$247,Inputs!$B$13+ROW()-2)/INDEX(Prices!G$2:G$247,Inputs!$B$13)*100</f>
        <v>101.36227483060651</v>
      </c>
      <c r="H4" s="12">
        <f>INDEX(Prices!H$2:H$247,Inputs!$B$13+ROW()-2)/INDEX(Prices!H$2:H$247,Inputs!$B$13)*100</f>
        <v>100.97431404816652</v>
      </c>
    </row>
    <row r="5" spans="1:8" x14ac:dyDescent="0.25">
      <c r="A5" s="10">
        <f>INDEX(Prices!$A$2:$A$247,Inputs!$B$13+ROW()-2)</f>
        <v>46224</v>
      </c>
      <c r="B5" s="12">
        <f>INDEX(Prices!B$2:B$247,Inputs!$B$13+ROW()-2)/INDEX(Prices!B$2:B$247,Inputs!$B$13)*100</f>
        <v>100.47751087848293</v>
      </c>
      <c r="C5" s="12">
        <f>INDEX(Prices!C$2:C$247,Inputs!$B$13+ROW()-2)/INDEX(Prices!C$2:C$247,Inputs!$B$13)*100</f>
        <v>100.47992598116826</v>
      </c>
      <c r="D5" s="12">
        <f>INDEX(Prices!D$2:D$247,Inputs!$B$13+ROW()-2)/INDEX(Prices!D$2:D$247,Inputs!$B$13)*100</f>
        <v>100.47475596353999</v>
      </c>
      <c r="E5" s="12">
        <f>INDEX(Prices!E$2:E$247,Inputs!$B$13+ROW()-2)/INDEX(Prices!E$2:E$247,Inputs!$B$13)*100</f>
        <v>100.43954517234044</v>
      </c>
      <c r="F5" s="12">
        <f>INDEX(Prices!F$2:F$247,Inputs!$B$13+ROW()-2)/INDEX(Prices!F$2:F$247,Inputs!$B$13)*100</f>
        <v>100.9114773732183</v>
      </c>
      <c r="G5" s="12">
        <f>INDEX(Prices!G$2:G$247,Inputs!$B$13+ROW()-2)/INDEX(Prices!G$2:G$247,Inputs!$B$13)*100</f>
        <v>101.051892249215</v>
      </c>
      <c r="H5" s="12">
        <f>INDEX(Prices!H$2:H$247,Inputs!$B$13+ROW()-2)/INDEX(Prices!H$2:H$247,Inputs!$B$13)*100</f>
        <v>101.91668643562821</v>
      </c>
    </row>
    <row r="6" spans="1:8" x14ac:dyDescent="0.25">
      <c r="A6" s="10">
        <f>INDEX(Prices!$A$2:$A$247,Inputs!$B$13+ROW()-2)</f>
        <v>46225</v>
      </c>
      <c r="B6" s="12">
        <f>INDEX(Prices!B$2:B$247,Inputs!$B$13+ROW()-2)/INDEX(Prices!B$2:B$247,Inputs!$B$13)*100</f>
        <v>99.682213290961769</v>
      </c>
      <c r="C6" s="12">
        <f>INDEX(Prices!C$2:C$247,Inputs!$B$13+ROW()-2)/INDEX(Prices!C$2:C$247,Inputs!$B$13)*100</f>
        <v>99.384000606188707</v>
      </c>
      <c r="D6" s="12">
        <f>INDEX(Prices!D$2:D$247,Inputs!$B$13+ROW()-2)/INDEX(Prices!D$2:D$247,Inputs!$B$13)*100</f>
        <v>98.929471846919654</v>
      </c>
      <c r="E6" s="12">
        <f>INDEX(Prices!E$2:E$247,Inputs!$B$13+ROW()-2)/INDEX(Prices!E$2:E$247,Inputs!$B$13)*100</f>
        <v>99.209044453803045</v>
      </c>
      <c r="F6" s="12">
        <f>INDEX(Prices!F$2:F$247,Inputs!$B$13+ROW()-2)/INDEX(Prices!F$2:F$247,Inputs!$B$13)*100</f>
        <v>99.398557233676627</v>
      </c>
      <c r="G6" s="12">
        <f>INDEX(Prices!G$2:G$247,Inputs!$B$13+ROW()-2)/INDEX(Prices!G$2:G$247,Inputs!$B$13)*100</f>
        <v>101.70591637745827</v>
      </c>
      <c r="H6" s="12">
        <f>INDEX(Prices!H$2:H$247,Inputs!$B$13+ROW()-2)/INDEX(Prices!H$2:H$247,Inputs!$B$13)*100</f>
        <v>102.0999306996718</v>
      </c>
    </row>
    <row r="7" spans="1:8" x14ac:dyDescent="0.25">
      <c r="A7" s="10">
        <f>INDEX(Prices!$A$2:$A$247,Inputs!$B$13+ROW()-2)</f>
        <v>46226</v>
      </c>
      <c r="B7" s="12">
        <f>INDEX(Prices!B$2:B$247,Inputs!$B$13+ROW()-2)/INDEX(Prices!B$2:B$247,Inputs!$B$13)*100</f>
        <v>99.156099739331822</v>
      </c>
      <c r="C7" s="12">
        <f>INDEX(Prices!C$2:C$247,Inputs!$B$13+ROW()-2)/INDEX(Prices!C$2:C$247,Inputs!$B$13)*100</f>
        <v>98.401974899001786</v>
      </c>
      <c r="D7" s="12">
        <f>INDEX(Prices!D$2:D$247,Inputs!$B$13+ROW()-2)/INDEX(Prices!D$2:D$247,Inputs!$B$13)*100</f>
        <v>97.93186372745491</v>
      </c>
      <c r="E7" s="12">
        <f>INDEX(Prices!E$2:E$247,Inputs!$B$13+ROW()-2)/INDEX(Prices!E$2:E$247,Inputs!$B$13)*100</f>
        <v>98.280286025641587</v>
      </c>
      <c r="F7" s="12">
        <f>INDEX(Prices!F$2:F$247,Inputs!$B$13+ROW()-2)/INDEX(Prices!F$2:F$247,Inputs!$B$13)*100</f>
        <v>99.341807496535822</v>
      </c>
      <c r="G7" s="12">
        <f>INDEX(Prices!G$2:G$247,Inputs!$B$13+ROW()-2)/INDEX(Prices!G$2:G$247,Inputs!$B$13)*100</f>
        <v>101.29152206246901</v>
      </c>
      <c r="H7" s="12">
        <f>INDEX(Prices!H$2:H$247,Inputs!$B$13+ROW()-2)/INDEX(Prices!H$2:H$247,Inputs!$B$13)*100</f>
        <v>102.81404162876318</v>
      </c>
    </row>
    <row r="8" spans="1:8" x14ac:dyDescent="0.25">
      <c r="A8" s="10">
        <f>INDEX(Prices!$A$2:$A$247,Inputs!$B$13+ROW()-2)</f>
        <v>46227</v>
      </c>
      <c r="B8" s="12">
        <f>INDEX(Prices!B$2:B$247,Inputs!$B$13+ROW()-2)/INDEX(Prices!B$2:B$247,Inputs!$B$13)*100</f>
        <v>98.731761016086665</v>
      </c>
      <c r="C8" s="12">
        <f>INDEX(Prices!C$2:C$247,Inputs!$B$13+ROW()-2)/INDEX(Prices!C$2:C$247,Inputs!$B$13)*100</f>
        <v>98.302033523830787</v>
      </c>
      <c r="D8" s="12">
        <f>INDEX(Prices!D$2:D$247,Inputs!$B$13+ROW()-2)/INDEX(Prices!D$2:D$247,Inputs!$B$13)*100</f>
        <v>97.614325425043631</v>
      </c>
      <c r="E8" s="12">
        <f>INDEX(Prices!E$2:E$247,Inputs!$B$13+ROW()-2)/INDEX(Prices!E$2:E$247,Inputs!$B$13)*100</f>
        <v>98.4565556226094</v>
      </c>
      <c r="F8" s="12">
        <f>INDEX(Prices!F$2:F$247,Inputs!$B$13+ROW()-2)/INDEX(Prices!F$2:F$247,Inputs!$B$13)*100</f>
        <v>100.15788960609416</v>
      </c>
      <c r="G8" s="12">
        <f>INDEX(Prices!G$2:G$247,Inputs!$B$13+ROW()-2)/INDEX(Prices!G$2:G$247,Inputs!$B$13)*100</f>
        <v>101.33304412493804</v>
      </c>
      <c r="H8" s="12">
        <f>INDEX(Prices!H$2:H$247,Inputs!$B$13+ROW()-2)/INDEX(Prices!H$2:H$247,Inputs!$B$13)*100</f>
        <v>101.68263438379681</v>
      </c>
    </row>
    <row r="9" spans="1:8" x14ac:dyDescent="0.25">
      <c r="A9" s="10">
        <f>INDEX(Prices!$A$2:$A$247,Inputs!$B$13+ROW()-2)</f>
        <v>46230</v>
      </c>
      <c r="B9" s="12">
        <f>INDEX(Prices!B$2:B$247,Inputs!$B$13+ROW()-2)/INDEX(Prices!B$2:B$247,Inputs!$B$13)*100</f>
        <v>99.680967068573395</v>
      </c>
      <c r="C9" s="12">
        <f>INDEX(Prices!C$2:C$247,Inputs!$B$13+ROW()-2)/INDEX(Prices!C$2:C$247,Inputs!$B$13)*100</f>
        <v>99.38886606818825</v>
      </c>
      <c r="D9" s="12">
        <f>INDEX(Prices!D$2:D$247,Inputs!$B$13+ROW()-2)/INDEX(Prices!D$2:D$247,Inputs!$B$13)*100</f>
        <v>98.89508048354773</v>
      </c>
      <c r="E9" s="12">
        <f>INDEX(Prices!E$2:E$247,Inputs!$B$13+ROW()-2)/INDEX(Prices!E$2:E$247,Inputs!$B$13)*100</f>
        <v>99.140273261291455</v>
      </c>
      <c r="F9" s="12">
        <f>INDEX(Prices!F$2:F$247,Inputs!$B$13+ROW()-2)/INDEX(Prices!F$2:F$247,Inputs!$B$13)*100</f>
        <v>102.50429975002264</v>
      </c>
      <c r="G9" s="12">
        <f>INDEX(Prices!G$2:G$247,Inputs!$B$13+ROW()-2)/INDEX(Prices!G$2:G$247,Inputs!$B$13)*100</f>
        <v>102.38968765493308</v>
      </c>
      <c r="H9" s="12">
        <f>INDEX(Prices!H$2:H$247,Inputs!$B$13+ROW()-2)/INDEX(Prices!H$2:H$247,Inputs!$B$13)*100</f>
        <v>103.3094175596945</v>
      </c>
    </row>
    <row r="10" spans="1:8" x14ac:dyDescent="0.25">
      <c r="A10" s="10">
        <f>INDEX(Prices!$A$2:$A$247,Inputs!$B$13+ROW()-2)</f>
        <v>46231</v>
      </c>
      <c r="B10" s="12">
        <f>INDEX(Prices!B$2:B$247,Inputs!$B$13+ROW()-2)/INDEX(Prices!B$2:B$247,Inputs!$B$13)*100</f>
        <v>99.636933877517109</v>
      </c>
      <c r="C10" s="12">
        <f>INDEX(Prices!C$2:C$247,Inputs!$B$13+ROW()-2)/INDEX(Prices!C$2:C$247,Inputs!$B$13)*100</f>
        <v>99.465197988410623</v>
      </c>
      <c r="D10" s="12">
        <f>INDEX(Prices!D$2:D$247,Inputs!$B$13+ROW()-2)/INDEX(Prices!D$2:D$247,Inputs!$B$13)*100</f>
        <v>98.678389036136792</v>
      </c>
      <c r="E10" s="12">
        <f>INDEX(Prices!E$2:E$247,Inputs!$B$13+ROW()-2)/INDEX(Prices!E$2:E$247,Inputs!$B$13)*100</f>
        <v>98.564401356320744</v>
      </c>
      <c r="F10" s="12">
        <f>INDEX(Prices!F$2:F$247,Inputs!$B$13+ROW()-2)/INDEX(Prices!F$2:F$247,Inputs!$B$13)*100</f>
        <v>105.9038875310731</v>
      </c>
      <c r="G10" s="12">
        <f>INDEX(Prices!G$2:G$247,Inputs!$B$13+ROW()-2)/INDEX(Prices!G$2:G$247,Inputs!$B$13)*100</f>
        <v>100.97752437613616</v>
      </c>
      <c r="H10" s="12">
        <f>INDEX(Prices!H$2:H$247,Inputs!$B$13+ROW()-2)/INDEX(Prices!H$2:H$247,Inputs!$B$13)*100</f>
        <v>104.02110017539896</v>
      </c>
    </row>
    <row r="11" spans="1:8" x14ac:dyDescent="0.25">
      <c r="A11" s="10">
        <f>INDEX(Prices!$A$2:$A$247,Inputs!$B$13+ROW()-2)</f>
        <v>46232</v>
      </c>
      <c r="B11" s="12">
        <f>INDEX(Prices!B$2:B$247,Inputs!$B$13+ROW()-2)/INDEX(Prices!B$2:B$247,Inputs!$B$13)*100</f>
        <v>100.73714054272986</v>
      </c>
      <c r="C11" s="12">
        <f>INDEX(Prices!C$2:C$247,Inputs!$B$13+ROW()-2)/INDEX(Prices!C$2:C$247,Inputs!$B$13)*100</f>
        <v>100.27996346915418</v>
      </c>
      <c r="D11" s="12">
        <f>INDEX(Prices!D$2:D$247,Inputs!$B$13+ROW()-2)/INDEX(Prices!D$2:D$247,Inputs!$B$13)*100</f>
        <v>100.13497963669273</v>
      </c>
      <c r="E11" s="12">
        <f>INDEX(Prices!E$2:E$247,Inputs!$B$13+ROW()-2)/INDEX(Prices!E$2:E$247,Inputs!$B$13)*100</f>
        <v>99.346413174198645</v>
      </c>
      <c r="F11" s="12">
        <f>INDEX(Prices!F$2:F$247,Inputs!$B$13+ROW()-2)/INDEX(Prices!F$2:F$247,Inputs!$B$13)*100</f>
        <v>108.3575303071449</v>
      </c>
      <c r="G11" s="12">
        <f>INDEX(Prices!G$2:G$247,Inputs!$B$13+ROW()-2)/INDEX(Prices!G$2:G$247,Inputs!$B$13)*100</f>
        <v>102.64966534457113</v>
      </c>
      <c r="H11" s="12">
        <f>INDEX(Prices!H$2:H$247,Inputs!$B$13+ROW()-2)/INDEX(Prices!H$2:H$247,Inputs!$B$13)*100</f>
        <v>103.95404136725253</v>
      </c>
    </row>
    <row r="12" spans="1:8" x14ac:dyDescent="0.25">
      <c r="A12" s="10">
        <f>INDEX(Prices!$A$2:$A$247,Inputs!$B$13+ROW()-2)</f>
        <v>46233</v>
      </c>
      <c r="B12" s="12">
        <f>INDEX(Prices!B$2:B$247,Inputs!$B$13+ROW()-2)/INDEX(Prices!B$2:B$247,Inputs!$B$13)*100</f>
        <v>101.01525583907116</v>
      </c>
      <c r="C12" s="12">
        <f>INDEX(Prices!C$2:C$247,Inputs!$B$13+ROW()-2)/INDEX(Prices!C$2:C$247,Inputs!$B$13)*100</f>
        <v>99.928214495088667</v>
      </c>
      <c r="D12" s="12">
        <f>INDEX(Prices!D$2:D$247,Inputs!$B$13+ROW()-2)/INDEX(Prices!D$2:D$247,Inputs!$B$13)*100</f>
        <v>99.576960372357632</v>
      </c>
      <c r="E12" s="12">
        <f>INDEX(Prices!E$2:E$247,Inputs!$B$13+ROW()-2)/INDEX(Prices!E$2:E$247,Inputs!$B$13)*100</f>
        <v>99.244993031706812</v>
      </c>
      <c r="F12" s="12">
        <f>INDEX(Prices!F$2:F$247,Inputs!$B$13+ROW()-2)/INDEX(Prices!F$2:F$247,Inputs!$B$13)*100</f>
        <v>108.60628912424363</v>
      </c>
      <c r="G12" s="12">
        <f>INDEX(Prices!G$2:G$247,Inputs!$B$13+ROW()-2)/INDEX(Prices!G$2:G$247,Inputs!$B$13)*100</f>
        <v>102.54926871591472</v>
      </c>
      <c r="H12" s="12">
        <f>INDEX(Prices!H$2:H$247,Inputs!$B$13+ROW()-2)/INDEX(Prices!H$2:H$247,Inputs!$B$13)*100</f>
        <v>105.64694938460934</v>
      </c>
    </row>
    <row r="13" spans="1:8" x14ac:dyDescent="0.25">
      <c r="A13" s="10">
        <f>INDEX(Prices!$A$2:$A$247,Inputs!$B$13+ROW()-2)</f>
        <v>46234</v>
      </c>
      <c r="B13" s="12">
        <f>INDEX(Prices!B$2:B$247,Inputs!$B$13+ROW()-2)/INDEX(Prices!B$2:B$247,Inputs!$B$13)*100</f>
        <v>101.29129409809848</v>
      </c>
      <c r="C13" s="12">
        <f>INDEX(Prices!C$2:C$247,Inputs!$B$13+ROW()-2)/INDEX(Prices!C$2:C$247,Inputs!$B$13)*100</f>
        <v>100.36459060327741</v>
      </c>
      <c r="D13" s="12">
        <f>INDEX(Prices!D$2:D$247,Inputs!$B$13+ROW()-2)/INDEX(Prices!D$2:D$247,Inputs!$B$13)*100</f>
        <v>100.0175835542052</v>
      </c>
      <c r="E13" s="12">
        <f>INDEX(Prices!E$2:E$247,Inputs!$B$13+ROW()-2)/INDEX(Prices!E$2:E$247,Inputs!$B$13)*100</f>
        <v>99.448788472142027</v>
      </c>
      <c r="F13" s="12">
        <f>INDEX(Prices!F$2:F$247,Inputs!$B$13+ROW()-2)/INDEX(Prices!F$2:F$247,Inputs!$B$13)*100</f>
        <v>106.91546029955505</v>
      </c>
      <c r="G13" s="12">
        <f>INDEX(Prices!G$2:G$247,Inputs!$B$13+ROW()-2)/INDEX(Prices!G$2:G$247,Inputs!$B$13)*100</f>
        <v>101.4733101966617</v>
      </c>
      <c r="H13" s="12">
        <f>INDEX(Prices!H$2:H$247,Inputs!$B$13+ROW()-2)/INDEX(Prices!H$2:H$247,Inputs!$B$13)*100</f>
        <v>107.38431421628054</v>
      </c>
    </row>
    <row r="14" spans="1:8" x14ac:dyDescent="0.25">
      <c r="A14" s="10">
        <f>INDEX(Prices!$A$2:$A$247,Inputs!$B$13+ROW()-2)</f>
        <v>46237</v>
      </c>
      <c r="B14" s="12">
        <f>INDEX(Prices!B$2:B$247,Inputs!$B$13+ROW()-2)/INDEX(Prices!B$2:B$247,Inputs!$B$13)*100</f>
        <v>102.91429105523879</v>
      </c>
      <c r="C14" s="12">
        <f>INDEX(Prices!C$2:C$247,Inputs!$B$13+ROW()-2)/INDEX(Prices!C$2:C$247,Inputs!$B$13)*100</f>
        <v>101.58334895332746</v>
      </c>
      <c r="D14" s="12">
        <f>INDEX(Prices!D$2:D$247,Inputs!$B$13+ROW()-2)/INDEX(Prices!D$2:D$247,Inputs!$B$13)*100</f>
        <v>101.30894046156828</v>
      </c>
      <c r="E14" s="12">
        <f>INDEX(Prices!E$2:E$247,Inputs!$B$13+ROW()-2)/INDEX(Prices!E$2:E$247,Inputs!$B$13)*100</f>
        <v>101.15608542563028</v>
      </c>
      <c r="F14" s="12">
        <f>INDEX(Prices!F$2:F$247,Inputs!$B$13+ROW()-2)/INDEX(Prices!F$2:F$247,Inputs!$B$13)*100</f>
        <v>110.41914729167972</v>
      </c>
      <c r="G14" s="12">
        <f>INDEX(Prices!G$2:G$247,Inputs!$B$13+ROW()-2)/INDEX(Prices!G$2:G$247,Inputs!$B$13)*100</f>
        <v>103.2176499752107</v>
      </c>
      <c r="H14" s="12">
        <f>INDEX(Prices!H$2:H$247,Inputs!$B$13+ROW()-2)/INDEX(Prices!H$2:H$247,Inputs!$B$13)*100</f>
        <v>108.97131041130027</v>
      </c>
    </row>
    <row r="15" spans="1:8" x14ac:dyDescent="0.25">
      <c r="A15" s="10">
        <f>INDEX(Prices!$A$2:$A$247,Inputs!$B$13+ROW()-2)</f>
        <v>46238</v>
      </c>
      <c r="B15" s="12">
        <f>INDEX(Prices!B$2:B$247,Inputs!$B$13+ROW()-2)/INDEX(Prices!B$2:B$247,Inputs!$B$13)*100</f>
        <v>102.25213155954347</v>
      </c>
      <c r="C15" s="12">
        <f>INDEX(Prices!C$2:C$247,Inputs!$B$13+ROW()-2)/INDEX(Prices!C$2:C$247,Inputs!$B$13)*100</f>
        <v>101.2839236361751</v>
      </c>
      <c r="D15" s="12">
        <f>INDEX(Prices!D$2:D$247,Inputs!$B$13+ROW()-2)/INDEX(Prices!D$2:D$247,Inputs!$B$13)*100</f>
        <v>101.54631844333828</v>
      </c>
      <c r="E15" s="12">
        <f>INDEX(Prices!E$2:E$247,Inputs!$B$13+ROW()-2)/INDEX(Prices!E$2:E$247,Inputs!$B$13)*100</f>
        <v>100.56432320723833</v>
      </c>
      <c r="F15" s="12">
        <f>INDEX(Prices!F$2:F$247,Inputs!$B$13+ROW()-2)/INDEX(Prices!F$2:F$247,Inputs!$B$13)*100</f>
        <v>109.51010702373742</v>
      </c>
      <c r="G15" s="12">
        <f>INDEX(Prices!G$2:G$247,Inputs!$B$13+ROW()-2)/INDEX(Prices!G$2:G$247,Inputs!$B$13)*100</f>
        <v>102.31180796562552</v>
      </c>
      <c r="H15" s="12">
        <f>INDEX(Prices!H$2:H$247,Inputs!$B$13+ROW()-2)/INDEX(Prices!H$2:H$247,Inputs!$B$13)*100</f>
        <v>108.49442702077702</v>
      </c>
    </row>
    <row r="16" spans="1:8" x14ac:dyDescent="0.25">
      <c r="A16" s="10">
        <f>INDEX(Prices!$A$2:$A$247,Inputs!$B$13+ROW()-2)</f>
        <v>46239</v>
      </c>
      <c r="B16" s="12">
        <f>INDEX(Prices!B$2:B$247,Inputs!$B$13+ROW()-2)/INDEX(Prices!B$2:B$247,Inputs!$B$13)*100</f>
        <v>102.292633787166</v>
      </c>
      <c r="C16" s="12">
        <f>INDEX(Prices!C$2:C$247,Inputs!$B$13+ROW()-2)/INDEX(Prices!C$2:C$247,Inputs!$B$13)*100</f>
        <v>101.46522191691227</v>
      </c>
      <c r="D16" s="12">
        <f>INDEX(Prices!D$2:D$247,Inputs!$B$13+ROW()-2)/INDEX(Prices!D$2:D$247,Inputs!$B$13)*100</f>
        <v>102.3140474497382</v>
      </c>
      <c r="E16" s="12">
        <f>INDEX(Prices!E$2:E$247,Inputs!$B$13+ROW()-2)/INDEX(Prices!E$2:E$247,Inputs!$B$13)*100</f>
        <v>100.27386911765343</v>
      </c>
      <c r="F16" s="12">
        <f>INDEX(Prices!F$2:F$247,Inputs!$B$13+ROW()-2)/INDEX(Prices!F$2:F$247,Inputs!$B$13)*100</f>
        <v>109.33567991755622</v>
      </c>
      <c r="G16" s="12">
        <f>INDEX(Prices!G$2:G$247,Inputs!$B$13+ROW()-2)/INDEX(Prices!G$2:G$247,Inputs!$B$13)*100</f>
        <v>102.01516278301108</v>
      </c>
      <c r="H16" s="12">
        <f>INDEX(Prices!H$2:H$247,Inputs!$B$13+ROW()-2)/INDEX(Prices!H$2:H$247,Inputs!$B$13)*100</f>
        <v>109.87763168463307</v>
      </c>
    </row>
    <row r="17" spans="1:8" x14ac:dyDescent="0.25">
      <c r="A17" s="10">
        <f>INDEX(Prices!$A$2:$A$247,Inputs!$B$13+ROW()-2)</f>
        <v>46240</v>
      </c>
      <c r="B17" s="12">
        <f>INDEX(Prices!B$2:B$247,Inputs!$B$13+ROW()-2)/INDEX(Prices!B$2:B$247,Inputs!$B$13)*100</f>
        <v>102.33978253419322</v>
      </c>
      <c r="C17" s="12">
        <f>INDEX(Prices!C$2:C$247,Inputs!$B$13+ROW()-2)/INDEX(Prices!C$2:C$247,Inputs!$B$13)*100</f>
        <v>101.02102916485542</v>
      </c>
      <c r="D17" s="12">
        <f>INDEX(Prices!D$2:D$247,Inputs!$B$13+ROW()-2)/INDEX(Prices!D$2:D$247,Inputs!$B$13)*100</f>
        <v>102.80302540565</v>
      </c>
      <c r="E17" s="12">
        <f>INDEX(Prices!E$2:E$247,Inputs!$B$13+ROW()-2)/INDEX(Prices!E$2:E$247,Inputs!$B$13)*100</f>
        <v>100.83602151704736</v>
      </c>
      <c r="F17" s="12">
        <f>INDEX(Prices!F$2:F$247,Inputs!$B$13+ROW()-2)/INDEX(Prices!F$2:F$247,Inputs!$B$13)*100</f>
        <v>108.29869162262472</v>
      </c>
      <c r="G17" s="12">
        <f>INDEX(Prices!G$2:G$247,Inputs!$B$13+ROW()-2)/INDEX(Prices!G$2:G$247,Inputs!$B$13)*100</f>
        <v>101.98696496446868</v>
      </c>
      <c r="H17" s="12">
        <f>INDEX(Prices!H$2:H$247,Inputs!$B$13+ROW()-2)/INDEX(Prices!H$2:H$247,Inputs!$B$13)*100</f>
        <v>108.7637830133875</v>
      </c>
    </row>
    <row r="18" spans="1:8" x14ac:dyDescent="0.25">
      <c r="A18" s="10">
        <f>INDEX(Prices!$A$2:$A$247,Inputs!$B$13+ROW()-2)</f>
        <v>46241</v>
      </c>
      <c r="B18" s="12">
        <f>INDEX(Prices!B$2:B$247,Inputs!$B$13+ROW()-2)/INDEX(Prices!B$2:B$247,Inputs!$B$13)*100</f>
        <v>102.06831375725665</v>
      </c>
      <c r="C18" s="12">
        <f>INDEX(Prices!C$2:C$247,Inputs!$B$13+ROW()-2)/INDEX(Prices!C$2:C$247,Inputs!$B$13)*100</f>
        <v>101.23917733811372</v>
      </c>
      <c r="D18" s="12">
        <f>INDEX(Prices!D$2:D$247,Inputs!$B$13+ROW()-2)/INDEX(Prices!D$2:D$247,Inputs!$B$13)*100</f>
        <v>102.74898183463701</v>
      </c>
      <c r="E18" s="12">
        <f>INDEX(Prices!E$2:E$247,Inputs!$B$13+ROW()-2)/INDEX(Prices!E$2:E$247,Inputs!$B$13)*100</f>
        <v>100.28515731844448</v>
      </c>
      <c r="F18" s="12">
        <f>INDEX(Prices!F$2:F$247,Inputs!$B$13+ROW()-2)/INDEX(Prices!F$2:F$247,Inputs!$B$13)*100</f>
        <v>109.83580873597796</v>
      </c>
      <c r="G18" s="12">
        <f>INDEX(Prices!G$2:G$247,Inputs!$B$13+ROW()-2)/INDEX(Prices!G$2:G$247,Inputs!$B$13)*100</f>
        <v>102.12196331184929</v>
      </c>
      <c r="H18" s="12">
        <f>INDEX(Prices!H$2:H$247,Inputs!$B$13+ROW()-2)/INDEX(Prices!H$2:H$247,Inputs!$B$13)*100</f>
        <v>110.760603790784</v>
      </c>
    </row>
    <row r="19" spans="1:8" x14ac:dyDescent="0.25">
      <c r="A19" s="10">
        <f>INDEX(Prices!$A$2:$A$247,Inputs!$B$13+ROW()-2)</f>
        <v>46244</v>
      </c>
      <c r="B19" s="12">
        <f>INDEX(Prices!B$2:B$247,Inputs!$B$13+ROW()-2)/INDEX(Prices!B$2:B$247,Inputs!$B$13)*100</f>
        <v>102.1229398386142</v>
      </c>
      <c r="C19" s="12">
        <f>INDEX(Prices!C$2:C$247,Inputs!$B$13+ROW()-2)/INDEX(Prices!C$2:C$247,Inputs!$B$13)*100</f>
        <v>101.86474813257985</v>
      </c>
      <c r="D19" s="12">
        <f>INDEX(Prices!D$2:D$247,Inputs!$B$13+ROW()-2)/INDEX(Prices!D$2:D$247,Inputs!$B$13)*100</f>
        <v>102.47048936582843</v>
      </c>
      <c r="E19" s="12">
        <f>INDEX(Prices!E$2:E$247,Inputs!$B$13+ROW()-2)/INDEX(Prices!E$2:E$247,Inputs!$B$13)*100</f>
        <v>100.18182686504954</v>
      </c>
      <c r="F19" s="12">
        <f>INDEX(Prices!F$2:F$247,Inputs!$B$13+ROW()-2)/INDEX(Prices!F$2:F$247,Inputs!$B$13)*100</f>
        <v>110.12739097435468</v>
      </c>
      <c r="G19" s="12">
        <f>INDEX(Prices!G$2:G$247,Inputs!$B$13+ROW()-2)/INDEX(Prices!G$2:G$247,Inputs!$B$13)*100</f>
        <v>101.97405387539249</v>
      </c>
      <c r="H19" s="12">
        <f>INDEX(Prices!H$2:H$247,Inputs!$B$13+ROW()-2)/INDEX(Prices!H$2:H$247,Inputs!$B$13)*100</f>
        <v>110.65655990182141</v>
      </c>
    </row>
    <row r="20" spans="1:8" x14ac:dyDescent="0.25">
      <c r="A20" s="10">
        <f>INDEX(Prices!$A$2:$A$247,Inputs!$B$13+ROW()-2)</f>
        <v>46245</v>
      </c>
      <c r="B20" s="12">
        <f>INDEX(Prices!B$2:B$247,Inputs!$B$13+ROW()-2)/INDEX(Prices!B$2:B$247,Inputs!$B$13)*100</f>
        <v>101.65726807282094</v>
      </c>
      <c r="C20" s="12">
        <f>INDEX(Prices!C$2:C$247,Inputs!$B$13+ROW()-2)/INDEX(Prices!C$2:C$247,Inputs!$B$13)*100</f>
        <v>101.84584461628654</v>
      </c>
      <c r="D20" s="12">
        <f>INDEX(Prices!D$2:D$247,Inputs!$B$13+ROW()-2)/INDEX(Prices!D$2:D$247,Inputs!$B$13)*100</f>
        <v>102.69390393690607</v>
      </c>
      <c r="E20" s="12">
        <f>INDEX(Prices!E$2:E$247,Inputs!$B$13+ROW()-2)/INDEX(Prices!E$2:E$247,Inputs!$B$13)*100</f>
        <v>99.76381610652588</v>
      </c>
      <c r="F20" s="12">
        <f>INDEX(Prices!F$2:F$247,Inputs!$B$13+ROW()-2)/INDEX(Prices!F$2:F$247,Inputs!$B$13)*100</f>
        <v>110.79480966207795</v>
      </c>
      <c r="G20" s="12">
        <f>INDEX(Prices!G$2:G$247,Inputs!$B$13+ROW()-2)/INDEX(Prices!G$2:G$247,Inputs!$B$13)*100</f>
        <v>100.78468434969426</v>
      </c>
      <c r="H20" s="12">
        <f>INDEX(Prices!H$2:H$247,Inputs!$B$13+ROW()-2)/INDEX(Prices!H$2:H$247,Inputs!$B$13)*100</f>
        <v>110.053217421841</v>
      </c>
    </row>
    <row r="21" spans="1:8" x14ac:dyDescent="0.25">
      <c r="A21" s="10">
        <f>INDEX(Prices!$A$2:$A$247,Inputs!$B$13+ROW()-2)</f>
        <v>46246</v>
      </c>
      <c r="B21" s="12">
        <f>INDEX(Prices!B$2:B$247,Inputs!$B$13+ROW()-2)/INDEX(Prices!B$2:B$247,Inputs!$B$13)*100</f>
        <v>101.5087599048717</v>
      </c>
      <c r="C21" s="12">
        <f>INDEX(Prices!C$2:C$247,Inputs!$B$13+ROW()-2)/INDEX(Prices!C$2:C$247,Inputs!$B$13)*100</f>
        <v>102.1338640143252</v>
      </c>
      <c r="D21" s="12">
        <f>INDEX(Prices!D$2:D$247,Inputs!$B$13+ROW()-2)/INDEX(Prices!D$2:D$247,Inputs!$B$13)*100</f>
        <v>102.51031094446958</v>
      </c>
      <c r="E21" s="12">
        <f>INDEX(Prices!E$2:E$247,Inputs!$B$13+ROW()-2)/INDEX(Prices!E$2:E$247,Inputs!$B$13)*100</f>
        <v>100.52724580925545</v>
      </c>
      <c r="F21" s="12">
        <f>INDEX(Prices!F$2:F$247,Inputs!$B$13+ROW()-2)/INDEX(Prices!F$2:F$247,Inputs!$B$13)*100</f>
        <v>109.0867470215092</v>
      </c>
      <c r="G21" s="12">
        <f>INDEX(Prices!G$2:G$247,Inputs!$B$13+ROW()-2)/INDEX(Prices!G$2:G$247,Inputs!$B$13)*100</f>
        <v>100.04410428028424</v>
      </c>
      <c r="H21" s="12">
        <f>INDEX(Prices!H$2:H$247,Inputs!$B$13+ROW()-2)/INDEX(Prices!H$2:H$247,Inputs!$B$13)*100</f>
        <v>109.6964421473015</v>
      </c>
    </row>
    <row r="22" spans="1:8" x14ac:dyDescent="0.25">
      <c r="A22" s="10">
        <f>INDEX(Prices!$A$2:$A$247,Inputs!$B$13+ROW()-2)</f>
        <v>46247</v>
      </c>
      <c r="B22" s="12">
        <f>INDEX(Prices!B$2:B$247,Inputs!$B$13+ROW()-2)/INDEX(Prices!B$2:B$247,Inputs!$B$13)*100</f>
        <v>101.34218151229086</v>
      </c>
      <c r="C22" s="12">
        <f>INDEX(Prices!C$2:C$247,Inputs!$B$13+ROW()-2)/INDEX(Prices!C$2:C$247,Inputs!$B$13)*100</f>
        <v>102.28884094326153</v>
      </c>
      <c r="D22" s="12">
        <f>INDEX(Prices!D$2:D$247,Inputs!$B$13+ROW()-2)/INDEX(Prices!D$2:D$247,Inputs!$B$13)*100</f>
        <v>102.78673475984226</v>
      </c>
      <c r="E22" s="12">
        <f>INDEX(Prices!E$2:E$247,Inputs!$B$13+ROW()-2)/INDEX(Prices!E$2:E$247,Inputs!$B$13)*100</f>
        <v>100.09204225260389</v>
      </c>
      <c r="F22" s="12">
        <f>INDEX(Prices!F$2:F$247,Inputs!$B$13+ROW()-2)/INDEX(Prices!F$2:F$247,Inputs!$B$13)*100</f>
        <v>109.50923662899599</v>
      </c>
      <c r="G22" s="12">
        <f>INDEX(Prices!G$2:G$247,Inputs!$B$13+ROW()-2)/INDEX(Prices!G$2:G$247,Inputs!$B$13)*100</f>
        <v>100.88683688646505</v>
      </c>
      <c r="H22" s="12">
        <f>INDEX(Prices!H$2:H$247,Inputs!$B$13+ROW()-2)/INDEX(Prices!H$2:H$247,Inputs!$B$13)*100</f>
        <v>109.80515586970046</v>
      </c>
    </row>
    <row r="23" spans="1:8" x14ac:dyDescent="0.25">
      <c r="A23" s="10">
        <f>INDEX(Prices!$A$2:$A$247,Inputs!$B$13+ROW()-2)</f>
        <v>46248</v>
      </c>
      <c r="B23" s="12">
        <f>INDEX(Prices!B$2:B$247,Inputs!$B$13+ROW()-2)/INDEX(Prices!B$2:B$247,Inputs!$B$13)*100</f>
        <v>101.21818238464655</v>
      </c>
      <c r="C23" s="12">
        <f>INDEX(Prices!C$2:C$247,Inputs!$B$13+ROW()-2)/INDEX(Prices!C$2:C$247,Inputs!$B$13)*100</f>
        <v>101.7474187128859</v>
      </c>
      <c r="D23" s="12">
        <f>INDEX(Prices!D$2:D$247,Inputs!$B$13+ROW()-2)/INDEX(Prices!D$2:D$247,Inputs!$B$13)*100</f>
        <v>102.0805481931605</v>
      </c>
      <c r="E23" s="12">
        <f>INDEX(Prices!E$2:E$247,Inputs!$B$13+ROW()-2)/INDEX(Prices!E$2:E$247,Inputs!$B$13)*100</f>
        <v>99.841704691984063</v>
      </c>
      <c r="F23" s="12">
        <f>INDEX(Prices!F$2:F$247,Inputs!$B$13+ROW()-2)/INDEX(Prices!F$2:F$247,Inputs!$B$13)*100</f>
        <v>109.17448281144466</v>
      </c>
      <c r="G23" s="12">
        <f>INDEX(Prices!G$2:G$247,Inputs!$B$13+ROW()-2)/INDEX(Prices!G$2:G$247,Inputs!$B$13)*100</f>
        <v>100.42771855891588</v>
      </c>
      <c r="H23" s="12">
        <f>INDEX(Prices!H$2:H$247,Inputs!$B$13+ROW()-2)/INDEX(Prices!H$2:H$247,Inputs!$B$13)*100</f>
        <v>109.11682242117789</v>
      </c>
    </row>
    <row r="24" spans="1:8" x14ac:dyDescent="0.25">
      <c r="A24" s="10">
        <f>INDEX(Prices!$A$2:$A$247,Inputs!$B$13+ROW()-2)</f>
        <v>46251</v>
      </c>
      <c r="B24" s="12">
        <f>INDEX(Prices!B$2:B$247,Inputs!$B$13+ROW()-2)/INDEX(Prices!B$2:B$247,Inputs!$B$13)*100</f>
        <v>100.89271063754661</v>
      </c>
      <c r="C24" s="12">
        <f>INDEX(Prices!C$2:C$247,Inputs!$B$13+ROW()-2)/INDEX(Prices!C$2:C$247,Inputs!$B$13)*100</f>
        <v>101.80301259835612</v>
      </c>
      <c r="D24" s="12">
        <f>INDEX(Prices!D$2:D$247,Inputs!$B$13+ROW()-2)/INDEX(Prices!D$2:D$247,Inputs!$B$13)*100</f>
        <v>102.44618268795655</v>
      </c>
      <c r="E24" s="12">
        <f>INDEX(Prices!E$2:E$247,Inputs!$B$13+ROW()-2)/INDEX(Prices!E$2:E$247,Inputs!$B$13)*100</f>
        <v>99.853340222030226</v>
      </c>
      <c r="F24" s="12">
        <f>INDEX(Prices!F$2:F$247,Inputs!$B$13+ROW()-2)/INDEX(Prices!F$2:F$247,Inputs!$B$13)*100</f>
        <v>107.25978845926205</v>
      </c>
      <c r="G24" s="12">
        <f>INDEX(Prices!G$2:G$247,Inputs!$B$13+ROW()-2)/INDEX(Prices!G$2:G$247,Inputs!$B$13)*100</f>
        <v>99.374173690299131</v>
      </c>
      <c r="H24" s="12">
        <f>INDEX(Prices!H$2:H$247,Inputs!$B$13+ROW()-2)/INDEX(Prices!H$2:H$247,Inputs!$B$13)*100</f>
        <v>109.00549359205456</v>
      </c>
    </row>
    <row r="25" spans="1:8" x14ac:dyDescent="0.25">
      <c r="A25" s="10">
        <f>INDEX(Prices!$A$2:$A$247,Inputs!$B$13+ROW()-2)</f>
        <v>46252</v>
      </c>
      <c r="B25" s="12">
        <f>INDEX(Prices!B$2:B$247,Inputs!$B$13+ROW()-2)/INDEX(Prices!B$2:B$247,Inputs!$B$13)*100</f>
        <v>100.34125723068617</v>
      </c>
      <c r="C25" s="12">
        <f>INDEX(Prices!C$2:C$247,Inputs!$B$13+ROW()-2)/INDEX(Prices!C$2:C$247,Inputs!$B$13)*100</f>
        <v>101.36017579472536</v>
      </c>
      <c r="D25" s="12">
        <f>INDEX(Prices!D$2:D$247,Inputs!$B$13+ROW()-2)/INDEX(Prices!D$2:D$247,Inputs!$B$13)*100</f>
        <v>102.44411403452065</v>
      </c>
      <c r="E25" s="12">
        <f>INDEX(Prices!E$2:E$247,Inputs!$B$13+ROW()-2)/INDEX(Prices!E$2:E$247,Inputs!$B$13)*100</f>
        <v>99.444533688766938</v>
      </c>
      <c r="F25" s="12">
        <f>INDEX(Prices!F$2:F$247,Inputs!$B$13+ROW()-2)/INDEX(Prices!F$2:F$247,Inputs!$B$13)*100</f>
        <v>105.19051200100272</v>
      </c>
      <c r="G25" s="12">
        <f>INDEX(Prices!G$2:G$247,Inputs!$B$13+ROW()-2)/INDEX(Prices!G$2:G$247,Inputs!$B$13)*100</f>
        <v>98.609320773425893</v>
      </c>
      <c r="H25" s="12">
        <f>INDEX(Prices!H$2:H$247,Inputs!$B$13+ROW()-2)/INDEX(Prices!H$2:H$247,Inputs!$B$13)*100</f>
        <v>109.32845927251466</v>
      </c>
    </row>
    <row r="26" spans="1:8" x14ac:dyDescent="0.25">
      <c r="A26" s="10">
        <f>INDEX(Prices!$A$2:$A$247,Inputs!$B$13+ROW()-2)</f>
        <v>46253</v>
      </c>
      <c r="B26" s="12">
        <f>INDEX(Prices!B$2:B$247,Inputs!$B$13+ROW()-2)/INDEX(Prices!B$2:B$247,Inputs!$B$13)*100</f>
        <v>100.02305511418513</v>
      </c>
      <c r="C26" s="12">
        <f>INDEX(Prices!C$2:C$247,Inputs!$B$13+ROW()-2)/INDEX(Prices!C$2:C$247,Inputs!$B$13)*100</f>
        <v>101.15175854546614</v>
      </c>
      <c r="D26" s="12">
        <f>INDEX(Prices!D$2:D$247,Inputs!$B$13+ROW()-2)/INDEX(Prices!D$2:D$247,Inputs!$B$13)*100</f>
        <v>101.91815889844204</v>
      </c>
      <c r="E26" s="12">
        <f>INDEX(Prices!E$2:E$247,Inputs!$B$13+ROW()-2)/INDEX(Prices!E$2:E$247,Inputs!$B$13)*100</f>
        <v>99.405198650625849</v>
      </c>
      <c r="F26" s="12">
        <f>INDEX(Prices!F$2:F$247,Inputs!$B$13+ROW()-2)/INDEX(Prices!F$2:F$247,Inputs!$B$13)*100</f>
        <v>105.95506674186876</v>
      </c>
      <c r="G26" s="12">
        <f>INDEX(Prices!G$2:G$247,Inputs!$B$13+ROW()-2)/INDEX(Prices!G$2:G$247,Inputs!$B$13)*100</f>
        <v>98.070360271029585</v>
      </c>
      <c r="H26" s="12">
        <f>INDEX(Prices!H$2:H$247,Inputs!$B$13+ROW()-2)/INDEX(Prices!H$2:H$247,Inputs!$B$13)*100</f>
        <v>109.03276541932303</v>
      </c>
    </row>
    <row r="27" spans="1:8" x14ac:dyDescent="0.25">
      <c r="A27" s="10">
        <f>INDEX(Prices!$A$2:$A$247,Inputs!$B$13+ROW()-2)</f>
        <v>46254</v>
      </c>
      <c r="B27" s="12">
        <f>INDEX(Prices!B$2:B$247,Inputs!$B$13+ROW()-2)/INDEX(Prices!B$2:B$247,Inputs!$B$13)*100</f>
        <v>100.66091327330695</v>
      </c>
      <c r="C27" s="12">
        <f>INDEX(Prices!C$2:C$247,Inputs!$B$13+ROW()-2)/INDEX(Prices!C$2:C$247,Inputs!$B$13)*100</f>
        <v>101.57098589414828</v>
      </c>
      <c r="D27" s="12">
        <f>INDEX(Prices!D$2:D$247,Inputs!$B$13+ROW()-2)/INDEX(Prices!D$2:D$247,Inputs!$B$13)*100</f>
        <v>102.61270928954684</v>
      </c>
      <c r="E27" s="12">
        <f>INDEX(Prices!E$2:E$247,Inputs!$B$13+ROW()-2)/INDEX(Prices!E$2:E$247,Inputs!$B$13)*100</f>
        <v>99.850040594106687</v>
      </c>
      <c r="F27" s="12">
        <f>INDEX(Prices!F$2:F$247,Inputs!$B$13+ROW()-2)/INDEX(Prices!F$2:F$247,Inputs!$B$13)*100</f>
        <v>106.79064569363499</v>
      </c>
      <c r="G27" s="12">
        <f>INDEX(Prices!G$2:G$247,Inputs!$B$13+ROW()-2)/INDEX(Prices!G$2:G$247,Inputs!$B$13)*100</f>
        <v>98.874669476119649</v>
      </c>
      <c r="H27" s="12">
        <f>INDEX(Prices!H$2:H$247,Inputs!$B$13+ROW()-2)/INDEX(Prices!H$2:H$247,Inputs!$B$13)*100</f>
        <v>109.46743351558138</v>
      </c>
    </row>
    <row r="28" spans="1:8" x14ac:dyDescent="0.25">
      <c r="A28" s="10">
        <f>INDEX(Prices!$A$2:$A$247,Inputs!$B$13+ROW()-2)</f>
        <v>46255</v>
      </c>
      <c r="B28" s="12">
        <f>INDEX(Prices!B$2:B$247,Inputs!$B$13+ROW()-2)/INDEX(Prices!B$2:B$247,Inputs!$B$13)*100</f>
        <v>100.74461787706016</v>
      </c>
      <c r="C28" s="12">
        <f>INDEX(Prices!C$2:C$247,Inputs!$B$13+ROW()-2)/INDEX(Prices!C$2:C$247,Inputs!$B$13)*100</f>
        <v>101.67339988115512</v>
      </c>
      <c r="D28" s="12">
        <f>INDEX(Prices!D$2:D$247,Inputs!$B$13+ROW()-2)/INDEX(Prices!D$2:D$247,Inputs!$B$13)*100</f>
        <v>103.31760294783115</v>
      </c>
      <c r="E28" s="12">
        <f>INDEX(Prices!E$2:E$247,Inputs!$B$13+ROW()-2)/INDEX(Prices!E$2:E$247,Inputs!$B$13)*100</f>
        <v>100.31207533571542</v>
      </c>
      <c r="F28" s="12">
        <f>INDEX(Prices!F$2:F$247,Inputs!$B$13+ROW()-2)/INDEX(Prices!F$2:F$247,Inputs!$B$13)*100</f>
        <v>106.30043937526548</v>
      </c>
      <c r="G28" s="12">
        <f>INDEX(Prices!G$2:G$247,Inputs!$B$13+ROW()-2)/INDEX(Prices!G$2:G$247,Inputs!$B$13)*100</f>
        <v>98.146897207073209</v>
      </c>
      <c r="H28" s="12">
        <f>INDEX(Prices!H$2:H$247,Inputs!$B$13+ROW()-2)/INDEX(Prices!H$2:H$247,Inputs!$B$13)*100</f>
        <v>108.80562472097746</v>
      </c>
    </row>
    <row r="29" spans="1:8" x14ac:dyDescent="0.25">
      <c r="A29" s="10">
        <f>INDEX(Prices!$A$2:$A$247,Inputs!$B$13+ROW()-2)</f>
        <v>46258</v>
      </c>
      <c r="B29" s="12">
        <f>INDEX(Prices!B$2:B$247,Inputs!$B$13+ROW()-2)/INDEX(Prices!B$2:B$247,Inputs!$B$13)*100</f>
        <v>100.60774111806919</v>
      </c>
      <c r="C29" s="12">
        <f>INDEX(Prices!C$2:C$247,Inputs!$B$13+ROW()-2)/INDEX(Prices!C$2:C$247,Inputs!$B$13)*100</f>
        <v>101.80341140671673</v>
      </c>
      <c r="D29" s="12">
        <f>INDEX(Prices!D$2:D$247,Inputs!$B$13+ROW()-2)/INDEX(Prices!D$2:D$247,Inputs!$B$13)*100</f>
        <v>103.05384963475336</v>
      </c>
      <c r="E29" s="12">
        <f>INDEX(Prices!E$2:E$247,Inputs!$B$13+ROW()-2)/INDEX(Prices!E$2:E$247,Inputs!$B$13)*100</f>
        <v>99.902226814686813</v>
      </c>
      <c r="F29" s="12">
        <f>INDEX(Prices!F$2:F$247,Inputs!$B$13+ROW()-2)/INDEX(Prices!F$2:F$247,Inputs!$B$13)*100</f>
        <v>106.52552345539749</v>
      </c>
      <c r="G29" s="12">
        <f>INDEX(Prices!G$2:G$247,Inputs!$B$13+ROW()-2)/INDEX(Prices!G$2:G$247,Inputs!$B$13)*100</f>
        <v>98.181705503222616</v>
      </c>
      <c r="H29" s="12">
        <f>INDEX(Prices!H$2:H$247,Inputs!$B$13+ROW()-2)/INDEX(Prices!H$2:H$247,Inputs!$B$13)*100</f>
        <v>108.7185790257233</v>
      </c>
    </row>
    <row r="30" spans="1:8" x14ac:dyDescent="0.25">
      <c r="A30" s="10">
        <f>INDEX(Prices!$A$2:$A$247,Inputs!$B$13+ROW()-2)</f>
        <v>46259</v>
      </c>
      <c r="B30" s="12">
        <f>INDEX(Prices!B$2:B$247,Inputs!$B$13+ROW()-2)/INDEX(Prices!B$2:B$247,Inputs!$B$13)*100</f>
        <v>101.08753673759749</v>
      </c>
      <c r="C30" s="12">
        <f>INDEX(Prices!C$2:C$247,Inputs!$B$13+ROW()-2)/INDEX(Prices!C$2:C$247,Inputs!$B$13)*100</f>
        <v>102.35480384610783</v>
      </c>
      <c r="D30" s="12">
        <f>INDEX(Prices!D$2:D$247,Inputs!$B$13+ROW()-2)/INDEX(Prices!D$2:D$247,Inputs!$B$13)*100</f>
        <v>102.94964121791969</v>
      </c>
      <c r="E30" s="12">
        <f>INDEX(Prices!E$2:E$247,Inputs!$B$13+ROW()-2)/INDEX(Prices!E$2:E$247,Inputs!$B$13)*100</f>
        <v>99.881821220949163</v>
      </c>
      <c r="F30" s="12">
        <f>INDEX(Prices!F$2:F$247,Inputs!$B$13+ROW()-2)/INDEX(Prices!F$2:F$247,Inputs!$B$13)*100</f>
        <v>107.1344516164971</v>
      </c>
      <c r="G30" s="12">
        <f>INDEX(Prices!G$2:G$247,Inputs!$B$13+ROW()-2)/INDEX(Prices!G$2:G$247,Inputs!$B$13)*100</f>
        <v>98.551788960502392</v>
      </c>
      <c r="H30" s="12">
        <f>INDEX(Prices!H$2:H$247,Inputs!$B$13+ROW()-2)/INDEX(Prices!H$2:H$247,Inputs!$B$13)*100</f>
        <v>109.15044522191984</v>
      </c>
    </row>
    <row r="31" spans="1:8" x14ac:dyDescent="0.25">
      <c r="A31" s="10">
        <f>INDEX(Prices!$A$2:$A$247,Inputs!$B$13+ROW()-2)</f>
        <v>46260</v>
      </c>
      <c r="B31" s="12">
        <f>INDEX(Prices!B$2:B$247,Inputs!$B$13+ROW()-2)/INDEX(Prices!B$2:B$247,Inputs!$B$13)*100</f>
        <v>100.56080007477335</v>
      </c>
      <c r="C31" s="12">
        <f>INDEX(Prices!C$2:C$247,Inputs!$B$13+ROW()-2)/INDEX(Prices!C$2:C$247,Inputs!$B$13)*100</f>
        <v>102.25637794270719</v>
      </c>
      <c r="D31" s="12">
        <f>INDEX(Prices!D$2:D$247,Inputs!$B$13+ROW()-2)/INDEX(Prices!D$2:D$247,Inputs!$B$13)*100</f>
        <v>103.78072273579417</v>
      </c>
      <c r="E31" s="12">
        <f>INDEX(Prices!E$2:E$247,Inputs!$B$13+ROW()-2)/INDEX(Prices!E$2:E$247,Inputs!$B$13)*100</f>
        <v>100.34993422452231</v>
      </c>
      <c r="F31" s="12">
        <f>INDEX(Prices!F$2:F$247,Inputs!$B$13+ROW()-2)/INDEX(Prices!F$2:F$247,Inputs!$B$13)*100</f>
        <v>105.55747042398669</v>
      </c>
      <c r="G31" s="12">
        <f>INDEX(Prices!G$2:G$247,Inputs!$B$13+ROW()-2)/INDEX(Prices!G$2:G$247,Inputs!$B$13)*100</f>
        <v>97.613824161295653</v>
      </c>
      <c r="H31" s="12">
        <f>INDEX(Prices!H$2:H$247,Inputs!$B$13+ROW()-2)/INDEX(Prices!H$2:H$247,Inputs!$B$13)*100</f>
        <v>108.34069610405137</v>
      </c>
    </row>
    <row r="32" spans="1:8" x14ac:dyDescent="0.25">
      <c r="A32" s="10">
        <f>INDEX(Prices!$A$2:$A$247,Inputs!$B$13+ROW()-2)</f>
        <v>46261</v>
      </c>
      <c r="B32" s="12">
        <f>INDEX(Prices!B$2:B$247,Inputs!$B$13+ROW()-2)/INDEX(Prices!B$2:B$247,Inputs!$B$13)*100</f>
        <v>100.0751887507659</v>
      </c>
      <c r="C32" s="12">
        <f>INDEX(Prices!C$2:C$247,Inputs!$B$13+ROW()-2)/INDEX(Prices!C$2:C$247,Inputs!$B$13)*100</f>
        <v>102.15149134386452</v>
      </c>
      <c r="D32" s="12">
        <f>INDEX(Prices!D$2:D$247,Inputs!$B$13+ROW()-2)/INDEX(Prices!D$2:D$247,Inputs!$B$13)*100</f>
        <v>103.64289870062706</v>
      </c>
      <c r="E32" s="12">
        <f>INDEX(Prices!E$2:E$247,Inputs!$B$13+ROW()-2)/INDEX(Prices!E$2:E$247,Inputs!$B$13)*100</f>
        <v>99.874440474278089</v>
      </c>
      <c r="F32" s="12">
        <f>INDEX(Prices!F$2:F$247,Inputs!$B$13+ROW()-2)/INDEX(Prices!F$2:F$247,Inputs!$B$13)*100</f>
        <v>105.21732015903854</v>
      </c>
      <c r="G32" s="12">
        <f>INDEX(Prices!G$2:G$247,Inputs!$B$13+ROW()-2)/INDEX(Prices!G$2:G$247,Inputs!$B$13)*100</f>
        <v>97.154292678896041</v>
      </c>
      <c r="H32" s="12">
        <f>INDEX(Prices!H$2:H$247,Inputs!$B$13+ROW()-2)/INDEX(Prices!H$2:H$247,Inputs!$B$13)*100</f>
        <v>107.90490724776829</v>
      </c>
    </row>
    <row r="33" spans="1:8" x14ac:dyDescent="0.25">
      <c r="A33" s="10">
        <f>INDEX(Prices!$A$2:$A$247,Inputs!$B$13+ROW()-2)</f>
        <v>46262</v>
      </c>
      <c r="B33" s="12">
        <f>INDEX(Prices!B$2:B$247,Inputs!$B$13+ROW()-2)/INDEX(Prices!B$2:B$247,Inputs!$B$13)*100</f>
        <v>100.42745427921614</v>
      </c>
      <c r="C33" s="12">
        <f>INDEX(Prices!C$2:C$247,Inputs!$B$13+ROW()-2)/INDEX(Prices!C$2:C$247,Inputs!$B$13)*100</f>
        <v>102.20580904258077</v>
      </c>
      <c r="D33" s="12">
        <f>INDEX(Prices!D$2:D$247,Inputs!$B$13+ROW()-2)/INDEX(Prices!D$2:D$247,Inputs!$B$13)*100</f>
        <v>103.84640248238412</v>
      </c>
      <c r="E33" s="12">
        <f>INDEX(Prices!E$2:E$247,Inputs!$B$13+ROW()-2)/INDEX(Prices!E$2:E$247,Inputs!$B$13)*100</f>
        <v>99.850735252616914</v>
      </c>
      <c r="F33" s="12">
        <f>INDEX(Prices!F$2:F$247,Inputs!$B$13+ROW()-2)/INDEX(Prices!F$2:F$247,Inputs!$B$13)*100</f>
        <v>108.90970873110375</v>
      </c>
      <c r="G33" s="12">
        <f>INDEX(Prices!G$2:G$247,Inputs!$B$13+ROW()-2)/INDEX(Prices!G$2:G$247,Inputs!$B$13)*100</f>
        <v>96.709221616261772</v>
      </c>
      <c r="H33" s="12">
        <f>INDEX(Prices!H$2:H$247,Inputs!$B$13+ROW()-2)/INDEX(Prices!H$2:H$247,Inputs!$B$13)*100</f>
        <v>107.78648027182167</v>
      </c>
    </row>
    <row r="34" spans="1:8" x14ac:dyDescent="0.25">
      <c r="A34" s="10">
        <f>INDEX(Prices!$A$2:$A$247,Inputs!$B$13+ROW()-2)</f>
        <v>46265</v>
      </c>
      <c r="B34" s="12">
        <f>INDEX(Prices!B$2:B$247,Inputs!$B$13+ROW()-2)/INDEX(Prices!B$2:B$247,Inputs!$B$13)*100</f>
        <v>100.03177867090383</v>
      </c>
      <c r="C34" s="12">
        <f>INDEX(Prices!C$2:C$247,Inputs!$B$13+ROW()-2)/INDEX(Prices!C$2:C$247,Inputs!$B$13)*100</f>
        <v>102.45346903452483</v>
      </c>
      <c r="D34" s="12">
        <f>INDEX(Prices!D$2:D$247,Inputs!$B$13+ROW()-2)/INDEX(Prices!D$2:D$247,Inputs!$B$13)*100</f>
        <v>103.07919063934321</v>
      </c>
      <c r="E34" s="12">
        <f>INDEX(Prices!E$2:E$247,Inputs!$B$13+ROW()-2)/INDEX(Prices!E$2:E$247,Inputs!$B$13)*100</f>
        <v>100.76881330618377</v>
      </c>
      <c r="F34" s="12">
        <f>INDEX(Prices!F$2:F$247,Inputs!$B$13+ROW()-2)/INDEX(Prices!F$2:F$247,Inputs!$B$13)*100</f>
        <v>108.59549622944999</v>
      </c>
      <c r="G34" s="12">
        <f>INDEX(Prices!G$2:G$247,Inputs!$B$13+ROW()-2)/INDEX(Prices!G$2:G$247,Inputs!$B$13)*100</f>
        <v>95.078396132870608</v>
      </c>
      <c r="H34" s="12">
        <f>INDEX(Prices!H$2:H$247,Inputs!$B$13+ROW()-2)/INDEX(Prices!H$2:H$247,Inputs!$B$13)*100</f>
        <v>107.74800084430589</v>
      </c>
    </row>
    <row r="35" spans="1:8" x14ac:dyDescent="0.25">
      <c r="A35" s="10">
        <f>INDEX(Prices!$A$2:$A$247,Inputs!$B$13+ROW()-2)</f>
        <v>46266</v>
      </c>
      <c r="B35" s="12">
        <f>INDEX(Prices!B$2:B$247,Inputs!$B$13+ROW()-2)/INDEX(Prices!B$2:B$247,Inputs!$B$13)*100</f>
        <v>99.929588435056232</v>
      </c>
      <c r="C35" s="12">
        <f>INDEX(Prices!C$2:C$247,Inputs!$B$13+ROW()-2)/INDEX(Prices!C$2:C$247,Inputs!$B$13)*100</f>
        <v>101.03331246236247</v>
      </c>
      <c r="D35" s="12">
        <f>INDEX(Prices!D$2:D$247,Inputs!$B$13+ROW()-2)/INDEX(Prices!D$2:D$247,Inputs!$B$13)*100</f>
        <v>102.84439847436808</v>
      </c>
      <c r="E35" s="12">
        <f>INDEX(Prices!E$2:E$247,Inputs!$B$13+ROW()-2)/INDEX(Prices!E$2:E$247,Inputs!$B$13)*100</f>
        <v>99.700168020527158</v>
      </c>
      <c r="F35" s="12">
        <f>INDEX(Prices!F$2:F$247,Inputs!$B$13+ROW()-2)/INDEX(Prices!F$2:F$247,Inputs!$B$13)*100</f>
        <v>109.65824820872763</v>
      </c>
      <c r="G35" s="12">
        <f>INDEX(Prices!G$2:G$247,Inputs!$B$13+ROW()-2)/INDEX(Prices!G$2:G$247,Inputs!$B$13)*100</f>
        <v>95.969984300115684</v>
      </c>
      <c r="H35" s="12">
        <f>INDEX(Prices!H$2:H$247,Inputs!$B$13+ROW()-2)/INDEX(Prices!H$2:H$247,Inputs!$B$13)*100</f>
        <v>106.43876634208212</v>
      </c>
    </row>
    <row r="36" spans="1:8" x14ac:dyDescent="0.25">
      <c r="A36" s="10">
        <f>INDEX(Prices!$A$2:$A$247,Inputs!$B$13+ROW()-2)</f>
        <v>46267</v>
      </c>
      <c r="B36" s="12">
        <f>INDEX(Prices!B$2:B$247,Inputs!$B$13+ROW()-2)/INDEX(Prices!B$2:B$247,Inputs!$B$13)*100</f>
        <v>99.34240998639541</v>
      </c>
      <c r="C36" s="12">
        <f>INDEX(Prices!C$2:C$247,Inputs!$B$13+ROW()-2)/INDEX(Prices!C$2:C$247,Inputs!$B$13)*100</f>
        <v>100.50225924936289</v>
      </c>
      <c r="D36" s="12">
        <f>INDEX(Prices!D$2:D$247,Inputs!$B$13+ROW()-2)/INDEX(Prices!D$2:D$247,Inputs!$B$13)*100</f>
        <v>102.46169758872583</v>
      </c>
      <c r="E36" s="12">
        <f>INDEX(Prices!E$2:E$247,Inputs!$B$13+ROW()-2)/INDEX(Prices!E$2:E$247,Inputs!$B$13)*100</f>
        <v>99.287540865457672</v>
      </c>
      <c r="F36" s="12">
        <f>INDEX(Prices!F$2:F$247,Inputs!$B$13+ROW()-2)/INDEX(Prices!F$2:F$247,Inputs!$B$13)*100</f>
        <v>108.28720241203791</v>
      </c>
      <c r="G36" s="12">
        <f>INDEX(Prices!G$2:G$247,Inputs!$B$13+ROW()-2)/INDEX(Prices!G$2:G$247,Inputs!$B$13)*100</f>
        <v>95.5225375970914</v>
      </c>
      <c r="H36" s="12">
        <f>INDEX(Prices!H$2:H$247,Inputs!$B$13+ROW()-2)/INDEX(Prices!H$2:H$247,Inputs!$B$13)*100</f>
        <v>104.53683658011286</v>
      </c>
    </row>
    <row r="37" spans="1:8" x14ac:dyDescent="0.25">
      <c r="A37" s="10">
        <f>INDEX(Prices!$A$2:$A$247,Inputs!$B$13+ROW()-2)</f>
        <v>46268</v>
      </c>
      <c r="B37" s="12">
        <f>INDEX(Prices!B$2:B$247,Inputs!$B$13+ROW()-2)/INDEX(Prices!B$2:B$247,Inputs!$B$13)*100</f>
        <v>99.172092926649441</v>
      </c>
      <c r="C37" s="12">
        <f>INDEX(Prices!C$2:C$247,Inputs!$B$13+ROW()-2)/INDEX(Prices!C$2:C$247,Inputs!$B$13)*100</f>
        <v>100.8749057815248</v>
      </c>
      <c r="D37" s="12">
        <f>INDEX(Prices!D$2:D$247,Inputs!$B$13+ROW()-2)/INDEX(Prices!D$2:D$247,Inputs!$B$13)*100</f>
        <v>103.69513219988364</v>
      </c>
      <c r="E37" s="12">
        <f>INDEX(Prices!E$2:E$247,Inputs!$B$13+ROW()-2)/INDEX(Prices!E$2:E$247,Inputs!$B$13)*100</f>
        <v>99.649805278536348</v>
      </c>
      <c r="F37" s="12">
        <f>INDEX(Prices!F$2:F$247,Inputs!$B$13+ROW()-2)/INDEX(Prices!F$2:F$247,Inputs!$B$13)*100</f>
        <v>107.3678914861468</v>
      </c>
      <c r="G37" s="12">
        <f>INDEX(Prices!G$2:G$247,Inputs!$B$13+ROW()-2)/INDEX(Prices!G$2:G$247,Inputs!$B$13)*100</f>
        <v>94.933998512642532</v>
      </c>
      <c r="H37" s="12">
        <f>INDEX(Prices!H$2:H$247,Inputs!$B$13+ROW()-2)/INDEX(Prices!H$2:H$247,Inputs!$B$13)*100</f>
        <v>103.99681704152977</v>
      </c>
    </row>
    <row r="38" spans="1:8" x14ac:dyDescent="0.25">
      <c r="A38" s="10">
        <f>INDEX(Prices!$A$2:$A$247,Inputs!$B$13+ROW()-2)</f>
        <v>46269</v>
      </c>
      <c r="B38" s="12">
        <f>INDEX(Prices!B$2:B$247,Inputs!$B$13+ROW()-2)/INDEX(Prices!B$2:B$247,Inputs!$B$13)*100</f>
        <v>99.272829236377234</v>
      </c>
      <c r="C38" s="12">
        <f>INDEX(Prices!C$2:C$247,Inputs!$B$13+ROW()-2)/INDEX(Prices!C$2:C$247,Inputs!$B$13)*100</f>
        <v>100.62581007948251</v>
      </c>
      <c r="D38" s="12">
        <f>INDEX(Prices!D$2:D$247,Inputs!$B$13+ROW()-2)/INDEX(Prices!D$2:D$247,Inputs!$B$13)*100</f>
        <v>103.92630422134592</v>
      </c>
      <c r="E38" s="12">
        <f>INDEX(Prices!E$2:E$247,Inputs!$B$13+ROW()-2)/INDEX(Prices!E$2:E$247,Inputs!$B$13)*100</f>
        <v>99.630789001819139</v>
      </c>
      <c r="F38" s="12">
        <f>INDEX(Prices!F$2:F$247,Inputs!$B$13+ROW()-2)/INDEX(Prices!F$2:F$247,Inputs!$B$13)*100</f>
        <v>106.86741450982851</v>
      </c>
      <c r="G38" s="12">
        <f>INDEX(Prices!G$2:G$247,Inputs!$B$13+ROW()-2)/INDEX(Prices!G$2:G$247,Inputs!$B$13)*100</f>
        <v>94.804061312179812</v>
      </c>
      <c r="H38" s="12">
        <f>INDEX(Prices!H$2:H$247,Inputs!$B$13+ROW()-2)/INDEX(Prices!H$2:H$247,Inputs!$B$13)*100</f>
        <v>103.52422989776801</v>
      </c>
    </row>
    <row r="39" spans="1:8" x14ac:dyDescent="0.25">
      <c r="A39" s="10">
        <f>INDEX(Prices!$A$2:$A$247,Inputs!$B$13+ROW()-2)</f>
        <v>46272</v>
      </c>
      <c r="B39" s="12">
        <f>INDEX(Prices!B$2:B$247,Inputs!$B$13+ROW()-2)/INDEX(Prices!B$2:B$247,Inputs!$B$13)*100</f>
        <v>98.780363689233681</v>
      </c>
      <c r="C39" s="12">
        <f>INDEX(Prices!C$2:C$247,Inputs!$B$13+ROW()-2)/INDEX(Prices!C$2:C$247,Inputs!$B$13)*100</f>
        <v>100.15856620418191</v>
      </c>
      <c r="D39" s="12">
        <f>INDEX(Prices!D$2:D$247,Inputs!$B$13+ROW()-2)/INDEX(Prices!D$2:D$247,Inputs!$B$13)*100</f>
        <v>103.9508694808973</v>
      </c>
      <c r="E39" s="12">
        <f>INDEX(Prices!E$2:E$247,Inputs!$B$13+ROW()-2)/INDEX(Prices!E$2:E$247,Inputs!$B$13)*100</f>
        <v>99.142183572194568</v>
      </c>
      <c r="F39" s="12">
        <f>INDEX(Prices!F$2:F$247,Inputs!$B$13+ROW()-2)/INDEX(Prices!F$2:F$247,Inputs!$B$13)*100</f>
        <v>104.43065739174031</v>
      </c>
      <c r="G39" s="12">
        <f>INDEX(Prices!G$2:G$247,Inputs!$B$13+ROW()-2)/INDEX(Prices!G$2:G$247,Inputs!$B$13)*100</f>
        <v>94.183089571971578</v>
      </c>
      <c r="H39" s="12">
        <f>INDEX(Prices!H$2:H$247,Inputs!$B$13+ROW()-2)/INDEX(Prices!H$2:H$247,Inputs!$B$13)*100</f>
        <v>103.47883911676638</v>
      </c>
    </row>
    <row r="40" spans="1:8" x14ac:dyDescent="0.25">
      <c r="A40" s="10">
        <f>INDEX(Prices!$A$2:$A$247,Inputs!$B$13+ROW()-2)</f>
        <v>46273</v>
      </c>
      <c r="B40" s="12">
        <f>INDEX(Prices!B$2:B$247,Inputs!$B$13+ROW()-2)/INDEX(Prices!B$2:B$247,Inputs!$B$13)*100</f>
        <v>98.181969239077375</v>
      </c>
      <c r="C40" s="12">
        <f>INDEX(Prices!C$2:C$247,Inputs!$B$13+ROW()-2)/INDEX(Prices!C$2:C$247,Inputs!$B$13)*100</f>
        <v>100.36538821999865</v>
      </c>
      <c r="D40" s="12">
        <f>INDEX(Prices!D$2:D$247,Inputs!$B$13+ROW()-2)/INDEX(Prices!D$2:D$247,Inputs!$B$13)*100</f>
        <v>104.12437778783372</v>
      </c>
      <c r="E40" s="12">
        <f>INDEX(Prices!E$2:E$247,Inputs!$B$13+ROW()-2)/INDEX(Prices!E$2:E$247,Inputs!$B$13)*100</f>
        <v>98.602520742068961</v>
      </c>
      <c r="F40" s="12">
        <f>INDEX(Prices!F$2:F$247,Inputs!$B$13+ROW()-2)/INDEX(Prices!F$2:F$247,Inputs!$B$13)*100</f>
        <v>104.04159094232416</v>
      </c>
      <c r="G40" s="12">
        <f>INDEX(Prices!G$2:G$247,Inputs!$B$13+ROW()-2)/INDEX(Prices!G$2:G$247,Inputs!$B$13)*100</f>
        <v>94.508862171541892</v>
      </c>
      <c r="H40" s="12">
        <f>INDEX(Prices!H$2:H$247,Inputs!$B$13+ROW()-2)/INDEX(Prices!H$2:H$247,Inputs!$B$13)*100</f>
        <v>103.76500650974781</v>
      </c>
    </row>
    <row r="41" spans="1:8" x14ac:dyDescent="0.25">
      <c r="A41" s="10">
        <f>INDEX(Prices!$A$2:$A$247,Inputs!$B$13+ROW()-2)</f>
        <v>46274</v>
      </c>
      <c r="B41" s="12">
        <f>INDEX(Prices!B$2:B$247,Inputs!$B$13+ROW()-2)/INDEX(Prices!B$2:B$247,Inputs!$B$13)*100</f>
        <v>97.336199644826621</v>
      </c>
      <c r="C41" s="12">
        <f>INDEX(Prices!C$2:C$247,Inputs!$B$13+ROW()-2)/INDEX(Prices!C$2:C$247,Inputs!$B$13)*100</f>
        <v>99.850127818079585</v>
      </c>
      <c r="D41" s="12">
        <f>INDEX(Prices!D$2:D$247,Inputs!$B$13+ROW()-2)/INDEX(Prices!D$2:D$247,Inputs!$B$13)*100</f>
        <v>103.62350507466547</v>
      </c>
      <c r="E41" s="12">
        <f>INDEX(Prices!E$2:E$247,Inputs!$B$13+ROW()-2)/INDEX(Prices!E$2:E$247,Inputs!$B$13)*100</f>
        <v>97.765457237256285</v>
      </c>
      <c r="F41" s="12">
        <f>INDEX(Prices!F$2:F$247,Inputs!$B$13+ROW()-2)/INDEX(Prices!F$2:F$247,Inputs!$B$13)*100</f>
        <v>100.66620013508528</v>
      </c>
      <c r="G41" s="12">
        <f>INDEX(Prices!G$2:G$247,Inputs!$B$13+ROW()-2)/INDEX(Prices!G$2:G$247,Inputs!$B$13)*100</f>
        <v>93.5986820360271</v>
      </c>
      <c r="H41" s="12">
        <f>INDEX(Prices!H$2:H$247,Inputs!$B$13+ROW()-2)/INDEX(Prices!H$2:H$247,Inputs!$B$13)*100</f>
        <v>103.30923076635703</v>
      </c>
    </row>
    <row r="42" spans="1:8" x14ac:dyDescent="0.25">
      <c r="A42" s="10">
        <f>INDEX(Prices!$A$2:$A$247,Inputs!$B$13+ROW()-2)</f>
        <v>46275</v>
      </c>
      <c r="B42" s="12">
        <f>INDEX(Prices!B$2:B$247,Inputs!$B$13+ROW()-2)/INDEX(Prices!B$2:B$247,Inputs!$B$13)*100</f>
        <v>97.528533300100733</v>
      </c>
      <c r="C42" s="12">
        <f>INDEX(Prices!C$2:C$247,Inputs!$B$13+ROW()-2)/INDEX(Prices!C$2:C$247,Inputs!$B$13)*100</f>
        <v>99.474530104049094</v>
      </c>
      <c r="D42" s="12">
        <f>INDEX(Prices!D$2:D$247,Inputs!$B$13+ROW()-2)/INDEX(Prices!D$2:D$247,Inputs!$B$13)*100</f>
        <v>103.54618915249856</v>
      </c>
      <c r="E42" s="12">
        <f>INDEX(Prices!E$2:E$247,Inputs!$B$13+ROW()-2)/INDEX(Prices!E$2:E$247,Inputs!$B$13)*100</f>
        <v>98.071801640262407</v>
      </c>
      <c r="F42" s="12">
        <f>INDEX(Prices!F$2:F$247,Inputs!$B$13+ROW()-2)/INDEX(Prices!F$2:F$247,Inputs!$B$13)*100</f>
        <v>100.58594973992605</v>
      </c>
      <c r="G42" s="12">
        <f>INDEX(Prices!G$2:G$247,Inputs!$B$13+ROW()-2)/INDEX(Prices!G$2:G$247,Inputs!$B$13)*100</f>
        <v>93.343249049743832</v>
      </c>
      <c r="H42" s="12">
        <f>INDEX(Prices!H$2:H$247,Inputs!$B$13+ROW()-2)/INDEX(Prices!H$2:H$247,Inputs!$B$13)*100</f>
        <v>102.88931934375765</v>
      </c>
    </row>
    <row r="43" spans="1:8" x14ac:dyDescent="0.25">
      <c r="A43" s="10">
        <f>INDEX(Prices!$A$2:$A$247,Inputs!$B$13+ROW()-2)</f>
        <v>46276</v>
      </c>
      <c r="B43" s="12">
        <f>INDEX(Prices!B$2:B$247,Inputs!$B$13+ROW()-2)/INDEX(Prices!B$2:B$247,Inputs!$B$13)*100</f>
        <v>97.197453552253052</v>
      </c>
      <c r="C43" s="12">
        <f>INDEX(Prices!C$2:C$247,Inputs!$B$13+ROW()-2)/INDEX(Prices!C$2:C$247,Inputs!$B$13)*100</f>
        <v>99.219053468236908</v>
      </c>
      <c r="D43" s="12">
        <f>INDEX(Prices!D$2:D$247,Inputs!$B$13+ROW()-2)/INDEX(Prices!D$2:D$247,Inputs!$B$13)*100</f>
        <v>102.94808972784277</v>
      </c>
      <c r="E43" s="12">
        <f>INDEX(Prices!E$2:E$247,Inputs!$B$13+ROW()-2)/INDEX(Prices!E$2:E$247,Inputs!$B$13)*100</f>
        <v>98.305554228950768</v>
      </c>
      <c r="F43" s="12">
        <f>INDEX(Prices!F$2:F$247,Inputs!$B$13+ROW()-2)/INDEX(Prices!F$2:F$247,Inputs!$B$13)*100</f>
        <v>100.69248605627625</v>
      </c>
      <c r="G43" s="12">
        <f>INDEX(Prices!G$2:G$247,Inputs!$B$13+ROW()-2)/INDEX(Prices!G$2:G$247,Inputs!$B$13)*100</f>
        <v>93.070876714592629</v>
      </c>
      <c r="H43" s="12">
        <f>INDEX(Prices!H$2:H$247,Inputs!$B$13+ROW()-2)/INDEX(Prices!H$2:H$247,Inputs!$B$13)*100</f>
        <v>102.00597365093182</v>
      </c>
    </row>
    <row r="44" spans="1:8" x14ac:dyDescent="0.25">
      <c r="A44" s="10">
        <f>INDEX(Prices!$A$2:$A$247,Inputs!$B$13+ROW()-2)</f>
        <v>46280</v>
      </c>
      <c r="B44" s="12">
        <f>INDEX(Prices!B$2:B$247,Inputs!$B$13+ROW()-2)/INDEX(Prices!B$2:B$247,Inputs!$B$13)*100</f>
        <v>96.036389693740844</v>
      </c>
      <c r="C44" s="12">
        <f>INDEX(Prices!C$2:C$247,Inputs!$B$13+ROW()-2)/INDEX(Prices!C$2:C$247,Inputs!$B$13)*100</f>
        <v>97.115020319285975</v>
      </c>
      <c r="D44" s="12">
        <f>INDEX(Prices!D$2:D$247,Inputs!$B$13+ROW()-2)/INDEX(Prices!D$2:D$247,Inputs!$B$13)*100</f>
        <v>100.44579481543734</v>
      </c>
      <c r="E44" s="12">
        <f>INDEX(Prices!E$2:E$247,Inputs!$B$13+ROW()-2)/INDEX(Prices!E$2:E$247,Inputs!$B$13)*100</f>
        <v>96.895744782463339</v>
      </c>
      <c r="F44" s="12">
        <f>INDEX(Prices!F$2:F$247,Inputs!$B$13+ROW()-2)/INDEX(Prices!F$2:F$247,Inputs!$B$13)*100</f>
        <v>102.89911080473217</v>
      </c>
      <c r="G44" s="12">
        <f>INDEX(Prices!G$2:G$247,Inputs!$B$13+ROW()-2)/INDEX(Prices!G$2:G$247,Inputs!$B$13)*100</f>
        <v>92.608556436952554</v>
      </c>
      <c r="H44" s="12">
        <f>INDEX(Prices!H$2:H$247,Inputs!$B$13+ROW()-2)/INDEX(Prices!H$2:H$247,Inputs!$B$13)*100</f>
        <v>99.959092259097304</v>
      </c>
    </row>
    <row r="45" spans="1:8" x14ac:dyDescent="0.25">
      <c r="A45" s="10">
        <f>INDEX(Prices!$A$2:$A$247,Inputs!$B$13+ROW()-2)</f>
        <v>46281</v>
      </c>
      <c r="B45" s="12">
        <f>INDEX(Prices!B$2:B$247,Inputs!$B$13+ROW()-2)/INDEX(Prices!B$2:B$247,Inputs!$B$13)*100</f>
        <v>96.44764308190797</v>
      </c>
      <c r="C45" s="12">
        <f>INDEX(Prices!C$2:C$247,Inputs!$B$13+ROW()-2)/INDEX(Prices!C$2:C$247,Inputs!$B$13)*100</f>
        <v>97.108559623843945</v>
      </c>
      <c r="D45" s="12">
        <f>INDEX(Prices!D$2:D$247,Inputs!$B$13+ROW()-2)/INDEX(Prices!D$2:D$247,Inputs!$B$13)*100</f>
        <v>100.26918352834701</v>
      </c>
      <c r="E45" s="12">
        <f>INDEX(Prices!E$2:E$247,Inputs!$B$13+ROW()-2)/INDEX(Prices!E$2:E$247,Inputs!$B$13)*100</f>
        <v>97.760073633802079</v>
      </c>
      <c r="F45" s="12">
        <f>INDEX(Prices!F$2:F$247,Inputs!$B$13+ROW()-2)/INDEX(Prices!F$2:F$247,Inputs!$B$13)*100</f>
        <v>101.27095040142606</v>
      </c>
      <c r="G45" s="12">
        <f>INDEX(Prices!G$2:G$247,Inputs!$B$13+ROW()-2)/INDEX(Prices!G$2:G$247,Inputs!$B$13)*100</f>
        <v>94.114609155511488</v>
      </c>
      <c r="H45" s="12">
        <f>INDEX(Prices!H$2:H$247,Inputs!$B$13+ROW()-2)/INDEX(Prices!H$2:H$247,Inputs!$B$13)*100</f>
        <v>100.47109279706213</v>
      </c>
    </row>
    <row r="46" spans="1:8" x14ac:dyDescent="0.25">
      <c r="A46" s="10">
        <f>INDEX(Prices!$A$2:$A$247,Inputs!$B$13+ROW()-2)</f>
        <v>46282</v>
      </c>
      <c r="B46" s="12">
        <f>INDEX(Prices!B$2:B$247,Inputs!$B$13+ROW()-2)/INDEX(Prices!B$2:B$247,Inputs!$B$13)*100</f>
        <v>96.667809037189343</v>
      </c>
      <c r="C46" s="12">
        <f>INDEX(Prices!C$2:C$247,Inputs!$B$13+ROW()-2)/INDEX(Prices!C$2:C$247,Inputs!$B$13)*100</f>
        <v>97.998540361400131</v>
      </c>
      <c r="D46" s="12">
        <f>INDEX(Prices!D$2:D$247,Inputs!$B$13+ROW()-2)/INDEX(Prices!D$2:D$247,Inputs!$B$13)*100</f>
        <v>101.03148231947767</v>
      </c>
      <c r="E46" s="12">
        <f>INDEX(Prices!E$2:E$247,Inputs!$B$13+ROW()-2)/INDEX(Prices!E$2:E$247,Inputs!$B$13)*100</f>
        <v>97.349009460380586</v>
      </c>
      <c r="F46" s="12">
        <f>INDEX(Prices!F$2:F$247,Inputs!$B$13+ROW()-2)/INDEX(Prices!F$2:F$247,Inputs!$B$13)*100</f>
        <v>101.50752369214486</v>
      </c>
      <c r="G46" s="12">
        <f>INDEX(Prices!G$2:G$247,Inputs!$B$13+ROW()-2)/INDEX(Prices!G$2:G$247,Inputs!$B$13)*100</f>
        <v>94.142910262766478</v>
      </c>
      <c r="H46" s="12">
        <f>INDEX(Prices!H$2:H$247,Inputs!$B$13+ROW()-2)/INDEX(Prices!H$2:H$247,Inputs!$B$13)*100</f>
        <v>101.46296541894944</v>
      </c>
    </row>
    <row r="47" spans="1:8" x14ac:dyDescent="0.25">
      <c r="A47" s="10">
        <f>INDEX(Prices!$A$2:$A$247,Inputs!$B$13+ROW()-2)</f>
        <v>46283</v>
      </c>
      <c r="B47" s="12">
        <f>INDEX(Prices!B$2:B$247,Inputs!$B$13+ROW()-2)/INDEX(Prices!B$2:B$247,Inputs!$B$13)*100</f>
        <v>96.982687893988015</v>
      </c>
      <c r="C47" s="12">
        <f>INDEX(Prices!C$2:C$247,Inputs!$B$13+ROW()-2)/INDEX(Prices!C$2:C$247,Inputs!$B$13)*100</f>
        <v>99.209561829254184</v>
      </c>
      <c r="D47" s="12">
        <f>INDEX(Prices!D$2:D$247,Inputs!$B$13+ROW()-2)/INDEX(Prices!D$2:D$247,Inputs!$B$13)*100</f>
        <v>102.78983773999613</v>
      </c>
      <c r="E47" s="12">
        <f>INDEX(Prices!E$2:E$247,Inputs!$B$13+ROW()-2)/INDEX(Prices!E$2:E$247,Inputs!$B$13)*100</f>
        <v>97.875126449556944</v>
      </c>
      <c r="F47" s="12">
        <f>INDEX(Prices!F$2:F$247,Inputs!$B$13+ROW()-2)/INDEX(Prices!F$2:F$247,Inputs!$B$13)*100</f>
        <v>100.45939434452313</v>
      </c>
      <c r="G47" s="12">
        <f>INDEX(Prices!G$2:G$247,Inputs!$B$13+ROW()-2)/INDEX(Prices!G$2:G$247,Inputs!$B$13)*100</f>
        <v>93.924144769459588</v>
      </c>
      <c r="H47" s="12">
        <f>INDEX(Prices!H$2:H$247,Inputs!$B$13+ROW()-2)/INDEX(Prices!H$2:H$247,Inputs!$B$13)*100</f>
        <v>101.35032903646393</v>
      </c>
    </row>
    <row r="48" spans="1:8" x14ac:dyDescent="0.25">
      <c r="A48" s="10">
        <f>INDEX(Prices!$A$2:$A$247,Inputs!$B$13+ROW()-2)</f>
        <v>46286</v>
      </c>
      <c r="B48" s="12">
        <f>INDEX(Prices!B$2:B$247,Inputs!$B$13+ROW()-2)/INDEX(Prices!B$2:B$247,Inputs!$B$13)*100</f>
        <v>97.264749561225855</v>
      </c>
      <c r="C48" s="12">
        <f>INDEX(Prices!C$2:C$247,Inputs!$B$13+ROW()-2)/INDEX(Prices!C$2:C$247,Inputs!$B$13)*100</f>
        <v>98.925370991477465</v>
      </c>
      <c r="D48" s="12">
        <f>INDEX(Prices!D$2:D$247,Inputs!$B$13+ROW()-2)/INDEX(Prices!D$2:D$247,Inputs!$B$13)*100</f>
        <v>102.71640054302154</v>
      </c>
      <c r="E48" s="12">
        <f>INDEX(Prices!E$2:E$247,Inputs!$B$13+ROW()-2)/INDEX(Prices!E$2:E$247,Inputs!$B$13)*100</f>
        <v>98.069544000104202</v>
      </c>
      <c r="F48" s="12">
        <f>INDEX(Prices!F$2:F$247,Inputs!$B$13+ROW()-2)/INDEX(Prices!F$2:F$247,Inputs!$B$13)*100</f>
        <v>100.3770550019845</v>
      </c>
      <c r="G48" s="12">
        <f>INDEX(Prices!G$2:G$247,Inputs!$B$13+ROW()-2)/INDEX(Prices!G$2:G$247,Inputs!$B$13)*100</f>
        <v>94.820897372335153</v>
      </c>
      <c r="H48" s="12">
        <f>INDEX(Prices!H$2:H$247,Inputs!$B$13+ROW()-2)/INDEX(Prices!H$2:H$247,Inputs!$B$13)*100</f>
        <v>101.43289169161913</v>
      </c>
    </row>
    <row r="49" spans="1:8" x14ac:dyDescent="0.25">
      <c r="A49" s="10">
        <f>INDEX(Prices!$A$2:$A$247,Inputs!$B$13+ROW()-2)</f>
        <v>46287</v>
      </c>
      <c r="B49" s="12">
        <f>INDEX(Prices!B$2:B$247,Inputs!$B$13+ROW()-2)/INDEX(Prices!B$2:B$247,Inputs!$B$13)*100</f>
        <v>96.91040699546167</v>
      </c>
      <c r="C49" s="12">
        <f>INDEX(Prices!C$2:C$247,Inputs!$B$13+ROW()-2)/INDEX(Prices!C$2:C$247,Inputs!$B$13)*100</f>
        <v>98.845689081025895</v>
      </c>
      <c r="D49" s="12">
        <f>INDEX(Prices!D$2:D$247,Inputs!$B$13+ROW()-2)/INDEX(Prices!D$2:D$247,Inputs!$B$13)*100</f>
        <v>102.47824681621307</v>
      </c>
      <c r="E49" s="12">
        <f>INDEX(Prices!E$2:E$247,Inputs!$B$13+ROW()-2)/INDEX(Prices!E$2:E$247,Inputs!$B$13)*100</f>
        <v>97.626525535212679</v>
      </c>
      <c r="F49" s="12">
        <f>INDEX(Prices!F$2:F$247,Inputs!$B$13+ROW()-2)/INDEX(Prices!F$2:F$247,Inputs!$B$13)*100</f>
        <v>99.510838155320201</v>
      </c>
      <c r="G49" s="12">
        <f>INDEX(Prices!G$2:G$247,Inputs!$B$13+ROW()-2)/INDEX(Prices!G$2:G$247,Inputs!$B$13)*100</f>
        <v>94.318604362915224</v>
      </c>
      <c r="H49" s="12">
        <f>INDEX(Prices!H$2:H$247,Inputs!$B$13+ROW()-2)/INDEX(Prices!H$2:H$247,Inputs!$B$13)*100</f>
        <v>101.19080752627715</v>
      </c>
    </row>
    <row r="50" spans="1:8" x14ac:dyDescent="0.25">
      <c r="A50" s="10">
        <f>INDEX(Prices!$A$2:$A$247,Inputs!$B$13+ROW()-2)</f>
        <v>46288</v>
      </c>
      <c r="B50" s="12">
        <f>INDEX(Prices!B$2:B$247,Inputs!$B$13+ROW()-2)/INDEX(Prices!B$2:B$247,Inputs!$B$13)*100</f>
        <v>97.399756986634273</v>
      </c>
      <c r="C50" s="12">
        <f>INDEX(Prices!C$2:C$247,Inputs!$B$13+ROW()-2)/INDEX(Prices!C$2:C$247,Inputs!$B$13)*100</f>
        <v>99.536903731649829</v>
      </c>
      <c r="D50" s="12">
        <f>INDEX(Prices!D$2:D$247,Inputs!$B$13+ROW()-2)/INDEX(Prices!D$2:D$247,Inputs!$B$13)*100</f>
        <v>103.38871290969034</v>
      </c>
      <c r="E50" s="12">
        <f>INDEX(Prices!E$2:E$247,Inputs!$B$13+ROW()-2)/INDEX(Prices!E$2:E$247,Inputs!$B$13)*100</f>
        <v>98.205436571165592</v>
      </c>
      <c r="F50" s="12">
        <f>INDEX(Prices!F$2:F$247,Inputs!$B$13+ROW()-2)/INDEX(Prices!F$2:F$247,Inputs!$B$13)*100</f>
        <v>98.647232492880178</v>
      </c>
      <c r="G50" s="12">
        <f>INDEX(Prices!G$2:G$247,Inputs!$B$13+ROW()-2)/INDEX(Prices!G$2:G$247,Inputs!$B$13)*100</f>
        <v>95.561374153032546</v>
      </c>
      <c r="H50" s="12">
        <f>INDEX(Prices!H$2:H$247,Inputs!$B$13+ROW()-2)/INDEX(Prices!H$2:H$247,Inputs!$B$13)*100</f>
        <v>101.45698803215086</v>
      </c>
    </row>
    <row r="51" spans="1:8" x14ac:dyDescent="0.25">
      <c r="A51" s="10">
        <f>INDEX(Prices!$A$2:$A$247,Inputs!$B$13+ROW()-2)</f>
        <v>46289</v>
      </c>
      <c r="B51" s="12">
        <f>INDEX(Prices!B$2:B$247,Inputs!$B$13+ROW()-2)/INDEX(Prices!B$2:B$247,Inputs!$B$13)*100</f>
        <v>95.805838551889579</v>
      </c>
      <c r="C51" s="12">
        <f>INDEX(Prices!C$2:C$247,Inputs!$B$13+ROW()-2)/INDEX(Prices!C$2:C$247,Inputs!$B$13)*100</f>
        <v>97.293526941498811</v>
      </c>
      <c r="D51" s="12">
        <f>INDEX(Prices!D$2:D$247,Inputs!$B$13+ROW()-2)/INDEX(Prices!D$2:D$247,Inputs!$B$13)*100</f>
        <v>101.80231430603142</v>
      </c>
      <c r="E51" s="12">
        <f>INDEX(Prices!E$2:E$247,Inputs!$B$13+ROW()-2)/INDEX(Prices!E$2:E$247,Inputs!$B$13)*100</f>
        <v>96.277064546800446</v>
      </c>
      <c r="F51" s="12">
        <f>INDEX(Prices!F$2:F$247,Inputs!$B$13+ROW()-2)/INDEX(Prices!F$2:F$247,Inputs!$B$13)*100</f>
        <v>98.211338806375466</v>
      </c>
      <c r="G51" s="12">
        <f>INDEX(Prices!G$2:G$247,Inputs!$B$13+ROW()-2)/INDEX(Prices!G$2:G$247,Inputs!$B$13)*100</f>
        <v>94.528487026937697</v>
      </c>
      <c r="H51" s="12">
        <f>INDEX(Prices!H$2:H$247,Inputs!$B$13+ROW()-2)/INDEX(Prices!H$2:H$247,Inputs!$B$13)*100</f>
        <v>99.860091790246017</v>
      </c>
    </row>
    <row r="52" spans="1:8" x14ac:dyDescent="0.25">
      <c r="A52" s="10">
        <f>INDEX(Prices!$A$2:$A$247,Inputs!$B$13+ROW()-2)</f>
        <v>46290</v>
      </c>
      <c r="B52" s="12">
        <f>INDEX(Prices!B$2:B$247,Inputs!$B$13+ROW()-2)/INDEX(Prices!B$2:B$247,Inputs!$B$13)*100</f>
        <v>96.127363928092961</v>
      </c>
      <c r="C52" s="12">
        <f>INDEX(Prices!C$2:C$247,Inputs!$B$13+ROW()-2)/INDEX(Prices!C$2:C$247,Inputs!$B$13)*100</f>
        <v>97.159288047314632</v>
      </c>
      <c r="D52" s="12">
        <f>INDEX(Prices!D$2:D$247,Inputs!$B$13+ROW()-2)/INDEX(Prices!D$2:D$247,Inputs!$B$13)*100</f>
        <v>101.96004913051911</v>
      </c>
      <c r="E52" s="12">
        <f>INDEX(Prices!E$2:E$247,Inputs!$B$13+ROW()-2)/INDEX(Prices!E$2:E$247,Inputs!$B$13)*100</f>
        <v>96.523494653300276</v>
      </c>
      <c r="F52" s="12">
        <f>INDEX(Prices!F$2:F$247,Inputs!$B$13+ROW()-2)/INDEX(Prices!F$2:F$247,Inputs!$B$13)*100</f>
        <v>98.04439709497052</v>
      </c>
      <c r="G52" s="12">
        <f>INDEX(Prices!G$2:G$247,Inputs!$B$13+ROW()-2)/INDEX(Prices!G$2:G$247,Inputs!$B$13)*100</f>
        <v>94.904354652123629</v>
      </c>
      <c r="H52" s="12">
        <f>INDEX(Prices!H$2:H$247,Inputs!$B$13+ROW()-2)/INDEX(Prices!H$2:H$247,Inputs!$B$13)*100</f>
        <v>100.74848090318315</v>
      </c>
    </row>
    <row r="53" spans="1:8" x14ac:dyDescent="0.25">
      <c r="A53" s="10">
        <f>INDEX(Prices!$A$2:$A$247,Inputs!$B$13+ROW()-2)</f>
        <v>46293</v>
      </c>
      <c r="B53" s="12">
        <f>INDEX(Prices!B$2:B$247,Inputs!$B$13+ROW()-2)/INDEX(Prices!B$2:B$247,Inputs!$B$13)*100</f>
        <v>94.630858543373733</v>
      </c>
      <c r="C53" s="12">
        <f>INDEX(Prices!C$2:C$247,Inputs!$B$13+ROW()-2)/INDEX(Prices!C$2:C$247,Inputs!$B$13)*100</f>
        <v>95.577135519069017</v>
      </c>
      <c r="D53" s="12">
        <f>INDEX(Prices!D$2:D$247,Inputs!$B$13+ROW()-2)/INDEX(Prices!D$2:D$247,Inputs!$B$13)*100</f>
        <v>100.07679875880793</v>
      </c>
      <c r="E53" s="12">
        <f>INDEX(Prices!E$2:E$247,Inputs!$B$13+ROW()-2)/INDEX(Prices!E$2:E$247,Inputs!$B$13)*100</f>
        <v>94.597988095289793</v>
      </c>
      <c r="F53" s="12">
        <f>INDEX(Prices!F$2:F$247,Inputs!$B$13+ROW()-2)/INDEX(Prices!F$2:F$247,Inputs!$B$13)*100</f>
        <v>97.785367619922994</v>
      </c>
      <c r="G53" s="12">
        <f>INDEX(Prices!G$2:G$247,Inputs!$B$13+ROW()-2)/INDEX(Prices!G$2:G$247,Inputs!$B$13)*100</f>
        <v>93.505928772103786</v>
      </c>
      <c r="H53" s="12">
        <f>INDEX(Prices!H$2:H$247,Inputs!$B$13+ROW()-2)/INDEX(Prices!H$2:H$247,Inputs!$B$13)*100</f>
        <v>99.09405231334209</v>
      </c>
    </row>
    <row r="54" spans="1:8" x14ac:dyDescent="0.25">
      <c r="A54" s="10">
        <f>INDEX(Prices!$A$2:$A$247,Inputs!$B$13+ROW()-2)</f>
        <v>46294</v>
      </c>
      <c r="B54" s="12">
        <f>INDEX(Prices!B$2:B$247,Inputs!$B$13+ROW()-2)/INDEX(Prices!B$2:B$247,Inputs!$B$13)*100</f>
        <v>94.364790063453498</v>
      </c>
      <c r="C54" s="12">
        <f>INDEX(Prices!C$2:C$247,Inputs!$B$13+ROW()-2)/INDEX(Prices!C$2:C$247,Inputs!$B$13)*100</f>
        <v>94.628290667485558</v>
      </c>
      <c r="D54" s="12">
        <f>INDEX(Prices!D$2:D$247,Inputs!$B$13+ROW()-2)/INDEX(Prices!D$2:D$247,Inputs!$B$13)*100</f>
        <v>99.262007886741216</v>
      </c>
      <c r="E54" s="12">
        <f>INDEX(Prices!E$2:E$247,Inputs!$B$13+ROW()-2)/INDEX(Prices!E$2:E$247,Inputs!$B$13)*100</f>
        <v>94.230340078756896</v>
      </c>
      <c r="F54" s="12">
        <f>INDEX(Prices!F$2:F$247,Inputs!$B$13+ROW()-2)/INDEX(Prices!F$2:F$247,Inputs!$B$13)*100</f>
        <v>96.335289980712062</v>
      </c>
      <c r="G54" s="12">
        <f>INDEX(Prices!G$2:G$247,Inputs!$B$13+ROW()-2)/INDEX(Prices!G$2:G$247,Inputs!$B$13)*100</f>
        <v>92.526648487853265</v>
      </c>
      <c r="H54" s="12">
        <f>INDEX(Prices!H$2:H$247,Inputs!$B$13+ROW()-2)/INDEX(Prices!H$2:H$247,Inputs!$B$13)*100</f>
        <v>97.780147977681935</v>
      </c>
    </row>
    <row r="55" spans="1:8" x14ac:dyDescent="0.25">
      <c r="A55" s="10">
        <f>INDEX(Prices!$A$2:$A$247,Inputs!$B$13+ROW()-2)</f>
        <v>46295</v>
      </c>
      <c r="B55" s="12">
        <f>INDEX(Prices!B$2:B$247,Inputs!$B$13+ROW()-2)/INDEX(Prices!B$2:B$247,Inputs!$B$13)*100</f>
        <v>93.967037417827214</v>
      </c>
      <c r="C55" s="12">
        <f>INDEX(Prices!C$2:C$247,Inputs!$B$13+ROW()-2)/INDEX(Prices!C$2:C$247,Inputs!$B$13)*100</f>
        <v>94.648470370532863</v>
      </c>
      <c r="D55" s="12">
        <f>INDEX(Prices!D$2:D$247,Inputs!$B$13+ROW()-2)/INDEX(Prices!D$2:D$247,Inputs!$B$13)*100</f>
        <v>99.531708578447223</v>
      </c>
      <c r="E55" s="12">
        <f>INDEX(Prices!E$2:E$247,Inputs!$B$13+ROW()-2)/INDEX(Prices!E$2:E$247,Inputs!$B$13)*100</f>
        <v>94.878282804162751</v>
      </c>
      <c r="F55" s="12">
        <f>INDEX(Prices!F$2:F$247,Inputs!$B$13+ROW()-2)/INDEX(Prices!F$2:F$247,Inputs!$B$13)*100</f>
        <v>96.456448928718146</v>
      </c>
      <c r="G55" s="12">
        <f>INDEX(Prices!G$2:G$247,Inputs!$B$13+ROW()-2)/INDEX(Prices!G$2:G$247,Inputs!$B$13)*100</f>
        <v>91.944410014873569</v>
      </c>
      <c r="H55" s="12">
        <f>INDEX(Prices!H$2:H$247,Inputs!$B$13+ROW()-2)/INDEX(Prices!H$2:H$247,Inputs!$B$13)*100</f>
        <v>98.230693507623982</v>
      </c>
    </row>
    <row r="56" spans="1:8" x14ac:dyDescent="0.25">
      <c r="A56" s="10">
        <f>INDEX(Prices!$A$2:$A$247,Inputs!$B$13+ROW()-2)</f>
        <v>46296</v>
      </c>
      <c r="B56" s="12">
        <f>INDEX(Prices!B$2:B$247,Inputs!$B$13+ROW()-2)/INDEX(Prices!B$2:B$247,Inputs!$B$13)*100</f>
        <v>93.142453604178996</v>
      </c>
      <c r="C56" s="12">
        <f>INDEX(Prices!C$2:C$247,Inputs!$B$13+ROW()-2)/INDEX(Prices!C$2:C$247,Inputs!$B$13)*100</f>
        <v>93.691250543376398</v>
      </c>
      <c r="D56" s="12">
        <f>INDEX(Prices!D$2:D$247,Inputs!$B$13+ROW()-2)/INDEX(Prices!D$2:D$247,Inputs!$B$13)*100</f>
        <v>98.564354515482592</v>
      </c>
      <c r="E56" s="12">
        <f>INDEX(Prices!E$2:E$247,Inputs!$B$13+ROW()-2)/INDEX(Prices!E$2:E$247,Inputs!$B$13)*100</f>
        <v>94.561692188130891</v>
      </c>
      <c r="F56" s="12">
        <f>INDEX(Prices!F$2:F$247,Inputs!$B$13+ROW()-2)/INDEX(Prices!F$2:F$247,Inputs!$B$13)*100</f>
        <v>98.545048150237108</v>
      </c>
      <c r="G56" s="12">
        <f>INDEX(Prices!G$2:G$247,Inputs!$B$13+ROW()-2)/INDEX(Prices!G$2:G$247,Inputs!$B$13)*100</f>
        <v>90.459944637250032</v>
      </c>
      <c r="H56" s="12">
        <f>INDEX(Prices!H$2:H$247,Inputs!$B$13+ROW()-2)/INDEX(Prices!H$2:H$247,Inputs!$B$13)*100</f>
        <v>94.834790632687714</v>
      </c>
    </row>
    <row r="57" spans="1:8" x14ac:dyDescent="0.25">
      <c r="A57" s="10">
        <f>INDEX(Prices!$A$2:$A$247,Inputs!$B$13+ROW()-2)</f>
        <v>46300</v>
      </c>
      <c r="B57" s="12">
        <f>INDEX(Prices!B$2:B$247,Inputs!$B$13+ROW()-2)/INDEX(Prices!B$2:B$247,Inputs!$B$13)*100</f>
        <v>93.698268789398796</v>
      </c>
      <c r="C57" s="12">
        <f>INDEX(Prices!C$2:C$247,Inputs!$B$13+ROW()-2)/INDEX(Prices!C$2:C$247,Inputs!$B$13)*100</f>
        <v>94.316023721121283</v>
      </c>
      <c r="D57" s="12">
        <f>INDEX(Prices!D$2:D$247,Inputs!$B$13+ROW()-2)/INDEX(Prices!D$2:D$247,Inputs!$B$13)*100</f>
        <v>99.032128773676376</v>
      </c>
      <c r="E57" s="12">
        <f>INDEX(Prices!E$2:E$247,Inputs!$B$13+ROW()-2)/INDEX(Prices!E$2:E$247,Inputs!$B$13)*100</f>
        <v>95.019037984795659</v>
      </c>
      <c r="F57" s="12">
        <f>INDEX(Prices!F$2:F$247,Inputs!$B$13+ROW()-2)/INDEX(Prices!F$2:F$247,Inputs!$B$13)*100</f>
        <v>98.534429334391746</v>
      </c>
      <c r="G57" s="12">
        <f>INDEX(Prices!G$2:G$247,Inputs!$B$13+ROW()-2)/INDEX(Prices!G$2:G$247,Inputs!$B$13)*100</f>
        <v>92.091493141629485</v>
      </c>
      <c r="H57" s="12">
        <f>INDEX(Prices!H$2:H$247,Inputs!$B$13+ROW()-2)/INDEX(Prices!H$2:H$247,Inputs!$B$13)*100</f>
        <v>94.972830909067142</v>
      </c>
    </row>
    <row r="58" spans="1:8" x14ac:dyDescent="0.25">
      <c r="A58" s="10">
        <f>INDEX(Prices!$A$2:$A$247,Inputs!$B$13+ROW()-2)</f>
        <v>46301</v>
      </c>
      <c r="B58" s="12">
        <f>INDEX(Prices!B$2:B$247,Inputs!$B$13+ROW()-2)/INDEX(Prices!B$2:B$247,Inputs!$B$13)*100</f>
        <v>94.613619133667726</v>
      </c>
      <c r="C58" s="12">
        <f>INDEX(Prices!C$2:C$247,Inputs!$B$13+ROW()-2)/INDEX(Prices!C$2:C$247,Inputs!$B$13)*100</f>
        <v>95.333064802370515</v>
      </c>
      <c r="D58" s="12">
        <f>INDEX(Prices!D$2:D$247,Inputs!$B$13+ROW()-2)/INDEX(Prices!D$2:D$247,Inputs!$B$13)*100</f>
        <v>100.58155019716853</v>
      </c>
      <c r="E58" s="12">
        <f>INDEX(Prices!E$2:E$247,Inputs!$B$13+ROW()-2)/INDEX(Prices!E$2:E$247,Inputs!$B$13)*100</f>
        <v>95.738530536753956</v>
      </c>
      <c r="F58" s="12">
        <f>INDEX(Prices!F$2:F$247,Inputs!$B$13+ROW()-2)/INDEX(Prices!F$2:F$247,Inputs!$B$13)*100</f>
        <v>97.957879857673063</v>
      </c>
      <c r="G58" s="12">
        <f>INDEX(Prices!G$2:G$247,Inputs!$B$13+ROW()-2)/INDEX(Prices!G$2:G$247,Inputs!$B$13)*100</f>
        <v>93.384048091224585</v>
      </c>
      <c r="H58" s="12">
        <f>INDEX(Prices!H$2:H$247,Inputs!$B$13+ROW()-2)/INDEX(Prices!H$2:H$247,Inputs!$B$13)*100</f>
        <v>95.421321712297171</v>
      </c>
    </row>
    <row r="59" spans="1:8" x14ac:dyDescent="0.25">
      <c r="A59" s="10">
        <f>INDEX(Prices!$A$2:$A$247,Inputs!$B$13+ROW()-2)</f>
        <v>46302</v>
      </c>
      <c r="B59" s="12">
        <f>INDEX(Prices!B$2:B$247,Inputs!$B$13+ROW()-2)/INDEX(Prices!B$2:B$247,Inputs!$B$13)*100</f>
        <v>93.89475651930087</v>
      </c>
      <c r="C59" s="12">
        <f>INDEX(Prices!C$2:C$247,Inputs!$B$13+ROW()-2)/INDEX(Prices!C$2:C$247,Inputs!$B$13)*100</f>
        <v>94.729109421049898</v>
      </c>
      <c r="D59" s="12">
        <f>INDEX(Prices!D$2:D$247,Inputs!$B$13+ROW()-2)/INDEX(Prices!D$2:D$247,Inputs!$B$13)*100</f>
        <v>100.88279785377206</v>
      </c>
      <c r="E59" s="12">
        <f>INDEX(Prices!E$2:E$247,Inputs!$B$13+ROW()-2)/INDEX(Prices!E$2:E$247,Inputs!$B$13)*100</f>
        <v>95.612015855580495</v>
      </c>
      <c r="F59" s="12">
        <f>INDEX(Prices!F$2:F$247,Inputs!$B$13+ROW()-2)/INDEX(Prices!F$2:F$247,Inputs!$B$13)*100</f>
        <v>96.640972613899862</v>
      </c>
      <c r="G59" s="12">
        <f>INDEX(Prices!G$2:G$247,Inputs!$B$13+ROW()-2)/INDEX(Prices!G$2:G$247,Inputs!$B$13)*100</f>
        <v>92.548442406213852</v>
      </c>
      <c r="H59" s="12">
        <f>INDEX(Prices!H$2:H$247,Inputs!$B$13+ROW()-2)/INDEX(Prices!H$2:H$247,Inputs!$B$13)*100</f>
        <v>93.915580619070482</v>
      </c>
    </row>
    <row r="60" spans="1:8" x14ac:dyDescent="0.25">
      <c r="A60" s="10">
        <f>INDEX(Prices!$A$2:$A$247,Inputs!$B$13+ROW()-2)</f>
        <v>46303</v>
      </c>
      <c r="B60" s="12">
        <f>INDEX(Prices!B$2:B$247,Inputs!$B$13+ROW()-2)/INDEX(Prices!B$2:B$247,Inputs!$B$13)*100</f>
        <v>92.352556313674171</v>
      </c>
      <c r="C60" s="12">
        <f>INDEX(Prices!C$2:C$247,Inputs!$B$13+ROW()-2)/INDEX(Prices!C$2:C$247,Inputs!$B$13)*100</f>
        <v>92.336099733994828</v>
      </c>
      <c r="D60" s="12">
        <f>INDEX(Prices!D$2:D$247,Inputs!$B$13+ROW()-2)/INDEX(Prices!D$2:D$247,Inputs!$B$13)*100</f>
        <v>98.520137048290124</v>
      </c>
      <c r="E60" s="12">
        <f>INDEX(Prices!E$2:E$247,Inputs!$B$13+ROW()-2)/INDEX(Prices!E$2:E$247,Inputs!$B$13)*100</f>
        <v>94.673358543648433</v>
      </c>
      <c r="F60" s="12">
        <f>INDEX(Prices!F$2:F$247,Inputs!$B$13+ROW()-2)/INDEX(Prices!F$2:F$247,Inputs!$B$13)*100</f>
        <v>96.567163139827173</v>
      </c>
      <c r="G60" s="12">
        <f>INDEX(Prices!G$2:G$247,Inputs!$B$13+ROW()-2)/INDEX(Prices!G$2:G$247,Inputs!$B$13)*100</f>
        <v>90.683461411336978</v>
      </c>
      <c r="H60" s="12">
        <f>INDEX(Prices!H$2:H$247,Inputs!$B$13+ROW()-2)/INDEX(Prices!H$2:H$247,Inputs!$B$13)*100</f>
        <v>91.576180860781065</v>
      </c>
    </row>
    <row r="61" spans="1:8" x14ac:dyDescent="0.25">
      <c r="A61" s="10">
        <f>INDEX(Prices!$A$2:$A$247,Inputs!$B$13+ROW()-2)</f>
        <v>46304</v>
      </c>
      <c r="B61" s="12">
        <f>INDEX(Prices!B$2:B$247,Inputs!$B$13+ROW()-2)/INDEX(Prices!B$2:B$247,Inputs!$B$13)*100</f>
        <v>93.551629955032141</v>
      </c>
      <c r="C61" s="12">
        <f>INDEX(Prices!C$2:C$247,Inputs!$B$13+ROW()-2)/INDEX(Prices!C$2:C$247,Inputs!$B$13)*100</f>
        <v>93.77946695274521</v>
      </c>
      <c r="D61" s="12">
        <f>INDEX(Prices!D$2:D$247,Inputs!$B$13+ROW()-2)/INDEX(Prices!D$2:D$247,Inputs!$B$13)*100</f>
        <v>99.055918288189275</v>
      </c>
      <c r="E61" s="12">
        <f>INDEX(Prices!E$2:E$247,Inputs!$B$13+ROW()-2)/INDEX(Prices!E$2:E$247,Inputs!$B$13)*100</f>
        <v>95.961255421592597</v>
      </c>
      <c r="F61" s="12">
        <f>INDEX(Prices!F$2:F$247,Inputs!$B$13+ROW()-2)/INDEX(Prices!F$2:F$247,Inputs!$B$13)*100</f>
        <v>99.485770786767219</v>
      </c>
      <c r="G61" s="12">
        <f>INDEX(Prices!G$2:G$247,Inputs!$B$13+ROW()-2)/INDEX(Prices!G$2:G$247,Inputs!$B$13)*100</f>
        <v>92.679412493802687</v>
      </c>
      <c r="H61" s="12">
        <f>INDEX(Prices!H$2:H$247,Inputs!$B$13+ROW()-2)/INDEX(Prices!H$2:H$247,Inputs!$B$13)*100</f>
        <v>92.873273796070251</v>
      </c>
    </row>
    <row r="62" spans="1:8" x14ac:dyDescent="0.25">
      <c r="A62" s="10">
        <f>INDEX(Prices!$A$2:$A$247,Inputs!$B$13+ROW()-2)</f>
        <v>46307</v>
      </c>
      <c r="B62" s="12">
        <f>INDEX(Prices!B$2:B$247,Inputs!$B$13+ROW()-2)/INDEX(Prices!B$2:B$247,Inputs!$B$13)*100</f>
        <v>92.899024830981077</v>
      </c>
      <c r="C62" s="12">
        <f>INDEX(Prices!C$2:C$247,Inputs!$B$13+ROW()-2)/INDEX(Prices!C$2:C$247,Inputs!$B$13)*100</f>
        <v>93.854841732902088</v>
      </c>
      <c r="D62" s="12">
        <f>INDEX(Prices!D$2:D$247,Inputs!$B$13+ROW()-2)/INDEX(Prices!D$2:D$247,Inputs!$B$13)*100</f>
        <v>100.46311978796302</v>
      </c>
      <c r="E62" s="12">
        <f>INDEX(Prices!E$2:E$247,Inputs!$B$13+ROW()-2)/INDEX(Prices!E$2:E$247,Inputs!$B$13)*100</f>
        <v>95.373140160379293</v>
      </c>
      <c r="F62" s="12">
        <f>INDEX(Prices!F$2:F$247,Inputs!$B$13+ROW()-2)/INDEX(Prices!F$2:F$247,Inputs!$B$13)*100</f>
        <v>98.701371045796691</v>
      </c>
      <c r="G62" s="12">
        <f>INDEX(Prices!G$2:G$247,Inputs!$B$13+ROW()-2)/INDEX(Prices!G$2:G$247,Inputs!$B$13)*100</f>
        <v>91.128325896546031</v>
      </c>
      <c r="H62" s="12">
        <f>INDEX(Prices!H$2:H$247,Inputs!$B$13+ROW()-2)/INDEX(Prices!H$2:H$247,Inputs!$B$13)*100</f>
        <v>93.711975881244285</v>
      </c>
    </row>
    <row r="63" spans="1:8" x14ac:dyDescent="0.25">
      <c r="A63" s="10">
        <f>INDEX(Prices!$A$2:$A$247,Inputs!$B$13+ROW()-2)</f>
        <v>46308</v>
      </c>
      <c r="B63" s="12">
        <f>INDEX(Prices!B$2:B$247,Inputs!$B$13+ROW()-2)/INDEX(Prices!B$2:B$247,Inputs!$B$13)*100</f>
        <v>94.388675992564202</v>
      </c>
      <c r="C63" s="12">
        <f>INDEX(Prices!C$2:C$247,Inputs!$B$13+ROW()-2)/INDEX(Prices!C$2:C$247,Inputs!$B$13)*100</f>
        <v>94.851304302743401</v>
      </c>
      <c r="D63" s="12">
        <f>INDEX(Prices!D$2:D$247,Inputs!$B$13+ROW()-2)/INDEX(Prices!D$2:D$247,Inputs!$B$13)*100</f>
        <v>100.57482707350185</v>
      </c>
      <c r="E63" s="12">
        <f>INDEX(Prices!E$2:E$247,Inputs!$B$13+ROW()-2)/INDEX(Prices!E$2:E$247,Inputs!$B$13)*100</f>
        <v>96.350958845824891</v>
      </c>
      <c r="F63" s="12">
        <f>INDEX(Prices!F$2:F$247,Inputs!$B$13+ROW()-2)/INDEX(Prices!F$2:F$247,Inputs!$B$13)*100</f>
        <v>103.85584870450447</v>
      </c>
      <c r="G63" s="12">
        <f>INDEX(Prices!G$2:G$247,Inputs!$B$13+ROW()-2)/INDEX(Prices!G$2:G$247,Inputs!$B$13)*100</f>
        <v>92.404457940836224</v>
      </c>
      <c r="H63" s="12">
        <f>INDEX(Prices!H$2:H$247,Inputs!$B$13+ROW()-2)/INDEX(Prices!H$2:H$247,Inputs!$B$13)*100</f>
        <v>94.860568113256534</v>
      </c>
    </row>
    <row r="64" spans="1:8" x14ac:dyDescent="0.25">
      <c r="A64" s="10">
        <f>INDEX(Prices!$A$2:$A$247,Inputs!$B$13+ROW()-2)</f>
        <v>46309</v>
      </c>
      <c r="B64" s="12">
        <f>INDEX(Prices!B$2:B$247,Inputs!$B$13+ROW()-2)/INDEX(Prices!B$2:B$247,Inputs!$B$13)*100</f>
        <v>93.976384085740108</v>
      </c>
      <c r="C64" s="12">
        <f>INDEX(Prices!C$2:C$247,Inputs!$B$13+ROW()-2)/INDEX(Prices!C$2:C$247,Inputs!$B$13)*100</f>
        <v>94.771383107275454</v>
      </c>
      <c r="D64" s="12">
        <f>INDEX(Prices!D$2:D$247,Inputs!$B$13+ROW()-2)/INDEX(Prices!D$2:D$247,Inputs!$B$13)*100</f>
        <v>100.25108281078286</v>
      </c>
      <c r="E64" s="12">
        <f>INDEX(Prices!E$2:E$247,Inputs!$B$13+ROW()-2)/INDEX(Prices!E$2:E$247,Inputs!$B$13)*100</f>
        <v>96.064325378046192</v>
      </c>
      <c r="F64" s="12">
        <f>INDEX(Prices!F$2:F$247,Inputs!$B$13+ROW()-2)/INDEX(Prices!F$2:F$247,Inputs!$B$13)*100</f>
        <v>105.04271897390905</v>
      </c>
      <c r="G64" s="12">
        <f>INDEX(Prices!G$2:G$247,Inputs!$B$13+ROW()-2)/INDEX(Prices!G$2:G$247,Inputs!$B$13)*100</f>
        <v>93.521112212857375</v>
      </c>
      <c r="H64" s="12">
        <f>INDEX(Prices!H$2:H$247,Inputs!$B$13+ROW()-2)/INDEX(Prices!H$2:H$247,Inputs!$B$13)*100</f>
        <v>93.982265840541999</v>
      </c>
    </row>
    <row r="65" spans="1:8" x14ac:dyDescent="0.25">
      <c r="A65" s="10">
        <f>INDEX(Prices!$A$2:$A$247,Inputs!$B$13+ROW()-2)</f>
        <v>46310</v>
      </c>
      <c r="B65" s="12">
        <f>INDEX(Prices!B$2:B$247,Inputs!$B$13+ROW()-2)/INDEX(Prices!B$2:B$247,Inputs!$B$13)*100</f>
        <v>95.532708145101822</v>
      </c>
      <c r="C65" s="12">
        <f>INDEX(Prices!C$2:C$247,Inputs!$B$13+ROW()-2)/INDEX(Prices!C$2:C$247,Inputs!$B$13)*100</f>
        <v>94.433432902487368</v>
      </c>
      <c r="D65" s="12">
        <f>INDEX(Prices!D$2:D$247,Inputs!$B$13+ROW()-2)/INDEX(Prices!D$2:D$247,Inputs!$B$13)*100</f>
        <v>98.942142349214564</v>
      </c>
      <c r="E65" s="12">
        <f>INDEX(Prices!E$2:E$247,Inputs!$B$13+ROW()-2)/INDEX(Prices!E$2:E$247,Inputs!$B$13)*100</f>
        <v>96.923096961303173</v>
      </c>
      <c r="F65" s="12">
        <f>INDEX(Prices!F$2:F$247,Inputs!$B$13+ROW()-2)/INDEX(Prices!F$2:F$247,Inputs!$B$13)*100</f>
        <v>106.95340951028112</v>
      </c>
      <c r="G65" s="12">
        <f>INDEX(Prices!G$2:G$247,Inputs!$B$13+ROW()-2)/INDEX(Prices!G$2:G$247,Inputs!$B$13)*100</f>
        <v>92.529437283093714</v>
      </c>
      <c r="H65" s="12">
        <f>INDEX(Prices!H$2:H$247,Inputs!$B$13+ROW()-2)/INDEX(Prices!H$2:H$247,Inputs!$B$13)*100</f>
        <v>95.550022321803823</v>
      </c>
    </row>
    <row r="66" spans="1:8" x14ac:dyDescent="0.25">
      <c r="A66" s="10">
        <f>INDEX(Prices!$A$2:$A$247,Inputs!$B$13+ROW()-2)</f>
        <v>46311</v>
      </c>
      <c r="B66" s="12">
        <f>INDEX(Prices!B$2:B$247,Inputs!$B$13+ROW()-2)/INDEX(Prices!B$2:B$247,Inputs!$B$13)*100</f>
        <v>96.150834449740898</v>
      </c>
      <c r="C66" s="12">
        <f>INDEX(Prices!C$2:C$247,Inputs!$B$13+ROW()-2)/INDEX(Prices!C$2:C$247,Inputs!$B$13)*100</f>
        <v>94.325754645120384</v>
      </c>
      <c r="D66" s="12">
        <f>INDEX(Prices!D$2:D$247,Inputs!$B$13+ROW()-2)/INDEX(Prices!D$2:D$247,Inputs!$B$13)*100</f>
        <v>98.93231624539402</v>
      </c>
      <c r="E66" s="12">
        <f>INDEX(Prices!E$2:E$247,Inputs!$B$13+ROW()-2)/INDEX(Prices!E$2:E$247,Inputs!$B$13)*100</f>
        <v>96.981274611533934</v>
      </c>
      <c r="F66" s="12">
        <f>INDEX(Prices!F$2:F$247,Inputs!$B$13+ROW()-2)/INDEX(Prices!F$2:F$247,Inputs!$B$13)*100</f>
        <v>111.14627505866461</v>
      </c>
      <c r="G66" s="12">
        <f>INDEX(Prices!G$2:G$247,Inputs!$B$13+ROW()-2)/INDEX(Prices!G$2:G$247,Inputs!$B$13)*100</f>
        <v>92.166893901834413</v>
      </c>
      <c r="H66" s="12">
        <f>INDEX(Prices!H$2:H$247,Inputs!$B$13+ROW()-2)/INDEX(Prices!H$2:H$247,Inputs!$B$13)*100</f>
        <v>96.267682324306861</v>
      </c>
    </row>
    <row r="68" spans="1:8" x14ac:dyDescent="0.25">
      <c r="A68" s="1" t="s">
        <v>68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8"/>
  <sheetViews>
    <sheetView showGridLines="0" zoomScaleNormal="100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K53" sqref="K53"/>
    </sheetView>
  </sheetViews>
  <sheetFormatPr defaultColWidth="8.7109375" defaultRowHeight="15" x14ac:dyDescent="0.25"/>
  <cols>
    <col min="1" max="1" width="11.5703125" customWidth="1"/>
    <col min="2" max="8" width="15" customWidth="1"/>
  </cols>
  <sheetData>
    <row r="1" spans="1:8" ht="30" customHeight="1" x14ac:dyDescent="0.25">
      <c r="A1" s="19" t="s">
        <v>60</v>
      </c>
      <c r="B1" s="20" t="s">
        <v>61</v>
      </c>
      <c r="C1" s="20" t="s">
        <v>62</v>
      </c>
      <c r="D1" s="20" t="s">
        <v>63</v>
      </c>
      <c r="E1" s="20" t="s">
        <v>64</v>
      </c>
      <c r="F1" s="20" t="s">
        <v>65</v>
      </c>
      <c r="G1" s="20" t="s">
        <v>66</v>
      </c>
      <c r="H1" s="20" t="s">
        <v>67</v>
      </c>
    </row>
    <row r="2" spans="1:8" x14ac:dyDescent="0.25">
      <c r="A2" s="18">
        <f>INDEX(Prices!$A$2:$A$247,Inputs!$B$13+ROW()-2)</f>
        <v>46219</v>
      </c>
      <c r="B2" s="11">
        <f>INDEX(Prices!B$2:B$247,Inputs!$B$13+ROW()-2)/MAX(INDEX(Prices!B$2:B$247,Inputs!$B$13):INDEX(Prices!B$2:B$247,Inputs!$B$13+ROW()-2))-1</f>
        <v>0</v>
      </c>
      <c r="C2" s="11">
        <f>INDEX(Prices!C$2:C$247,Inputs!$B$13+ROW()-2)/MAX(INDEX(Prices!C$2:C$247,Inputs!$B$13):INDEX(Prices!C$2:C$247,Inputs!$B$13+ROW()-2))-1</f>
        <v>0</v>
      </c>
      <c r="D2" s="11">
        <f>INDEX(Prices!D$2:D$247,Inputs!$B$13+ROW()-2)/MAX(INDEX(Prices!D$2:D$247,Inputs!$B$13):INDEX(Prices!D$2:D$247,Inputs!$B$13+ROW()-2))-1</f>
        <v>0</v>
      </c>
      <c r="E2" s="11">
        <f>INDEX(Prices!E$2:E$247,Inputs!$B$13+ROW()-2)/MAX(INDEX(Prices!E$2:E$247,Inputs!$B$13):INDEX(Prices!E$2:E$247,Inputs!$B$13+ROW()-2))-1</f>
        <v>0</v>
      </c>
      <c r="F2" s="11">
        <f>INDEX(Prices!F$2:F$247,Inputs!$B$13+ROW()-2)/MAX(INDEX(Prices!F$2:F$247,Inputs!$B$13):INDEX(Prices!F$2:F$247,Inputs!$B$13+ROW()-2))-1</f>
        <v>0</v>
      </c>
      <c r="G2" s="11">
        <f>INDEX(Prices!G$2:G$247,Inputs!$B$13+ROW()-2)/MAX(INDEX(Prices!G$2:G$247,Inputs!$B$13):INDEX(Prices!G$2:G$247,Inputs!$B$13+ROW()-2))-1</f>
        <v>0</v>
      </c>
      <c r="H2" s="11">
        <f>INDEX(Prices!H$2:H$247,Inputs!$B$13+ROW()-2)/MAX(INDEX(Prices!H$2:H$247,Inputs!$B$13):INDEX(Prices!H$2:H$247,Inputs!$B$13+ROW()-2))-1</f>
        <v>0</v>
      </c>
    </row>
    <row r="3" spans="1:8" x14ac:dyDescent="0.25">
      <c r="A3" s="18">
        <f>INDEX(Prices!$A$2:$A$247,Inputs!$B$13+ROW()-2)</f>
        <v>46220</v>
      </c>
      <c r="B3" s="11">
        <f>INDEX(Prices!B$2:B$247,Inputs!$B$13+ROW()-2)/MAX(INDEX(Prices!B$2:B$247,Inputs!$B$13):INDEX(Prices!B$2:B$247,Inputs!$B$13+ROW()-2))-1</f>
        <v>0</v>
      </c>
      <c r="C3" s="11">
        <f>INDEX(Prices!C$2:C$247,Inputs!$B$13+ROW()-2)/MAX(INDEX(Prices!C$2:C$247,Inputs!$B$13):INDEX(Prices!C$2:C$247,Inputs!$B$13+ROW()-2))-1</f>
        <v>-4.1268689156799265E-3</v>
      </c>
      <c r="D3" s="11">
        <f>INDEX(Prices!D$2:D$247,Inputs!$B$13+ROW()-2)/MAX(INDEX(Prices!D$2:D$247,Inputs!$B$13):INDEX(Prices!D$2:D$247,Inputs!$B$13+ROW()-2))-1</f>
        <v>-2.0660676191092131E-3</v>
      </c>
      <c r="E3" s="11">
        <f>INDEX(Prices!E$2:E$247,Inputs!$B$13+ROW()-2)/MAX(INDEX(Prices!E$2:E$247,Inputs!$B$13):INDEX(Prices!E$2:E$247,Inputs!$B$13+ROW()-2))-1</f>
        <v>0</v>
      </c>
      <c r="F3" s="11">
        <f>INDEX(Prices!F$2:F$247,Inputs!$B$13+ROW()-2)/MAX(INDEX(Prices!F$2:F$247,Inputs!$B$13):INDEX(Prices!F$2:F$247,Inputs!$B$13+ROW()-2))-1</f>
        <v>0</v>
      </c>
      <c r="G3" s="11">
        <f>INDEX(Prices!G$2:G$247,Inputs!$B$13+ROW()-2)/MAX(INDEX(Prices!G$2:G$247,Inputs!$B$13):INDEX(Prices!G$2:G$247,Inputs!$B$13+ROW()-2))-1</f>
        <v>0</v>
      </c>
      <c r="H3" s="11">
        <f>INDEX(Prices!H$2:H$247,Inputs!$B$13+ROW()-2)/MAX(INDEX(Prices!H$2:H$247,Inputs!$B$13):INDEX(Prices!H$2:H$247,Inputs!$B$13+ROW()-2))-1</f>
        <v>0</v>
      </c>
    </row>
    <row r="4" spans="1:8" x14ac:dyDescent="0.25">
      <c r="A4" s="18">
        <f>INDEX(Prices!$A$2:$A$247,Inputs!$B$13+ROW()-2)</f>
        <v>46223</v>
      </c>
      <c r="B4" s="11">
        <f>INDEX(Prices!B$2:B$247,Inputs!$B$13+ROW()-2)/MAX(INDEX(Prices!B$2:B$247,Inputs!$B$13):INDEX(Prices!B$2:B$247,Inputs!$B$13+ROW()-2))-1</f>
        <v>-3.9368299067571444E-3</v>
      </c>
      <c r="C4" s="11">
        <f>INDEX(Prices!C$2:C$247,Inputs!$B$13+ROW()-2)/MAX(INDEX(Prices!C$2:C$247,Inputs!$B$13):INDEX(Prices!C$2:C$247,Inputs!$B$13+ROW()-2))-1</f>
        <v>0</v>
      </c>
      <c r="D4" s="11">
        <f>INDEX(Prices!D$2:D$247,Inputs!$B$13+ROW()-2)/MAX(INDEX(Prices!D$2:D$247,Inputs!$B$13):INDEX(Prices!D$2:D$247,Inputs!$B$13+ROW()-2))-1</f>
        <v>-5.0682009179647824E-4</v>
      </c>
      <c r="E4" s="11">
        <f>INDEX(Prices!E$2:E$247,Inputs!$B$13+ROW()-2)/MAX(INDEX(Prices!E$2:E$247,Inputs!$B$13):INDEX(Prices!E$2:E$247,Inputs!$B$13+ROW()-2))-1</f>
        <v>-9.8493884288483047E-3</v>
      </c>
      <c r="F4" s="11">
        <f>INDEX(Prices!F$2:F$247,Inputs!$B$13+ROW()-2)/MAX(INDEX(Prices!F$2:F$247,Inputs!$B$13):INDEX(Prices!F$2:F$247,Inputs!$B$13+ROW()-2))-1</f>
        <v>-2.2154475717326427E-3</v>
      </c>
      <c r="G4" s="11">
        <f>INDEX(Prices!G$2:G$247,Inputs!$B$13+ROW()-2)/MAX(INDEX(Prices!G$2:G$247,Inputs!$B$13):INDEX(Prices!G$2:G$247,Inputs!$B$13+ROW()-2))-1</f>
        <v>0</v>
      </c>
      <c r="H4" s="11">
        <f>INDEX(Prices!H$2:H$247,Inputs!$B$13+ROW()-2)/MAX(INDEX(Prices!H$2:H$247,Inputs!$B$13):INDEX(Prices!H$2:H$247,Inputs!$B$13+ROW()-2))-1</f>
        <v>-2.6347106523123554E-3</v>
      </c>
    </row>
    <row r="5" spans="1:8" x14ac:dyDescent="0.25">
      <c r="A5" s="18">
        <f>INDEX(Prices!$A$2:$A$247,Inputs!$B$13+ROW()-2)</f>
        <v>46224</v>
      </c>
      <c r="B5" s="11">
        <f>INDEX(Prices!B$2:B$247,Inputs!$B$13+ROW()-2)/MAX(INDEX(Prices!B$2:B$247,Inputs!$B$13):INDEX(Prices!B$2:B$247,Inputs!$B$13+ROW()-2))-1</f>
        <v>-6.0244182080437803E-3</v>
      </c>
      <c r="C5" s="11">
        <f>INDEX(Prices!C$2:C$247,Inputs!$B$13+ROW()-2)/MAX(INDEX(Prices!C$2:C$247,Inputs!$B$13):INDEX(Prices!C$2:C$247,Inputs!$B$13+ROW()-2))-1</f>
        <v>0</v>
      </c>
      <c r="D5" s="11">
        <f>INDEX(Prices!D$2:D$247,Inputs!$B$13+ROW()-2)/MAX(INDEX(Prices!D$2:D$247,Inputs!$B$13):INDEX(Prices!D$2:D$247,Inputs!$B$13+ROW()-2))-1</f>
        <v>0</v>
      </c>
      <c r="E5" s="11">
        <f>INDEX(Prices!E$2:E$247,Inputs!$B$13+ROW()-2)/MAX(INDEX(Prices!E$2:E$247,Inputs!$B$13):INDEX(Prices!E$2:E$247,Inputs!$B$13+ROW()-2))-1</f>
        <v>-1.1723061990998263E-2</v>
      </c>
      <c r="F5" s="11">
        <f>INDEX(Prices!F$2:F$247,Inputs!$B$13+ROW()-2)/MAX(INDEX(Prices!F$2:F$247,Inputs!$B$13):INDEX(Prices!F$2:F$247,Inputs!$B$13+ROW()-2))-1</f>
        <v>-8.2869714575077857E-3</v>
      </c>
      <c r="G5" s="11">
        <f>INDEX(Prices!G$2:G$247,Inputs!$B$13+ROW()-2)/MAX(INDEX(Prices!G$2:G$247,Inputs!$B$13):INDEX(Prices!G$2:G$247,Inputs!$B$13+ROW()-2))-1</f>
        <v>-3.0621114404763006E-3</v>
      </c>
      <c r="H5" s="11">
        <f>INDEX(Prices!H$2:H$247,Inputs!$B$13+ROW()-2)/MAX(INDEX(Prices!H$2:H$247,Inputs!$B$13):INDEX(Prices!H$2:H$247,Inputs!$B$13+ROW()-2))-1</f>
        <v>0</v>
      </c>
    </row>
    <row r="6" spans="1:8" x14ac:dyDescent="0.25">
      <c r="A6" s="18">
        <f>INDEX(Prices!$A$2:$A$247,Inputs!$B$13+ROW()-2)</f>
        <v>46225</v>
      </c>
      <c r="B6" s="11">
        <f>INDEX(Prices!B$2:B$247,Inputs!$B$13+ROW()-2)/MAX(INDEX(Prices!B$2:B$247,Inputs!$B$13):INDEX(Prices!B$2:B$247,Inputs!$B$13+ROW()-2))-1</f>
        <v>-1.3891913882873141E-2</v>
      </c>
      <c r="C6" s="11">
        <f>INDEX(Prices!C$2:C$247,Inputs!$B$13+ROW()-2)/MAX(INDEX(Prices!C$2:C$247,Inputs!$B$13):INDEX(Prices!C$2:C$247,Inputs!$B$13+ROW()-2))-1</f>
        <v>-1.0906908661387327E-2</v>
      </c>
      <c r="D6" s="11">
        <f>INDEX(Prices!D$2:D$247,Inputs!$B$13+ROW()-2)/MAX(INDEX(Prices!D$2:D$247,Inputs!$B$13):INDEX(Prices!D$2:D$247,Inputs!$B$13+ROW()-2))-1</f>
        <v>-1.5379824532055442E-2</v>
      </c>
      <c r="E6" s="11">
        <f>INDEX(Prices!E$2:E$247,Inputs!$B$13+ROW()-2)/MAX(INDEX(Prices!E$2:E$247,Inputs!$B$13):INDEX(Prices!E$2:E$247,Inputs!$B$13+ROW()-2))-1</f>
        <v>-2.3830598721151564E-2</v>
      </c>
      <c r="F6" s="11">
        <f>INDEX(Prices!F$2:F$247,Inputs!$B$13+ROW()-2)/MAX(INDEX(Prices!F$2:F$247,Inputs!$B$13):INDEX(Prices!F$2:F$247,Inputs!$B$13+ROW()-2))-1</f>
        <v>-2.3155276357838428E-2</v>
      </c>
      <c r="G6" s="11">
        <f>INDEX(Prices!G$2:G$247,Inputs!$B$13+ROW()-2)/MAX(INDEX(Prices!G$2:G$247,Inputs!$B$13):INDEX(Prices!G$2:G$247,Inputs!$B$13+ROW()-2))-1</f>
        <v>0</v>
      </c>
      <c r="H6" s="11">
        <f>INDEX(Prices!H$2:H$247,Inputs!$B$13+ROW()-2)/MAX(INDEX(Prices!H$2:H$247,Inputs!$B$13):INDEX(Prices!H$2:H$247,Inputs!$B$13+ROW()-2))-1</f>
        <v>0</v>
      </c>
    </row>
    <row r="7" spans="1:8" x14ac:dyDescent="0.25">
      <c r="A7" s="18">
        <f>INDEX(Prices!$A$2:$A$247,Inputs!$B$13+ROW()-2)</f>
        <v>46226</v>
      </c>
      <c r="B7" s="11">
        <f>INDEX(Prices!B$2:B$247,Inputs!$B$13+ROW()-2)/MAX(INDEX(Prices!B$2:B$247,Inputs!$B$13):INDEX(Prices!B$2:B$247,Inputs!$B$13+ROW()-2))-1</f>
        <v>-1.9096501645825104E-2</v>
      </c>
      <c r="C7" s="11">
        <f>INDEX(Prices!C$2:C$247,Inputs!$B$13+ROW()-2)/MAX(INDEX(Prices!C$2:C$247,Inputs!$B$13):INDEX(Prices!C$2:C$247,Inputs!$B$13+ROW()-2))-1</f>
        <v>-2.0680260876744017E-2</v>
      </c>
      <c r="D7" s="11">
        <f>INDEX(Prices!D$2:D$247,Inputs!$B$13+ROW()-2)/MAX(INDEX(Prices!D$2:D$247,Inputs!$B$13):INDEX(Prices!D$2:D$247,Inputs!$B$13+ROW()-2))-1</f>
        <v>-2.5308767477950744E-2</v>
      </c>
      <c r="E7" s="11">
        <f>INDEX(Prices!E$2:E$247,Inputs!$B$13+ROW()-2)/MAX(INDEX(Prices!E$2:E$247,Inputs!$B$13):INDEX(Prices!E$2:E$247,Inputs!$B$13+ROW()-2))-1</f>
        <v>-3.2969136076717254E-2</v>
      </c>
      <c r="F7" s="11">
        <f>INDEX(Prices!F$2:F$247,Inputs!$B$13+ROW()-2)/MAX(INDEX(Prices!F$2:F$247,Inputs!$B$13):INDEX(Prices!F$2:F$247,Inputs!$B$13+ROW()-2))-1</f>
        <v>-2.37129874840043E-2</v>
      </c>
      <c r="G7" s="11">
        <f>INDEX(Prices!G$2:G$247,Inputs!$B$13+ROW()-2)/MAX(INDEX(Prices!G$2:G$247,Inputs!$B$13):INDEX(Prices!G$2:G$247,Inputs!$B$13+ROW()-2))-1</f>
        <v>-4.0744366674927424E-3</v>
      </c>
      <c r="H7" s="11">
        <f>INDEX(Prices!H$2:H$247,Inputs!$B$13+ROW()-2)/MAX(INDEX(Prices!H$2:H$247,Inputs!$B$13):INDEX(Prices!H$2:H$247,Inputs!$B$13+ROW()-2))-1</f>
        <v>0</v>
      </c>
    </row>
    <row r="8" spans="1:8" x14ac:dyDescent="0.25">
      <c r="A8" s="18">
        <f>INDEX(Prices!$A$2:$A$247,Inputs!$B$13+ROW()-2)</f>
        <v>46227</v>
      </c>
      <c r="B8" s="11">
        <f>INDEX(Prices!B$2:B$247,Inputs!$B$13+ROW()-2)/MAX(INDEX(Prices!B$2:B$247,Inputs!$B$13):INDEX(Prices!B$2:B$247,Inputs!$B$13+ROW()-2))-1</f>
        <v>-2.3294280090242925E-2</v>
      </c>
      <c r="C8" s="11">
        <f>INDEX(Prices!C$2:C$247,Inputs!$B$13+ROW()-2)/MAX(INDEX(Prices!C$2:C$247,Inputs!$B$13):INDEX(Prices!C$2:C$247,Inputs!$B$13+ROW()-2))-1</f>
        <v>-2.1674901091643384E-2</v>
      </c>
      <c r="D8" s="11">
        <f>INDEX(Prices!D$2:D$247,Inputs!$B$13+ROW()-2)/MAX(INDEX(Prices!D$2:D$247,Inputs!$B$13):INDEX(Prices!D$2:D$247,Inputs!$B$13+ROW()-2))-1</f>
        <v>-2.8469146414591195E-2</v>
      </c>
      <c r="E8" s="11">
        <f>INDEX(Prices!E$2:E$247,Inputs!$B$13+ROW()-2)/MAX(INDEX(Prices!E$2:E$247,Inputs!$B$13):INDEX(Prices!E$2:E$247,Inputs!$B$13+ROW()-2))-1</f>
        <v>-3.1234727808972518E-2</v>
      </c>
      <c r="F8" s="11">
        <f>INDEX(Prices!F$2:F$247,Inputs!$B$13+ROW()-2)/MAX(INDEX(Prices!F$2:F$247,Inputs!$B$13):INDEX(Prices!F$2:F$247,Inputs!$B$13+ROW()-2))-1</f>
        <v>-1.5692896197299633E-2</v>
      </c>
      <c r="G8" s="11">
        <f>INDEX(Prices!G$2:G$247,Inputs!$B$13+ROW()-2)/MAX(INDEX(Prices!G$2:G$247,Inputs!$B$13):INDEX(Prices!G$2:G$247,Inputs!$B$13+ROW()-2))-1</f>
        <v>-3.6661805507598455E-3</v>
      </c>
      <c r="H8" s="11">
        <f>INDEX(Prices!H$2:H$247,Inputs!$B$13+ROW()-2)/MAX(INDEX(Prices!H$2:H$247,Inputs!$B$13):INDEX(Prices!H$2:H$247,Inputs!$B$13+ROW()-2))-1</f>
        <v>-1.1004403941745844E-2</v>
      </c>
    </row>
    <row r="9" spans="1:8" x14ac:dyDescent="0.25">
      <c r="A9" s="18">
        <f>INDEX(Prices!$A$2:$A$247,Inputs!$B$13+ROW()-2)</f>
        <v>46230</v>
      </c>
      <c r="B9" s="11">
        <f>INDEX(Prices!B$2:B$247,Inputs!$B$13+ROW()-2)/MAX(INDEX(Prices!B$2:B$247,Inputs!$B$13):INDEX(Prices!B$2:B$247,Inputs!$B$13+ROW()-2))-1</f>
        <v>-1.3904242160242886E-2</v>
      </c>
      <c r="C9" s="11">
        <f>INDEX(Prices!C$2:C$247,Inputs!$B$13+ROW()-2)/MAX(INDEX(Prices!C$2:C$247,Inputs!$B$13):INDEX(Prices!C$2:C$247,Inputs!$B$13+ROW()-2))-1</f>
        <v>-1.085848643225007E-2</v>
      </c>
      <c r="D9" s="11">
        <f>INDEX(Prices!D$2:D$247,Inputs!$B$13+ROW()-2)/MAX(INDEX(Prices!D$2:D$247,Inputs!$B$13):INDEX(Prices!D$2:D$247,Inputs!$B$13+ROW()-2))-1</f>
        <v>-1.5722113130242188E-2</v>
      </c>
      <c r="E9" s="11">
        <f>INDEX(Prices!E$2:E$247,Inputs!$B$13+ROW()-2)/MAX(INDEX(Prices!E$2:E$247,Inputs!$B$13):INDEX(Prices!E$2:E$247,Inputs!$B$13+ROW()-2))-1</f>
        <v>-2.4507274262064893E-2</v>
      </c>
      <c r="F9" s="11">
        <f>INDEX(Prices!F$2:F$247,Inputs!$B$13+ROW()-2)/MAX(INDEX(Prices!F$2:F$247,Inputs!$B$13):INDEX(Prices!F$2:F$247,Inputs!$B$13+ROW()-2))-1</f>
        <v>0</v>
      </c>
      <c r="G9" s="11">
        <f>INDEX(Prices!G$2:G$247,Inputs!$B$13+ROW()-2)/MAX(INDEX(Prices!G$2:G$247,Inputs!$B$13):INDEX(Prices!G$2:G$247,Inputs!$B$13+ROW()-2))-1</f>
        <v>0</v>
      </c>
      <c r="H9" s="11">
        <f>INDEX(Prices!H$2:H$247,Inputs!$B$13+ROW()-2)/MAX(INDEX(Prices!H$2:H$247,Inputs!$B$13):INDEX(Prices!H$2:H$247,Inputs!$B$13+ROW()-2))-1</f>
        <v>0</v>
      </c>
    </row>
    <row r="10" spans="1:8" x14ac:dyDescent="0.25">
      <c r="A10" s="18">
        <f>INDEX(Prices!$A$2:$A$247,Inputs!$B$13+ROW()-2)</f>
        <v>46231</v>
      </c>
      <c r="B10" s="11">
        <f>INDEX(Prices!B$2:B$247,Inputs!$B$13+ROW()-2)/MAX(INDEX(Prices!B$2:B$247,Inputs!$B$13):INDEX(Prices!B$2:B$247,Inputs!$B$13+ROW()-2))-1</f>
        <v>-1.433984129397603E-2</v>
      </c>
      <c r="C10" s="11">
        <f>INDEX(Prices!C$2:C$247,Inputs!$B$13+ROW()-2)/MAX(INDEX(Prices!C$2:C$247,Inputs!$B$13):INDEX(Prices!C$2:C$247,Inputs!$B$13+ROW()-2))-1</f>
        <v>-1.009881309972116E-2</v>
      </c>
      <c r="D10" s="11">
        <f>INDEX(Prices!D$2:D$247,Inputs!$B$13+ROW()-2)/MAX(INDEX(Prices!D$2:D$247,Inputs!$B$13):INDEX(Prices!D$2:D$247,Inputs!$B$13+ROW()-2))-1</f>
        <v>-1.78787886586661E-2</v>
      </c>
      <c r="E10" s="11">
        <f>INDEX(Prices!E$2:E$247,Inputs!$B$13+ROW()-2)/MAX(INDEX(Prices!E$2:E$247,Inputs!$B$13):INDEX(Prices!E$2:E$247,Inputs!$B$13+ROW()-2))-1</f>
        <v>-3.0173577528904039E-2</v>
      </c>
      <c r="F10" s="11">
        <f>INDEX(Prices!F$2:F$247,Inputs!$B$13+ROW()-2)/MAX(INDEX(Prices!F$2:F$247,Inputs!$B$13):INDEX(Prices!F$2:F$247,Inputs!$B$13+ROW()-2))-1</f>
        <v>0</v>
      </c>
      <c r="G10" s="11">
        <f>INDEX(Prices!G$2:G$247,Inputs!$B$13+ROW()-2)/MAX(INDEX(Prices!G$2:G$247,Inputs!$B$13):INDEX(Prices!G$2:G$247,Inputs!$B$13+ROW()-2))-1</f>
        <v>-1.379204596810657E-2</v>
      </c>
      <c r="H10" s="11">
        <f>INDEX(Prices!H$2:H$247,Inputs!$B$13+ROW()-2)/MAX(INDEX(Prices!H$2:H$247,Inputs!$B$13):INDEX(Prices!H$2:H$247,Inputs!$B$13+ROW()-2))-1</f>
        <v>0</v>
      </c>
    </row>
    <row r="11" spans="1:8" x14ac:dyDescent="0.25">
      <c r="A11" s="18">
        <f>INDEX(Prices!$A$2:$A$247,Inputs!$B$13+ROW()-2)</f>
        <v>46232</v>
      </c>
      <c r="B11" s="11">
        <f>INDEX(Prices!B$2:B$247,Inputs!$B$13+ROW()-2)/MAX(INDEX(Prices!B$2:B$247,Inputs!$B$13):INDEX(Prices!B$2:B$247,Inputs!$B$13+ROW()-2))-1</f>
        <v>-3.45602708933479E-3</v>
      </c>
      <c r="C11" s="11">
        <f>INDEX(Prices!C$2:C$247,Inputs!$B$13+ROW()-2)/MAX(INDEX(Prices!C$2:C$247,Inputs!$B$13):INDEX(Prices!C$2:C$247,Inputs!$B$13+ROW()-2))-1</f>
        <v>-1.9900742368338387E-3</v>
      </c>
      <c r="D11" s="11">
        <f>INDEX(Prices!D$2:D$247,Inputs!$B$13+ROW()-2)/MAX(INDEX(Prices!D$2:D$247,Inputs!$B$13):INDEX(Prices!D$2:D$247,Inputs!$B$13+ROW()-2))-1</f>
        <v>-3.3817084061447122E-3</v>
      </c>
      <c r="E11" s="11">
        <f>INDEX(Prices!E$2:E$247,Inputs!$B$13+ROW()-2)/MAX(INDEX(Prices!E$2:E$247,Inputs!$B$13):INDEX(Prices!E$2:E$247,Inputs!$B$13+ROW()-2))-1</f>
        <v>-2.2478956415943552E-2</v>
      </c>
      <c r="F11" s="11">
        <f>INDEX(Prices!F$2:F$247,Inputs!$B$13+ROW()-2)/MAX(INDEX(Prices!F$2:F$247,Inputs!$B$13):INDEX(Prices!F$2:F$247,Inputs!$B$13+ROW()-2))-1</f>
        <v>0</v>
      </c>
      <c r="G11" s="11">
        <f>INDEX(Prices!G$2:G$247,Inputs!$B$13+ROW()-2)/MAX(INDEX(Prices!G$2:G$247,Inputs!$B$13):INDEX(Prices!G$2:G$247,Inputs!$B$13+ROW()-2))-1</f>
        <v>0</v>
      </c>
      <c r="H11" s="11">
        <f>INDEX(Prices!H$2:H$247,Inputs!$B$13+ROW()-2)/MAX(INDEX(Prices!H$2:H$247,Inputs!$B$13):INDEX(Prices!H$2:H$247,Inputs!$B$13+ROW()-2))-1</f>
        <v>-6.446654383904793E-4</v>
      </c>
    </row>
    <row r="12" spans="1:8" x14ac:dyDescent="0.25">
      <c r="A12" s="18">
        <f>INDEX(Prices!$A$2:$A$247,Inputs!$B$13+ROW()-2)</f>
        <v>46233</v>
      </c>
      <c r="B12" s="11">
        <f>INDEX(Prices!B$2:B$247,Inputs!$B$13+ROW()-2)/MAX(INDEX(Prices!B$2:B$247,Inputs!$B$13):INDEX(Prices!B$2:B$247,Inputs!$B$13+ROW()-2))-1</f>
        <v>-7.0476652297368769E-4</v>
      </c>
      <c r="C12" s="11">
        <f>INDEX(Prices!C$2:C$247,Inputs!$B$13+ROW()-2)/MAX(INDEX(Prices!C$2:C$247,Inputs!$B$13):INDEX(Prices!C$2:C$247,Inputs!$B$13+ROW()-2))-1</f>
        <v>-5.4907632613403479E-3</v>
      </c>
      <c r="D12" s="11">
        <f>INDEX(Prices!D$2:D$247,Inputs!$B$13+ROW()-2)/MAX(INDEX(Prices!D$2:D$247,Inputs!$B$13):INDEX(Prices!D$2:D$247,Inputs!$B$13+ROW()-2))-1</f>
        <v>-8.9355339316091742E-3</v>
      </c>
      <c r="E12" s="11">
        <f>INDEX(Prices!E$2:E$247,Inputs!$B$13+ROW()-2)/MAX(INDEX(Prices!E$2:E$247,Inputs!$B$13):INDEX(Prices!E$2:E$247,Inputs!$B$13+ROW()-2))-1</f>
        <v>-2.3476881961128737E-2</v>
      </c>
      <c r="F12" s="11">
        <f>INDEX(Prices!F$2:F$247,Inputs!$B$13+ROW()-2)/MAX(INDEX(Prices!F$2:F$247,Inputs!$B$13):INDEX(Prices!F$2:F$247,Inputs!$B$13+ROW()-2))-1</f>
        <v>0</v>
      </c>
      <c r="G12" s="11">
        <f>INDEX(Prices!G$2:G$247,Inputs!$B$13+ROW()-2)/MAX(INDEX(Prices!G$2:G$247,Inputs!$B$13):INDEX(Prices!G$2:G$247,Inputs!$B$13+ROW()-2))-1</f>
        <v>-9.7805120279159663E-4</v>
      </c>
      <c r="H12" s="11">
        <f>INDEX(Prices!H$2:H$247,Inputs!$B$13+ROW()-2)/MAX(INDEX(Prices!H$2:H$247,Inputs!$B$13):INDEX(Prices!H$2:H$247,Inputs!$B$13+ROW()-2))-1</f>
        <v>0</v>
      </c>
    </row>
    <row r="13" spans="1:8" x14ac:dyDescent="0.25">
      <c r="A13" s="18">
        <f>INDEX(Prices!$A$2:$A$247,Inputs!$B$13+ROW()-2)</f>
        <v>46234</v>
      </c>
      <c r="B13" s="11">
        <f>INDEX(Prices!B$2:B$247,Inputs!$B$13+ROW()-2)/MAX(INDEX(Prices!B$2:B$247,Inputs!$B$13):INDEX(Prices!B$2:B$247,Inputs!$B$13+ROW()-2))-1</f>
        <v>0</v>
      </c>
      <c r="C13" s="11">
        <f>INDEX(Prices!C$2:C$247,Inputs!$B$13+ROW()-2)/MAX(INDEX(Prices!C$2:C$247,Inputs!$B$13):INDEX(Prices!C$2:C$247,Inputs!$B$13+ROW()-2))-1</f>
        <v>-1.1478449726611828E-3</v>
      </c>
      <c r="D13" s="11">
        <f>INDEX(Prices!D$2:D$247,Inputs!$B$13+ROW()-2)/MAX(INDEX(Prices!D$2:D$247,Inputs!$B$13):INDEX(Prices!D$2:D$247,Inputs!$B$13+ROW()-2))-1</f>
        <v>-4.5501221172479234E-3</v>
      </c>
      <c r="E13" s="11">
        <f>INDEX(Prices!E$2:E$247,Inputs!$B$13+ROW()-2)/MAX(INDEX(Prices!E$2:E$247,Inputs!$B$13):INDEX(Prices!E$2:E$247,Inputs!$B$13+ROW()-2))-1</f>
        <v>-2.1471632599356916E-2</v>
      </c>
      <c r="F13" s="11">
        <f>INDEX(Prices!F$2:F$247,Inputs!$B$13+ROW()-2)/MAX(INDEX(Prices!F$2:F$247,Inputs!$B$13):INDEX(Prices!F$2:F$247,Inputs!$B$13+ROW()-2))-1</f>
        <v>-1.5568424612632636E-2</v>
      </c>
      <c r="G13" s="11">
        <f>INDEX(Prices!G$2:G$247,Inputs!$B$13+ROW()-2)/MAX(INDEX(Prices!G$2:G$247,Inputs!$B$13):INDEX(Prices!G$2:G$247,Inputs!$B$13+ROW()-2))-1</f>
        <v>-1.145990241624939E-2</v>
      </c>
      <c r="H13" s="11">
        <f>INDEX(Prices!H$2:H$247,Inputs!$B$13+ROW()-2)/MAX(INDEX(Prices!H$2:H$247,Inputs!$B$13):INDEX(Prices!H$2:H$247,Inputs!$B$13+ROW()-2))-1</f>
        <v>0</v>
      </c>
    </row>
    <row r="14" spans="1:8" x14ac:dyDescent="0.25">
      <c r="A14" s="18">
        <f>INDEX(Prices!$A$2:$A$247,Inputs!$B$13+ROW()-2)</f>
        <v>46237</v>
      </c>
      <c r="B14" s="11">
        <f>INDEX(Prices!B$2:B$247,Inputs!$B$13+ROW()-2)/MAX(INDEX(Prices!B$2:B$247,Inputs!$B$13):INDEX(Prices!B$2:B$247,Inputs!$B$13+ROW()-2))-1</f>
        <v>0</v>
      </c>
      <c r="C14" s="11">
        <f>INDEX(Prices!C$2:C$247,Inputs!$B$13+ROW()-2)/MAX(INDEX(Prices!C$2:C$247,Inputs!$B$13):INDEX(Prices!C$2:C$247,Inputs!$B$13+ROW()-2))-1</f>
        <v>0</v>
      </c>
      <c r="D14" s="11">
        <f>INDEX(Prices!D$2:D$247,Inputs!$B$13+ROW()-2)/MAX(INDEX(Prices!D$2:D$247,Inputs!$B$13):INDEX(Prices!D$2:D$247,Inputs!$B$13+ROW()-2))-1</f>
        <v>0</v>
      </c>
      <c r="E14" s="11">
        <f>INDEX(Prices!E$2:E$247,Inputs!$B$13+ROW()-2)/MAX(INDEX(Prices!E$2:E$247,Inputs!$B$13):INDEX(Prices!E$2:E$247,Inputs!$B$13+ROW()-2))-1</f>
        <v>-4.6726496632002457E-3</v>
      </c>
      <c r="F14" s="11">
        <f>INDEX(Prices!F$2:F$247,Inputs!$B$13+ROW()-2)/MAX(INDEX(Prices!F$2:F$247,Inputs!$B$13):INDEX(Prices!F$2:F$247,Inputs!$B$13+ROW()-2))-1</f>
        <v>0</v>
      </c>
      <c r="G14" s="11">
        <f>INDEX(Prices!G$2:G$247,Inputs!$B$13+ROW()-2)/MAX(INDEX(Prices!G$2:G$247,Inputs!$B$13):INDEX(Prices!G$2:G$247,Inputs!$B$13+ROW()-2))-1</f>
        <v>0</v>
      </c>
      <c r="H14" s="11">
        <f>INDEX(Prices!H$2:H$247,Inputs!$B$13+ROW()-2)/MAX(INDEX(Prices!H$2:H$247,Inputs!$B$13):INDEX(Prices!H$2:H$247,Inputs!$B$13+ROW()-2))-1</f>
        <v>0</v>
      </c>
    </row>
    <row r="15" spans="1:8" x14ac:dyDescent="0.25">
      <c r="A15" s="18">
        <f>INDEX(Prices!$A$2:$A$247,Inputs!$B$13+ROW()-2)</f>
        <v>46238</v>
      </c>
      <c r="B15" s="11">
        <f>INDEX(Prices!B$2:B$247,Inputs!$B$13+ROW()-2)/MAX(INDEX(Prices!B$2:B$247,Inputs!$B$13):INDEX(Prices!B$2:B$247,Inputs!$B$13+ROW()-2))-1</f>
        <v>-6.4340869368659792E-3</v>
      </c>
      <c r="C15" s="11">
        <f>INDEX(Prices!C$2:C$247,Inputs!$B$13+ROW()-2)/MAX(INDEX(Prices!C$2:C$247,Inputs!$B$13):INDEX(Prices!C$2:C$247,Inputs!$B$13+ROW()-2))-1</f>
        <v>-2.9475826524475446E-3</v>
      </c>
      <c r="D15" s="11">
        <f>INDEX(Prices!D$2:D$247,Inputs!$B$13+ROW()-2)/MAX(INDEX(Prices!D$2:D$247,Inputs!$B$13):INDEX(Prices!D$2:D$247,Inputs!$B$13+ROW()-2))-1</f>
        <v>0</v>
      </c>
      <c r="E15" s="11">
        <f>INDEX(Prices!E$2:E$247,Inputs!$B$13+ROW()-2)/MAX(INDEX(Prices!E$2:E$247,Inputs!$B$13):INDEX(Prices!E$2:E$247,Inputs!$B$13+ROW()-2))-1</f>
        <v>-1.0495305990629089E-2</v>
      </c>
      <c r="F15" s="11">
        <f>INDEX(Prices!F$2:F$247,Inputs!$B$13+ROW()-2)/MAX(INDEX(Prices!F$2:F$247,Inputs!$B$13):INDEX(Prices!F$2:F$247,Inputs!$B$13+ROW()-2))-1</f>
        <v>-8.2326325663520938E-3</v>
      </c>
      <c r="G15" s="11">
        <f>INDEX(Prices!G$2:G$247,Inputs!$B$13+ROW()-2)/MAX(INDEX(Prices!G$2:G$247,Inputs!$B$13):INDEX(Prices!G$2:G$247,Inputs!$B$13+ROW()-2))-1</f>
        <v>-8.7760379140848777E-3</v>
      </c>
      <c r="H15" s="11">
        <f>INDEX(Prices!H$2:H$247,Inputs!$B$13+ROW()-2)/MAX(INDEX(Prices!H$2:H$247,Inputs!$B$13):INDEX(Prices!H$2:H$247,Inputs!$B$13+ROW()-2))-1</f>
        <v>-4.3762288323714316E-3</v>
      </c>
    </row>
    <row r="16" spans="1:8" x14ac:dyDescent="0.25">
      <c r="A16" s="18">
        <f>INDEX(Prices!$A$2:$A$247,Inputs!$B$13+ROW()-2)</f>
        <v>46239</v>
      </c>
      <c r="B16" s="11">
        <f>INDEX(Prices!B$2:B$247,Inputs!$B$13+ROW()-2)/MAX(INDEX(Prices!B$2:B$247,Inputs!$B$13):INDEX(Prices!B$2:B$247,Inputs!$B$13+ROW()-2))-1</f>
        <v>-6.040533940413928E-3</v>
      </c>
      <c r="C16" s="11">
        <f>INDEX(Prices!C$2:C$247,Inputs!$B$13+ROW()-2)/MAX(INDEX(Prices!C$2:C$247,Inputs!$B$13):INDEX(Prices!C$2:C$247,Inputs!$B$13+ROW()-2))-1</f>
        <v>-1.1628582600625714E-3</v>
      </c>
      <c r="D16" s="11">
        <f>INDEX(Prices!D$2:D$247,Inputs!$B$13+ROW()-2)/MAX(INDEX(Prices!D$2:D$247,Inputs!$B$13):INDEX(Prices!D$2:D$247,Inputs!$B$13+ROW()-2))-1</f>
        <v>0</v>
      </c>
      <c r="E16" s="11">
        <f>INDEX(Prices!E$2:E$247,Inputs!$B$13+ROW()-2)/MAX(INDEX(Prices!E$2:E$247,Inputs!$B$13):INDEX(Prices!E$2:E$247,Inputs!$B$13+ROW()-2))-1</f>
        <v>-1.3353234885016496E-2</v>
      </c>
      <c r="F16" s="11">
        <f>INDEX(Prices!F$2:F$247,Inputs!$B$13+ROW()-2)/MAX(INDEX(Prices!F$2:F$247,Inputs!$B$13):INDEX(Prices!F$2:F$247,Inputs!$B$13+ROW()-2))-1</f>
        <v>-9.8123142652194462E-3</v>
      </c>
      <c r="G16" s="11">
        <f>INDEX(Prices!G$2:G$247,Inputs!$B$13+ROW()-2)/MAX(INDEX(Prices!G$2:G$247,Inputs!$B$13):INDEX(Prices!G$2:G$247,Inputs!$B$13+ROW()-2))-1</f>
        <v>-1.1650015210464826E-2</v>
      </c>
      <c r="H16" s="11">
        <f>INDEX(Prices!H$2:H$247,Inputs!$B$13+ROW()-2)/MAX(INDEX(Prices!H$2:H$247,Inputs!$B$13):INDEX(Prices!H$2:H$247,Inputs!$B$13+ROW()-2))-1</f>
        <v>0</v>
      </c>
    </row>
    <row r="17" spans="1:8" x14ac:dyDescent="0.25">
      <c r="A17" s="18">
        <f>INDEX(Prices!$A$2:$A$247,Inputs!$B$13+ROW()-2)</f>
        <v>46240</v>
      </c>
      <c r="B17" s="11">
        <f>INDEX(Prices!B$2:B$247,Inputs!$B$13+ROW()-2)/MAX(INDEX(Prices!B$2:B$247,Inputs!$B$13):INDEX(Prices!B$2:B$247,Inputs!$B$13+ROW()-2))-1</f>
        <v>-5.582397888134083E-3</v>
      </c>
      <c r="C17" s="11">
        <f>INDEX(Prices!C$2:C$247,Inputs!$B$13+ROW()-2)/MAX(INDEX(Prices!C$2:C$247,Inputs!$B$13):INDEX(Prices!C$2:C$247,Inputs!$B$13+ROW()-2))-1</f>
        <v>-5.5355507990823005E-3</v>
      </c>
      <c r="D17" s="11">
        <f>INDEX(Prices!D$2:D$247,Inputs!$B$13+ROW()-2)/MAX(INDEX(Prices!D$2:D$247,Inputs!$B$13):INDEX(Prices!D$2:D$247,Inputs!$B$13+ROW()-2))-1</f>
        <v>0</v>
      </c>
      <c r="E17" s="11">
        <f>INDEX(Prices!E$2:E$247,Inputs!$B$13+ROW()-2)/MAX(INDEX(Prices!E$2:E$247,Inputs!$B$13):INDEX(Prices!E$2:E$247,Inputs!$B$13+ROW()-2))-1</f>
        <v>-7.821924971036287E-3</v>
      </c>
      <c r="F17" s="11">
        <f>INDEX(Prices!F$2:F$247,Inputs!$B$13+ROW()-2)/MAX(INDEX(Prices!F$2:F$247,Inputs!$B$13):INDEX(Prices!F$2:F$247,Inputs!$B$13+ROW()-2))-1</f>
        <v>-1.9203695383135821E-2</v>
      </c>
      <c r="G17" s="11">
        <f>INDEX(Prices!G$2:G$247,Inputs!$B$13+ROW()-2)/MAX(INDEX(Prices!G$2:G$247,Inputs!$B$13):INDEX(Prices!G$2:G$247,Inputs!$B$13+ROW()-2))-1</f>
        <v>-1.1923203163776708E-2</v>
      </c>
      <c r="H17" s="11">
        <f>INDEX(Prices!H$2:H$247,Inputs!$B$13+ROW()-2)/MAX(INDEX(Prices!H$2:H$247,Inputs!$B$13):INDEX(Prices!H$2:H$247,Inputs!$B$13+ROW()-2))-1</f>
        <v>-1.0137174001370153E-2</v>
      </c>
    </row>
    <row r="18" spans="1:8" x14ac:dyDescent="0.25">
      <c r="A18" s="18">
        <f>INDEX(Prices!$A$2:$A$247,Inputs!$B$13+ROW()-2)</f>
        <v>46241</v>
      </c>
      <c r="B18" s="11">
        <f>INDEX(Prices!B$2:B$247,Inputs!$B$13+ROW()-2)/MAX(INDEX(Prices!B$2:B$247,Inputs!$B$13):INDEX(Prices!B$2:B$247,Inputs!$B$13+ROW()-2))-1</f>
        <v>-8.2202120746094343E-3</v>
      </c>
      <c r="C18" s="11">
        <f>INDEX(Prices!C$2:C$247,Inputs!$B$13+ROW()-2)/MAX(INDEX(Prices!C$2:C$247,Inputs!$B$13):INDEX(Prices!C$2:C$247,Inputs!$B$13+ROW()-2))-1</f>
        <v>-3.3880711628425653E-3</v>
      </c>
      <c r="D18" s="11">
        <f>INDEX(Prices!D$2:D$247,Inputs!$B$13+ROW()-2)/MAX(INDEX(Prices!D$2:D$247,Inputs!$B$13):INDEX(Prices!D$2:D$247,Inputs!$B$13+ROW()-2))-1</f>
        <v>-5.257001999673383E-4</v>
      </c>
      <c r="E18" s="11">
        <f>INDEX(Prices!E$2:E$247,Inputs!$B$13+ROW()-2)/MAX(INDEX(Prices!E$2:E$247,Inputs!$B$13):INDEX(Prices!E$2:E$247,Inputs!$B$13+ROW()-2))-1</f>
        <v>-1.324216440481607E-2</v>
      </c>
      <c r="F18" s="11">
        <f>INDEX(Prices!F$2:F$247,Inputs!$B$13+ROW()-2)/MAX(INDEX(Prices!F$2:F$247,Inputs!$B$13):INDEX(Prices!F$2:F$247,Inputs!$B$13+ROW()-2))-1</f>
        <v>-5.2829474779483299E-3</v>
      </c>
      <c r="G18" s="11">
        <f>INDEX(Prices!G$2:G$247,Inputs!$B$13+ROW()-2)/MAX(INDEX(Prices!G$2:G$247,Inputs!$B$13):INDEX(Prices!G$2:G$247,Inputs!$B$13+ROW()-2))-1</f>
        <v>-1.0615303328690207E-2</v>
      </c>
      <c r="H18" s="11">
        <f>INDEX(Prices!H$2:H$247,Inputs!$B$13+ROW()-2)/MAX(INDEX(Prices!H$2:H$247,Inputs!$B$13):INDEX(Prices!H$2:H$247,Inputs!$B$13+ROW()-2))-1</f>
        <v>0</v>
      </c>
    </row>
    <row r="19" spans="1:8" x14ac:dyDescent="0.25">
      <c r="A19" s="18">
        <f>INDEX(Prices!$A$2:$A$247,Inputs!$B$13+ROW()-2)</f>
        <v>46244</v>
      </c>
      <c r="B19" s="11">
        <f>INDEX(Prices!B$2:B$247,Inputs!$B$13+ROW()-2)/MAX(INDEX(Prices!B$2:B$247,Inputs!$B$13):INDEX(Prices!B$2:B$247,Inputs!$B$13+ROW()-2))-1</f>
        <v>-7.6894200845231131E-3</v>
      </c>
      <c r="C19" s="11">
        <f>INDEX(Prices!C$2:C$247,Inputs!$B$13+ROW()-2)/MAX(INDEX(Prices!C$2:C$247,Inputs!$B$13):INDEX(Prices!C$2:C$247,Inputs!$B$13+ROW()-2))-1</f>
        <v>0</v>
      </c>
      <c r="D19" s="11">
        <f>INDEX(Prices!D$2:D$247,Inputs!$B$13+ROW()-2)/MAX(INDEX(Prices!D$2:D$247,Inputs!$B$13):INDEX(Prices!D$2:D$247,Inputs!$B$13+ROW()-2))-1</f>
        <v>-3.2346911825739122E-3</v>
      </c>
      <c r="E19" s="11">
        <f>INDEX(Prices!E$2:E$247,Inputs!$B$13+ROW()-2)/MAX(INDEX(Prices!E$2:E$247,Inputs!$B$13):INDEX(Prices!E$2:E$247,Inputs!$B$13+ROW()-2))-1</f>
        <v>-1.4258886492804379E-2</v>
      </c>
      <c r="F19" s="11">
        <f>INDEX(Prices!F$2:F$247,Inputs!$B$13+ROW()-2)/MAX(INDEX(Prices!F$2:F$247,Inputs!$B$13):INDEX(Prices!F$2:F$247,Inputs!$B$13+ROW()-2))-1</f>
        <v>-2.6422620032948707E-3</v>
      </c>
      <c r="G19" s="11">
        <f>INDEX(Prices!G$2:G$247,Inputs!$B$13+ROW()-2)/MAX(INDEX(Prices!G$2:G$247,Inputs!$B$13):INDEX(Prices!G$2:G$247,Inputs!$B$13+ROW()-2))-1</f>
        <v>-1.2048289222985398E-2</v>
      </c>
      <c r="H19" s="11">
        <f>INDEX(Prices!H$2:H$247,Inputs!$B$13+ROW()-2)/MAX(INDEX(Prices!H$2:H$247,Inputs!$B$13):INDEX(Prices!H$2:H$247,Inputs!$B$13+ROW()-2))-1</f>
        <v>-9.3935826820790158E-4</v>
      </c>
    </row>
    <row r="20" spans="1:8" x14ac:dyDescent="0.25">
      <c r="A20" s="18">
        <f>INDEX(Prices!$A$2:$A$247,Inputs!$B$13+ROW()-2)</f>
        <v>46245</v>
      </c>
      <c r="B20" s="11">
        <f>INDEX(Prices!B$2:B$247,Inputs!$B$13+ROW()-2)/MAX(INDEX(Prices!B$2:B$247,Inputs!$B$13):INDEX(Prices!B$2:B$247,Inputs!$B$13+ROW()-2))-1</f>
        <v>-1.221427043347334E-2</v>
      </c>
      <c r="C20" s="11">
        <f>INDEX(Prices!C$2:C$247,Inputs!$B$13+ROW()-2)/MAX(INDEX(Prices!C$2:C$247,Inputs!$B$13):INDEX(Prices!C$2:C$247,Inputs!$B$13+ROW()-2))-1</f>
        <v>-1.8557466287272284E-4</v>
      </c>
      <c r="D20" s="11">
        <f>INDEX(Prices!D$2:D$247,Inputs!$B$13+ROW()-2)/MAX(INDEX(Prices!D$2:D$247,Inputs!$B$13):INDEX(Prices!D$2:D$247,Inputs!$B$13+ROW()-2))-1</f>
        <v>-1.0614616477807592E-3</v>
      </c>
      <c r="E20" s="11">
        <f>INDEX(Prices!E$2:E$247,Inputs!$B$13+ROW()-2)/MAX(INDEX(Prices!E$2:E$247,Inputs!$B$13):INDEX(Prices!E$2:E$247,Inputs!$B$13+ROW()-2))-1</f>
        <v>-1.8371911813456321E-2</v>
      </c>
      <c r="F20" s="11">
        <f>INDEX(Prices!F$2:F$247,Inputs!$B$13+ROW()-2)/MAX(INDEX(Prices!F$2:F$247,Inputs!$B$13):INDEX(Prices!F$2:F$247,Inputs!$B$13+ROW()-2))-1</f>
        <v>0</v>
      </c>
      <c r="G20" s="11">
        <f>INDEX(Prices!G$2:G$247,Inputs!$B$13+ROW()-2)/MAX(INDEX(Prices!G$2:G$247,Inputs!$B$13):INDEX(Prices!G$2:G$247,Inputs!$B$13+ROW()-2))-1</f>
        <v>-2.3571216997294142E-2</v>
      </c>
      <c r="H20" s="11">
        <f>INDEX(Prices!H$2:H$247,Inputs!$B$13+ROW()-2)/MAX(INDEX(Prices!H$2:H$247,Inputs!$B$13):INDEX(Prices!H$2:H$247,Inputs!$B$13+ROW()-2))-1</f>
        <v>-6.3866243477616047E-3</v>
      </c>
    </row>
    <row r="21" spans="1:8" x14ac:dyDescent="0.25">
      <c r="A21" s="18">
        <f>INDEX(Prices!$A$2:$A$247,Inputs!$B$13+ROW()-2)</f>
        <v>46246</v>
      </c>
      <c r="B21" s="11">
        <f>INDEX(Prices!B$2:B$247,Inputs!$B$13+ROW()-2)/MAX(INDEX(Prices!B$2:B$247,Inputs!$B$13):INDEX(Prices!B$2:B$247,Inputs!$B$13+ROW()-2))-1</f>
        <v>-1.3657298087130565E-2</v>
      </c>
      <c r="C21" s="11">
        <f>INDEX(Prices!C$2:C$247,Inputs!$B$13+ROW()-2)/MAX(INDEX(Prices!C$2:C$247,Inputs!$B$13):INDEX(Prices!C$2:C$247,Inputs!$B$13+ROW()-2))-1</f>
        <v>0</v>
      </c>
      <c r="D21" s="11">
        <f>INDEX(Prices!D$2:D$247,Inputs!$B$13+ROW()-2)/MAX(INDEX(Prices!D$2:D$247,Inputs!$B$13):INDEX(Prices!D$2:D$247,Inputs!$B$13+ROW()-2))-1</f>
        <v>-2.8473331404926805E-3</v>
      </c>
      <c r="E21" s="11">
        <f>INDEX(Prices!E$2:E$247,Inputs!$B$13+ROW()-2)/MAX(INDEX(Prices!E$2:E$247,Inputs!$B$13):INDEX(Prices!E$2:E$247,Inputs!$B$13+ROW()-2))-1</f>
        <v>-1.0860129798672014E-2</v>
      </c>
      <c r="F21" s="11">
        <f>INDEX(Prices!F$2:F$247,Inputs!$B$13+ROW()-2)/MAX(INDEX(Prices!F$2:F$247,Inputs!$B$13):INDEX(Prices!F$2:F$247,Inputs!$B$13+ROW()-2))-1</f>
        <v>-1.5416449974311242E-2</v>
      </c>
      <c r="G21" s="11">
        <f>INDEX(Prices!G$2:G$247,Inputs!$B$13+ROW()-2)/MAX(INDEX(Prices!G$2:G$247,Inputs!$B$13):INDEX(Prices!G$2:G$247,Inputs!$B$13+ROW()-2))-1</f>
        <v>-3.0746153353507166E-2</v>
      </c>
      <c r="H21" s="11">
        <f>INDEX(Prices!H$2:H$247,Inputs!$B$13+ROW()-2)/MAX(INDEX(Prices!H$2:H$247,Inputs!$B$13):INDEX(Prices!H$2:H$247,Inputs!$B$13+ROW()-2))-1</f>
        <v>-9.6077631130704333E-3</v>
      </c>
    </row>
    <row r="22" spans="1:8" x14ac:dyDescent="0.25">
      <c r="A22" s="18">
        <f>INDEX(Prices!$A$2:$A$247,Inputs!$B$13+ROW()-2)</f>
        <v>46247</v>
      </c>
      <c r="B22" s="11">
        <f>INDEX(Prices!B$2:B$247,Inputs!$B$13+ROW()-2)/MAX(INDEX(Prices!B$2:B$247,Inputs!$B$13):INDEX(Prices!B$2:B$247,Inputs!$B$13+ROW()-2))-1</f>
        <v>-1.5275910923820302E-2</v>
      </c>
      <c r="C22" s="11">
        <f>INDEX(Prices!C$2:C$247,Inputs!$B$13+ROW()-2)/MAX(INDEX(Prices!C$2:C$247,Inputs!$B$13):INDEX(Prices!C$2:C$247,Inputs!$B$13+ROW()-2))-1</f>
        <v>0</v>
      </c>
      <c r="D22" s="11">
        <f>INDEX(Prices!D$2:D$247,Inputs!$B$13+ROW()-2)/MAX(INDEX(Prices!D$2:D$247,Inputs!$B$13):INDEX(Prices!D$2:D$247,Inputs!$B$13+ROW()-2))-1</f>
        <v>-1.5846465357871597E-4</v>
      </c>
      <c r="E22" s="11">
        <f>INDEX(Prices!E$2:E$247,Inputs!$B$13+ROW()-2)/MAX(INDEX(Prices!E$2:E$247,Inputs!$B$13):INDEX(Prices!E$2:E$247,Inputs!$B$13+ROW()-2))-1</f>
        <v>-1.5142324004552177E-2</v>
      </c>
      <c r="F22" s="11">
        <f>INDEX(Prices!F$2:F$247,Inputs!$B$13+ROW()-2)/MAX(INDEX(Prices!F$2:F$247,Inputs!$B$13):INDEX(Prices!F$2:F$247,Inputs!$B$13+ROW()-2))-1</f>
        <v>-1.1603188245035478E-2</v>
      </c>
      <c r="G22" s="11">
        <f>INDEX(Prices!G$2:G$247,Inputs!$B$13+ROW()-2)/MAX(INDEX(Prices!G$2:G$247,Inputs!$B$13):INDEX(Prices!G$2:G$247,Inputs!$B$13+ROW()-2))-1</f>
        <v>-2.2581536096834554E-2</v>
      </c>
      <c r="H22" s="11">
        <f>INDEX(Prices!H$2:H$247,Inputs!$B$13+ROW()-2)/MAX(INDEX(Prices!H$2:H$247,Inputs!$B$13):INDEX(Prices!H$2:H$247,Inputs!$B$13+ROW()-2))-1</f>
        <v>-8.6262433426987917E-3</v>
      </c>
    </row>
    <row r="23" spans="1:8" x14ac:dyDescent="0.25">
      <c r="A23" s="18">
        <f>INDEX(Prices!$A$2:$A$247,Inputs!$B$13+ROW()-2)</f>
        <v>46248</v>
      </c>
      <c r="B23" s="11">
        <f>INDEX(Prices!B$2:B$247,Inputs!$B$13+ROW()-2)/MAX(INDEX(Prices!B$2:B$247,Inputs!$B$13):INDEX(Prices!B$2:B$247,Inputs!$B$13+ROW()-2))-1</f>
        <v>-1.6480788559111614E-2</v>
      </c>
      <c r="C23" s="11">
        <f>INDEX(Prices!C$2:C$247,Inputs!$B$13+ROW()-2)/MAX(INDEX(Prices!C$2:C$247,Inputs!$B$13):INDEX(Prices!C$2:C$247,Inputs!$B$13+ROW()-2))-1</f>
        <v>-5.2930722978468125E-3</v>
      </c>
      <c r="D23" s="11">
        <f>INDEX(Prices!D$2:D$247,Inputs!$B$13+ROW()-2)/MAX(INDEX(Prices!D$2:D$247,Inputs!$B$13):INDEX(Prices!D$2:D$247,Inputs!$B$13+ROW()-2))-1</f>
        <v>-7.0277816206155697E-3</v>
      </c>
      <c r="E23" s="11">
        <f>INDEX(Prices!E$2:E$247,Inputs!$B$13+ROW()-2)/MAX(INDEX(Prices!E$2:E$247,Inputs!$B$13):INDEX(Prices!E$2:E$247,Inputs!$B$13+ROW()-2))-1</f>
        <v>-1.7605525500073549E-2</v>
      </c>
      <c r="F23" s="11">
        <f>INDEX(Prices!F$2:F$247,Inputs!$B$13+ROW()-2)/MAX(INDEX(Prices!F$2:F$247,Inputs!$B$13):INDEX(Prices!F$2:F$247,Inputs!$B$13+ROW()-2))-1</f>
        <v>-1.4624573620147685E-2</v>
      </c>
      <c r="G23" s="11">
        <f>INDEX(Prices!G$2:G$247,Inputs!$B$13+ROW()-2)/MAX(INDEX(Prices!G$2:G$247,Inputs!$B$13):INDEX(Prices!G$2:G$247,Inputs!$B$13+ROW()-2))-1</f>
        <v>-2.7029596362297181E-2</v>
      </c>
      <c r="H23" s="11">
        <f>INDEX(Prices!H$2:H$247,Inputs!$B$13+ROW()-2)/MAX(INDEX(Prices!H$2:H$247,Inputs!$B$13):INDEX(Prices!H$2:H$247,Inputs!$B$13+ROW()-2))-1</f>
        <v>-1.4840848761632386E-2</v>
      </c>
    </row>
    <row r="24" spans="1:8" x14ac:dyDescent="0.25">
      <c r="A24" s="18">
        <f>INDEX(Prices!$A$2:$A$247,Inputs!$B$13+ROW()-2)</f>
        <v>46251</v>
      </c>
      <c r="B24" s="11">
        <f>INDEX(Prices!B$2:B$247,Inputs!$B$13+ROW()-2)/MAX(INDEX(Prices!B$2:B$247,Inputs!$B$13):INDEX(Prices!B$2:B$247,Inputs!$B$13+ROW()-2))-1</f>
        <v>-1.9643340074189664E-2</v>
      </c>
      <c r="C24" s="11">
        <f>INDEX(Prices!C$2:C$247,Inputs!$B$13+ROW()-2)/MAX(INDEX(Prices!C$2:C$247,Inputs!$B$13):INDEX(Prices!C$2:C$247,Inputs!$B$13+ROW()-2))-1</f>
        <v>-4.7495732713884742E-3</v>
      </c>
      <c r="D24" s="11">
        <f>INDEX(Prices!D$2:D$247,Inputs!$B$13+ROW()-2)/MAX(INDEX(Prices!D$2:D$247,Inputs!$B$13):INDEX(Prices!D$2:D$247,Inputs!$B$13+ROW()-2))-1</f>
        <v>-3.4711305069611287E-3</v>
      </c>
      <c r="E24" s="11">
        <f>INDEX(Prices!E$2:E$247,Inputs!$B$13+ROW()-2)/MAX(INDEX(Prices!E$2:E$247,Inputs!$B$13):INDEX(Prices!E$2:E$247,Inputs!$B$13+ROW()-2))-1</f>
        <v>-1.7491037466636161E-2</v>
      </c>
      <c r="F24" s="11">
        <f>INDEX(Prices!F$2:F$247,Inputs!$B$13+ROW()-2)/MAX(INDEX(Prices!F$2:F$247,Inputs!$B$13):INDEX(Prices!F$2:F$247,Inputs!$B$13+ROW()-2))-1</f>
        <v>-3.1906018103173395E-2</v>
      </c>
      <c r="G24" s="11">
        <f>INDEX(Prices!G$2:G$247,Inputs!$B$13+ROW()-2)/MAX(INDEX(Prices!G$2:G$247,Inputs!$B$13):INDEX(Prices!G$2:G$247,Inputs!$B$13+ROW()-2))-1</f>
        <v>-3.723661879372997E-2</v>
      </c>
      <c r="H24" s="11">
        <f>INDEX(Prices!H$2:H$247,Inputs!$B$13+ROW()-2)/MAX(INDEX(Prices!H$2:H$247,Inputs!$B$13):INDEX(Prices!H$2:H$247,Inputs!$B$13+ROW()-2))-1</f>
        <v>-1.5845978973215713E-2</v>
      </c>
    </row>
    <row r="25" spans="1:8" x14ac:dyDescent="0.25">
      <c r="A25" s="18">
        <f>INDEX(Prices!$A$2:$A$247,Inputs!$B$13+ROW()-2)</f>
        <v>46252</v>
      </c>
      <c r="B25" s="11">
        <f>INDEX(Prices!B$2:B$247,Inputs!$B$13+ROW()-2)/MAX(INDEX(Prices!B$2:B$247,Inputs!$B$13):INDEX(Prices!B$2:B$247,Inputs!$B$13+ROW()-2))-1</f>
        <v>-2.5001715487420362E-2</v>
      </c>
      <c r="C25" s="11">
        <f>INDEX(Prices!C$2:C$247,Inputs!$B$13+ROW()-2)/MAX(INDEX(Prices!C$2:C$247,Inputs!$B$13):INDEX(Prices!C$2:C$247,Inputs!$B$13+ROW()-2))-1</f>
        <v>-9.0788510259032229E-3</v>
      </c>
      <c r="D25" s="11">
        <f>INDEX(Prices!D$2:D$247,Inputs!$B$13+ROW()-2)/MAX(INDEX(Prices!D$2:D$247,Inputs!$B$13):INDEX(Prices!D$2:D$247,Inputs!$B$13+ROW()-2))-1</f>
        <v>-3.4912530026537381E-3</v>
      </c>
      <c r="E25" s="11">
        <f>INDEX(Prices!E$2:E$247,Inputs!$B$13+ROW()-2)/MAX(INDEX(Prices!E$2:E$247,Inputs!$B$13):INDEX(Prices!E$2:E$247,Inputs!$B$13+ROW()-2))-1</f>
        <v>-2.1513497626509226E-2</v>
      </c>
      <c r="F25" s="11">
        <f>INDEX(Prices!F$2:F$247,Inputs!$B$13+ROW()-2)/MAX(INDEX(Prices!F$2:F$247,Inputs!$B$13):INDEX(Prices!F$2:F$247,Inputs!$B$13+ROW()-2))-1</f>
        <v>-5.058267330543964E-2</v>
      </c>
      <c r="G25" s="11">
        <f>INDEX(Prices!G$2:G$247,Inputs!$B$13+ROW()-2)/MAX(INDEX(Prices!G$2:G$247,Inputs!$B$13):INDEX(Prices!G$2:G$247,Inputs!$B$13+ROW()-2))-1</f>
        <v>-4.4646716941255549E-2</v>
      </c>
      <c r="H25" s="11">
        <f>INDEX(Prices!H$2:H$247,Inputs!$B$13+ROW()-2)/MAX(INDEX(Prices!H$2:H$247,Inputs!$B$13):INDEX(Prices!H$2:H$247,Inputs!$B$13+ROW()-2))-1</f>
        <v>-1.2930089483572216E-2</v>
      </c>
    </row>
    <row r="26" spans="1:8" x14ac:dyDescent="0.25">
      <c r="A26" s="18">
        <f>INDEX(Prices!$A$2:$A$247,Inputs!$B$13+ROW()-2)</f>
        <v>46253</v>
      </c>
      <c r="B26" s="11">
        <f>INDEX(Prices!B$2:B$247,Inputs!$B$13+ROW()-2)/MAX(INDEX(Prices!B$2:B$247,Inputs!$B$13):INDEX(Prices!B$2:B$247,Inputs!$B$13+ROW()-2))-1</f>
        <v>-2.8093629285186661E-2</v>
      </c>
      <c r="C26" s="11">
        <f>INDEX(Prices!C$2:C$247,Inputs!$B$13+ROW()-2)/MAX(INDEX(Prices!C$2:C$247,Inputs!$B$13):INDEX(Prices!C$2:C$247,Inputs!$B$13+ROW()-2))-1</f>
        <v>-1.1116387548335993E-2</v>
      </c>
      <c r="D26" s="11">
        <f>INDEX(Prices!D$2:D$247,Inputs!$B$13+ROW()-2)/MAX(INDEX(Prices!D$2:D$247,Inputs!$B$13):INDEX(Prices!D$2:D$247,Inputs!$B$13+ROW()-2))-1</f>
        <v>-8.6073975324788554E-3</v>
      </c>
      <c r="E26" s="11">
        <f>INDEX(Prices!E$2:E$247,Inputs!$B$13+ROW()-2)/MAX(INDEX(Prices!E$2:E$247,Inputs!$B$13):INDEX(Prices!E$2:E$247,Inputs!$B$13+ROW()-2))-1</f>
        <v>-2.1900535530592236E-2</v>
      </c>
      <c r="F26" s="11">
        <f>INDEX(Prices!F$2:F$247,Inputs!$B$13+ROW()-2)/MAX(INDEX(Prices!F$2:F$247,Inputs!$B$13):INDEX(Prices!F$2:F$247,Inputs!$B$13+ROW()-2))-1</f>
        <v>-4.3682036504871569E-2</v>
      </c>
      <c r="G26" s="11">
        <f>INDEX(Prices!G$2:G$247,Inputs!$B$13+ROW()-2)/MAX(INDEX(Prices!G$2:G$247,Inputs!$B$13):INDEX(Prices!G$2:G$247,Inputs!$B$13+ROW()-2))-1</f>
        <v>-4.986830939686504E-2</v>
      </c>
      <c r="H26" s="11">
        <f>INDEX(Prices!H$2:H$247,Inputs!$B$13+ROW()-2)/MAX(INDEX(Prices!H$2:H$247,Inputs!$B$13):INDEX(Prices!H$2:H$247,Inputs!$B$13+ROW()-2))-1</f>
        <v>-1.5599755800579485E-2</v>
      </c>
    </row>
    <row r="27" spans="1:8" x14ac:dyDescent="0.25">
      <c r="A27" s="18">
        <f>INDEX(Prices!$A$2:$A$247,Inputs!$B$13+ROW()-2)</f>
        <v>46254</v>
      </c>
      <c r="B27" s="11">
        <f>INDEX(Prices!B$2:B$247,Inputs!$B$13+ROW()-2)/MAX(INDEX(Prices!B$2:B$247,Inputs!$B$13):INDEX(Prices!B$2:B$247,Inputs!$B$13+ROW()-2))-1</f>
        <v>-2.1895674146191868E-2</v>
      </c>
      <c r="C27" s="11">
        <f>INDEX(Prices!C$2:C$247,Inputs!$B$13+ROW()-2)/MAX(INDEX(Prices!C$2:C$247,Inputs!$B$13):INDEX(Prices!C$2:C$247,Inputs!$B$13+ROW()-2))-1</f>
        <v>-7.017921432030283E-3</v>
      </c>
      <c r="D27" s="11">
        <f>INDEX(Prices!D$2:D$247,Inputs!$B$13+ROW()-2)/MAX(INDEX(Prices!D$2:D$247,Inputs!$B$13):INDEX(Prices!D$2:D$247,Inputs!$B$13+ROW()-2))-1</f>
        <v>-1.8512696037125131E-3</v>
      </c>
      <c r="E27" s="11">
        <f>INDEX(Prices!E$2:E$247,Inputs!$B$13+ROW()-2)/MAX(INDEX(Prices!E$2:E$247,Inputs!$B$13):INDEX(Prices!E$2:E$247,Inputs!$B$13+ROW()-2))-1</f>
        <v>-1.7523504222387021E-2</v>
      </c>
      <c r="F27" s="11">
        <f>INDEX(Prices!F$2:F$247,Inputs!$B$13+ROW()-2)/MAX(INDEX(Prices!F$2:F$247,Inputs!$B$13):INDEX(Prices!F$2:F$247,Inputs!$B$13+ROW()-2))-1</f>
        <v>-3.6140356941409046E-2</v>
      </c>
      <c r="G27" s="11">
        <f>INDEX(Prices!G$2:G$247,Inputs!$B$13+ROW()-2)/MAX(INDEX(Prices!G$2:G$247,Inputs!$B$13):INDEX(Prices!G$2:G$247,Inputs!$B$13+ROW()-2))-1</f>
        <v>-4.2075948252397577E-2</v>
      </c>
      <c r="H27" s="11">
        <f>INDEX(Prices!H$2:H$247,Inputs!$B$13+ROW()-2)/MAX(INDEX(Prices!H$2:H$247,Inputs!$B$13):INDEX(Prices!H$2:H$247,Inputs!$B$13+ROW()-2))-1</f>
        <v>-1.1675363179179721E-2</v>
      </c>
    </row>
    <row r="28" spans="1:8" x14ac:dyDescent="0.25">
      <c r="A28" s="18">
        <f>INDEX(Prices!$A$2:$A$247,Inputs!$B$13+ROW()-2)</f>
        <v>46255</v>
      </c>
      <c r="B28" s="11">
        <f>INDEX(Prices!B$2:B$247,Inputs!$B$13+ROW()-2)/MAX(INDEX(Prices!B$2:B$247,Inputs!$B$13):INDEX(Prices!B$2:B$247,Inputs!$B$13+ROW()-2))-1</f>
        <v>-2.1082331286857769E-2</v>
      </c>
      <c r="C28" s="11">
        <f>INDEX(Prices!C$2:C$247,Inputs!$B$13+ROW()-2)/MAX(INDEX(Prices!C$2:C$247,Inputs!$B$13):INDEX(Prices!C$2:C$247,Inputs!$B$13+ROW()-2))-1</f>
        <v>-6.0166979743939697E-3</v>
      </c>
      <c r="D28" s="11">
        <f>INDEX(Prices!D$2:D$247,Inputs!$B$13+ROW()-2)/MAX(INDEX(Prices!D$2:D$247,Inputs!$B$13):INDEX(Prices!D$2:D$247,Inputs!$B$13+ROW()-2))-1</f>
        <v>0</v>
      </c>
      <c r="E28" s="11">
        <f>INDEX(Prices!E$2:E$247,Inputs!$B$13+ROW()-2)/MAX(INDEX(Prices!E$2:E$247,Inputs!$B$13):INDEX(Prices!E$2:E$247,Inputs!$B$13+ROW()-2))-1</f>
        <v>-1.2977304028953585E-2</v>
      </c>
      <c r="F28" s="11">
        <f>INDEX(Prices!F$2:F$247,Inputs!$B$13+ROW()-2)/MAX(INDEX(Prices!F$2:F$247,Inputs!$B$13):INDEX(Prices!F$2:F$247,Inputs!$B$13+ROW()-2))-1</f>
        <v>-4.0564808951973674E-2</v>
      </c>
      <c r="G28" s="11">
        <f>INDEX(Prices!G$2:G$247,Inputs!$B$13+ROW()-2)/MAX(INDEX(Prices!G$2:G$247,Inputs!$B$13):INDEX(Prices!G$2:G$247,Inputs!$B$13+ROW()-2))-1</f>
        <v>-4.9126799237875662E-2</v>
      </c>
      <c r="H28" s="11">
        <f>INDEX(Prices!H$2:H$247,Inputs!$B$13+ROW()-2)/MAX(INDEX(Prices!H$2:H$247,Inputs!$B$13):INDEX(Prices!H$2:H$247,Inputs!$B$13+ROW()-2))-1</f>
        <v>-1.7650491265823298E-2</v>
      </c>
    </row>
    <row r="29" spans="1:8" x14ac:dyDescent="0.25">
      <c r="A29" s="18">
        <f>INDEX(Prices!$A$2:$A$247,Inputs!$B$13+ROW()-2)</f>
        <v>46258</v>
      </c>
      <c r="B29" s="11">
        <f>INDEX(Prices!B$2:B$247,Inputs!$B$13+ROW()-2)/MAX(INDEX(Prices!B$2:B$247,Inputs!$B$13):INDEX(Prices!B$2:B$247,Inputs!$B$13+ROW()-2))-1</f>
        <v>-2.2412338592815995E-2</v>
      </c>
      <c r="C29" s="11">
        <f>INDEX(Prices!C$2:C$247,Inputs!$B$13+ROW()-2)/MAX(INDEX(Prices!C$2:C$247,Inputs!$B$13):INDEX(Prices!C$2:C$247,Inputs!$B$13+ROW()-2))-1</f>
        <v>-4.7456744261484829E-3</v>
      </c>
      <c r="D29" s="11">
        <f>INDEX(Prices!D$2:D$247,Inputs!$B$13+ROW()-2)/MAX(INDEX(Prices!D$2:D$247,Inputs!$B$13):INDEX(Prices!D$2:D$247,Inputs!$B$13+ROW()-2))-1</f>
        <v>-2.5528400345383728E-3</v>
      </c>
      <c r="E29" s="11">
        <f>INDEX(Prices!E$2:E$247,Inputs!$B$13+ROW()-2)/MAX(INDEX(Prices!E$2:E$247,Inputs!$B$13):INDEX(Prices!E$2:E$247,Inputs!$B$13+ROW()-2))-1</f>
        <v>-1.7010016848537535E-2</v>
      </c>
      <c r="F29" s="11">
        <f>INDEX(Prices!F$2:F$247,Inputs!$B$13+ROW()-2)/MAX(INDEX(Prices!F$2:F$247,Inputs!$B$13):INDEX(Prices!F$2:F$247,Inputs!$B$13+ROW()-2))-1</f>
        <v>-3.8533269019565997E-2</v>
      </c>
      <c r="G29" s="11">
        <f>INDEX(Prices!G$2:G$247,Inputs!$B$13+ROW()-2)/MAX(INDEX(Prices!G$2:G$247,Inputs!$B$13):INDEX(Prices!G$2:G$247,Inputs!$B$13+ROW()-2))-1</f>
        <v>-4.8789567222248809E-2</v>
      </c>
      <c r="H29" s="11">
        <f>INDEX(Prices!H$2:H$247,Inputs!$B$13+ROW()-2)/MAX(INDEX(Prices!H$2:H$247,Inputs!$B$13):INDEX(Prices!H$2:H$247,Inputs!$B$13+ROW()-2))-1</f>
        <v>-1.8436381666155133E-2</v>
      </c>
    </row>
    <row r="30" spans="1:8" x14ac:dyDescent="0.25">
      <c r="A30" s="18">
        <f>INDEX(Prices!$A$2:$A$247,Inputs!$B$13+ROW()-2)</f>
        <v>46259</v>
      </c>
      <c r="B30" s="11">
        <f>INDEX(Prices!B$2:B$247,Inputs!$B$13+ROW()-2)/MAX(INDEX(Prices!B$2:B$247,Inputs!$B$13):INDEX(Prices!B$2:B$247,Inputs!$B$13+ROW()-2))-1</f>
        <v>-1.7750249250231054E-2</v>
      </c>
      <c r="C30" s="11">
        <f>INDEX(Prices!C$2:C$247,Inputs!$B$13+ROW()-2)/MAX(INDEX(Prices!C$2:C$247,Inputs!$B$13):INDEX(Prices!C$2:C$247,Inputs!$B$13+ROW()-2))-1</f>
        <v>0</v>
      </c>
      <c r="D30" s="11">
        <f>INDEX(Prices!D$2:D$247,Inputs!$B$13+ROW()-2)/MAX(INDEX(Prices!D$2:D$247,Inputs!$B$13):INDEX(Prices!D$2:D$247,Inputs!$B$13+ROW()-2))-1</f>
        <v>-3.5614621266158997E-3</v>
      </c>
      <c r="E30" s="11">
        <f>INDEX(Prices!E$2:E$247,Inputs!$B$13+ROW()-2)/MAX(INDEX(Prices!E$2:E$247,Inputs!$B$13):INDEX(Prices!E$2:E$247,Inputs!$B$13+ROW()-2))-1</f>
        <v>-1.7210798101207514E-2</v>
      </c>
      <c r="F30" s="11">
        <f>INDEX(Prices!F$2:F$247,Inputs!$B$13+ROW()-2)/MAX(INDEX(Prices!F$2:F$247,Inputs!$B$13):INDEX(Prices!F$2:F$247,Inputs!$B$13+ROW()-2))-1</f>
        <v>-3.3037270037692745E-2</v>
      </c>
      <c r="G30" s="11">
        <f>INDEX(Prices!G$2:G$247,Inputs!$B$13+ROW()-2)/MAX(INDEX(Prices!G$2:G$247,Inputs!$B$13):INDEX(Prices!G$2:G$247,Inputs!$B$13+ROW()-2))-1</f>
        <v>-4.5204100421089688E-2</v>
      </c>
      <c r="H30" s="11">
        <f>INDEX(Prices!H$2:H$247,Inputs!$B$13+ROW()-2)/MAX(INDEX(Prices!H$2:H$247,Inputs!$B$13):INDEX(Prices!H$2:H$247,Inputs!$B$13+ROW()-2))-1</f>
        <v>-1.4537285946053524E-2</v>
      </c>
    </row>
    <row r="31" spans="1:8" x14ac:dyDescent="0.25">
      <c r="A31" s="18">
        <f>INDEX(Prices!$A$2:$A$247,Inputs!$B$13+ROW()-2)</f>
        <v>46260</v>
      </c>
      <c r="B31" s="11">
        <f>INDEX(Prices!B$2:B$247,Inputs!$B$13+ROW()-2)/MAX(INDEX(Prices!B$2:B$247,Inputs!$B$13):INDEX(Prices!B$2:B$247,Inputs!$B$13+ROW()-2))-1</f>
        <v>-2.2868456424601225E-2</v>
      </c>
      <c r="C31" s="11">
        <f>INDEX(Prices!C$2:C$247,Inputs!$B$13+ROW()-2)/MAX(INDEX(Prices!C$2:C$247,Inputs!$B$13):INDEX(Prices!C$2:C$247,Inputs!$B$13+ROW()-2))-1</f>
        <v>-9.6161488960133656E-4</v>
      </c>
      <c r="D31" s="11">
        <f>INDEX(Prices!D$2:D$247,Inputs!$B$13+ROW()-2)/MAX(INDEX(Prices!D$2:D$247,Inputs!$B$13):INDEX(Prices!D$2:D$247,Inputs!$B$13+ROW()-2))-1</f>
        <v>0</v>
      </c>
      <c r="E31" s="11">
        <f>INDEX(Prices!E$2:E$247,Inputs!$B$13+ROW()-2)/MAX(INDEX(Prices!E$2:E$247,Inputs!$B$13):INDEX(Prices!E$2:E$247,Inputs!$B$13+ROW()-2))-1</f>
        <v>-1.2604790726127524E-2</v>
      </c>
      <c r="F31" s="11">
        <f>INDEX(Prices!F$2:F$247,Inputs!$B$13+ROW()-2)/MAX(INDEX(Prices!F$2:F$247,Inputs!$B$13):INDEX(Prices!F$2:F$247,Inputs!$B$13+ROW()-2))-1</f>
        <v>-4.7270619030485794E-2</v>
      </c>
      <c r="G31" s="11">
        <f>INDEX(Prices!G$2:G$247,Inputs!$B$13+ROW()-2)/MAX(INDEX(Prices!G$2:G$247,Inputs!$B$13):INDEX(Prices!G$2:G$247,Inputs!$B$13+ROW()-2))-1</f>
        <v>-5.4291352450485886E-2</v>
      </c>
      <c r="H31" s="11">
        <f>INDEX(Prices!H$2:H$247,Inputs!$B$13+ROW()-2)/MAX(INDEX(Prices!H$2:H$247,Inputs!$B$13):INDEX(Prices!H$2:H$247,Inputs!$B$13+ROW()-2))-1</f>
        <v>-2.1848090421244026E-2</v>
      </c>
    </row>
    <row r="32" spans="1:8" x14ac:dyDescent="0.25">
      <c r="A32" s="18">
        <f>INDEX(Prices!$A$2:$A$247,Inputs!$B$13+ROW()-2)</f>
        <v>46261</v>
      </c>
      <c r="B32" s="11">
        <f>INDEX(Prices!B$2:B$247,Inputs!$B$13+ROW()-2)/MAX(INDEX(Prices!B$2:B$247,Inputs!$B$13):INDEX(Prices!B$2:B$247,Inputs!$B$13+ROW()-2))-1</f>
        <v>-2.7587055941035721E-2</v>
      </c>
      <c r="C32" s="11">
        <f>INDEX(Prices!C$2:C$247,Inputs!$B$13+ROW()-2)/MAX(INDEX(Prices!C$2:C$247,Inputs!$B$13):INDEX(Prices!C$2:C$247,Inputs!$B$13+ROW()-2))-1</f>
        <v>-1.9863503675801031E-3</v>
      </c>
      <c r="D32" s="11">
        <f>INDEX(Prices!D$2:D$247,Inputs!$B$13+ROW()-2)/MAX(INDEX(Prices!D$2:D$247,Inputs!$B$13):INDEX(Prices!D$2:D$247,Inputs!$B$13+ROW()-2))-1</f>
        <v>-1.328031175095723E-3</v>
      </c>
      <c r="E32" s="11">
        <f>INDEX(Prices!E$2:E$247,Inputs!$B$13+ROW()-2)/MAX(INDEX(Prices!E$2:E$247,Inputs!$B$13):INDEX(Prices!E$2:E$247,Inputs!$B$13+ROW()-2))-1</f>
        <v>-1.7283421107492369E-2</v>
      </c>
      <c r="F32" s="11">
        <f>INDEX(Prices!F$2:F$247,Inputs!$B$13+ROW()-2)/MAX(INDEX(Prices!F$2:F$247,Inputs!$B$13):INDEX(Prices!F$2:F$247,Inputs!$B$13+ROW()-2))-1</f>
        <v>-5.0340711086111822E-2</v>
      </c>
      <c r="G32" s="11">
        <f>INDEX(Prices!G$2:G$247,Inputs!$B$13+ROW()-2)/MAX(INDEX(Prices!G$2:G$247,Inputs!$B$13):INDEX(Prices!G$2:G$247,Inputs!$B$13+ROW()-2))-1</f>
        <v>-5.8743415469843296E-2</v>
      </c>
      <c r="H32" s="11">
        <f>INDEX(Prices!H$2:H$247,Inputs!$B$13+ROW()-2)/MAX(INDEX(Prices!H$2:H$247,Inputs!$B$13):INDEX(Prices!H$2:H$247,Inputs!$B$13+ROW()-2))-1</f>
        <v>-2.5782601803163163E-2</v>
      </c>
    </row>
    <row r="33" spans="1:8" x14ac:dyDescent="0.25">
      <c r="A33" s="18">
        <f>INDEX(Prices!$A$2:$A$247,Inputs!$B$13+ROW()-2)</f>
        <v>46262</v>
      </c>
      <c r="B33" s="11">
        <f>INDEX(Prices!B$2:B$247,Inputs!$B$13+ROW()-2)/MAX(INDEX(Prices!B$2:B$247,Inputs!$B$13):INDEX(Prices!B$2:B$247,Inputs!$B$13+ROW()-2))-1</f>
        <v>-2.4164153982150771E-2</v>
      </c>
      <c r="C33" s="11">
        <f>INDEX(Prices!C$2:C$247,Inputs!$B$13+ROW()-2)/MAX(INDEX(Prices!C$2:C$247,Inputs!$B$13):INDEX(Prices!C$2:C$247,Inputs!$B$13+ROW()-2))-1</f>
        <v>-1.4556698652959943E-3</v>
      </c>
      <c r="D33" s="11">
        <f>INDEX(Prices!D$2:D$247,Inputs!$B$13+ROW()-2)/MAX(INDEX(Prices!D$2:D$247,Inputs!$B$13):INDEX(Prices!D$2:D$247,Inputs!$B$13+ROW()-2))-1</f>
        <v>0</v>
      </c>
      <c r="E33" s="11">
        <f>INDEX(Prices!E$2:E$247,Inputs!$B$13+ROW()-2)/MAX(INDEX(Prices!E$2:E$247,Inputs!$B$13):INDEX(Prices!E$2:E$247,Inputs!$B$13+ROW()-2))-1</f>
        <v>-1.7516669115913097E-2</v>
      </c>
      <c r="F33" s="11">
        <f>INDEX(Prices!F$2:F$247,Inputs!$B$13+ROW()-2)/MAX(INDEX(Prices!F$2:F$247,Inputs!$B$13):INDEX(Prices!F$2:F$247,Inputs!$B$13+ROW()-2))-1</f>
        <v>-1.7014343331819837E-2</v>
      </c>
      <c r="G33" s="11">
        <f>INDEX(Prices!G$2:G$247,Inputs!$B$13+ROW()-2)/MAX(INDEX(Prices!G$2:G$247,Inputs!$B$13):INDEX(Prices!G$2:G$247,Inputs!$B$13+ROW()-2))-1</f>
        <v>-6.3055382102886748E-2</v>
      </c>
      <c r="H33" s="11">
        <f>INDEX(Prices!H$2:H$247,Inputs!$B$13+ROW()-2)/MAX(INDEX(Prices!H$2:H$247,Inputs!$B$13):INDEX(Prices!H$2:H$247,Inputs!$B$13+ROW()-2))-1</f>
        <v>-2.6851817498035335E-2</v>
      </c>
    </row>
    <row r="34" spans="1:8" x14ac:dyDescent="0.25">
      <c r="A34" s="18">
        <f>INDEX(Prices!$A$2:$A$247,Inputs!$B$13+ROW()-2)</f>
        <v>46265</v>
      </c>
      <c r="B34" s="11">
        <f>INDEX(Prices!B$2:B$247,Inputs!$B$13+ROW()-2)/MAX(INDEX(Prices!B$2:B$247,Inputs!$B$13):INDEX(Prices!B$2:B$247,Inputs!$B$13+ROW()-2))-1</f>
        <v>-2.8008864024412272E-2</v>
      </c>
      <c r="C34" s="11">
        <f>INDEX(Prices!C$2:C$247,Inputs!$B$13+ROW()-2)/MAX(INDEX(Prices!C$2:C$247,Inputs!$B$13):INDEX(Prices!C$2:C$247,Inputs!$B$13+ROW()-2))-1</f>
        <v>0</v>
      </c>
      <c r="D34" s="11">
        <f>INDEX(Prices!D$2:D$247,Inputs!$B$13+ROW()-2)/MAX(INDEX(Prices!D$2:D$247,Inputs!$B$13):INDEX(Prices!D$2:D$247,Inputs!$B$13+ROW()-2))-1</f>
        <v>-7.3879482071712577E-3</v>
      </c>
      <c r="E34" s="11">
        <f>INDEX(Prices!E$2:E$247,Inputs!$B$13+ROW()-2)/MAX(INDEX(Prices!E$2:E$247,Inputs!$B$13):INDEX(Prices!E$2:E$247,Inputs!$B$13+ROW()-2))-1</f>
        <v>-8.483221522383344E-3</v>
      </c>
      <c r="F34" s="11">
        <f>INDEX(Prices!F$2:F$247,Inputs!$B$13+ROW()-2)/MAX(INDEX(Prices!F$2:F$247,Inputs!$B$13):INDEX(Prices!F$2:F$247,Inputs!$B$13+ROW()-2))-1</f>
        <v>-1.9850329084330154E-2</v>
      </c>
      <c r="G34" s="11">
        <f>INDEX(Prices!G$2:G$247,Inputs!$B$13+ROW()-2)/MAX(INDEX(Prices!G$2:G$247,Inputs!$B$13):INDEX(Prices!G$2:G$247,Inputs!$B$13+ROW()-2))-1</f>
        <v>-7.8855252413660537E-2</v>
      </c>
      <c r="H34" s="11">
        <f>INDEX(Prices!H$2:H$247,Inputs!$B$13+ROW()-2)/MAX(INDEX(Prices!H$2:H$247,Inputs!$B$13):INDEX(Prices!H$2:H$247,Inputs!$B$13+ROW()-2))-1</f>
        <v>-2.7199228275864407E-2</v>
      </c>
    </row>
    <row r="35" spans="1:8" x14ac:dyDescent="0.25">
      <c r="A35" s="18">
        <f>INDEX(Prices!$A$2:$A$247,Inputs!$B$13+ROW()-2)</f>
        <v>46266</v>
      </c>
      <c r="B35" s="11">
        <f>INDEX(Prices!B$2:B$247,Inputs!$B$13+ROW()-2)/MAX(INDEX(Prices!B$2:B$247,Inputs!$B$13):INDEX(Prices!B$2:B$247,Inputs!$B$13+ROW()-2))-1</f>
        <v>-2.9001828507768113E-2</v>
      </c>
      <c r="C35" s="11">
        <f>INDEX(Prices!C$2:C$247,Inputs!$B$13+ROW()-2)/MAX(INDEX(Prices!C$2:C$247,Inputs!$B$13):INDEX(Prices!C$2:C$247,Inputs!$B$13+ROW()-2))-1</f>
        <v>-1.3861478635572744E-2</v>
      </c>
      <c r="D35" s="11">
        <f>INDEX(Prices!D$2:D$247,Inputs!$B$13+ROW()-2)/MAX(INDEX(Prices!D$2:D$247,Inputs!$B$13):INDEX(Prices!D$2:D$247,Inputs!$B$13+ROW()-2))-1</f>
        <v>-9.6489043824701248E-3</v>
      </c>
      <c r="E35" s="11">
        <f>INDEX(Prices!E$2:E$247,Inputs!$B$13+ROW()-2)/MAX(INDEX(Prices!E$2:E$247,Inputs!$B$13):INDEX(Prices!E$2:E$247,Inputs!$B$13+ROW()-2))-1</f>
        <v>-1.8998178444124769E-2</v>
      </c>
      <c r="F35" s="11">
        <f>INDEX(Prices!F$2:F$247,Inputs!$B$13+ROW()-2)/MAX(INDEX(Prices!F$2:F$247,Inputs!$B$13):INDEX(Prices!F$2:F$247,Inputs!$B$13+ROW()-2))-1</f>
        <v>-1.0258255389551385E-2</v>
      </c>
      <c r="G35" s="11">
        <f>INDEX(Prices!G$2:G$247,Inputs!$B$13+ROW()-2)/MAX(INDEX(Prices!G$2:G$247,Inputs!$B$13):INDEX(Prices!G$2:G$247,Inputs!$B$13+ROW()-2))-1</f>
        <v>-7.0217309508942116E-2</v>
      </c>
      <c r="H35" s="11">
        <f>INDEX(Prices!H$2:H$247,Inputs!$B$13+ROW()-2)/MAX(INDEX(Prices!H$2:H$247,Inputs!$B$13):INDEX(Prices!H$2:H$247,Inputs!$B$13+ROW()-2))-1</f>
        <v>-3.9019627022487291E-2</v>
      </c>
    </row>
    <row r="36" spans="1:8" x14ac:dyDescent="0.25">
      <c r="A36" s="18">
        <f>INDEX(Prices!$A$2:$A$247,Inputs!$B$13+ROW()-2)</f>
        <v>46267</v>
      </c>
      <c r="B36" s="11">
        <f>INDEX(Prices!B$2:B$247,Inputs!$B$13+ROW()-2)/MAX(INDEX(Prices!B$2:B$247,Inputs!$B$13):INDEX(Prices!B$2:B$247,Inputs!$B$13+ROW()-2))-1</f>
        <v>-3.4707337846074271E-2</v>
      </c>
      <c r="C36" s="11">
        <f>INDEX(Prices!C$2:C$247,Inputs!$B$13+ROW()-2)/MAX(INDEX(Prices!C$2:C$247,Inputs!$B$13):INDEX(Prices!C$2:C$247,Inputs!$B$13+ROW()-2))-1</f>
        <v>-1.9044838633081485E-2</v>
      </c>
      <c r="D36" s="11">
        <f>INDEX(Prices!D$2:D$247,Inputs!$B$13+ROW()-2)/MAX(INDEX(Prices!D$2:D$247,Inputs!$B$13):INDEX(Prices!D$2:D$247,Inputs!$B$13+ROW()-2))-1</f>
        <v>-1.3334163346613526E-2</v>
      </c>
      <c r="E36" s="11">
        <f>INDEX(Prices!E$2:E$247,Inputs!$B$13+ROW()-2)/MAX(INDEX(Prices!E$2:E$247,Inputs!$B$13):INDEX(Prices!E$2:E$247,Inputs!$B$13+ROW()-2))-1</f>
        <v>-2.3058231689604192E-2</v>
      </c>
      <c r="F36" s="11">
        <f>INDEX(Prices!F$2:F$247,Inputs!$B$13+ROW()-2)/MAX(INDEX(Prices!F$2:F$247,Inputs!$B$13):INDEX(Prices!F$2:F$247,Inputs!$B$13+ROW()-2))-1</f>
        <v>-2.263289460659923E-2</v>
      </c>
      <c r="G36" s="11">
        <f>INDEX(Prices!G$2:G$247,Inputs!$B$13+ROW()-2)/MAX(INDEX(Prices!G$2:G$247,Inputs!$B$13):INDEX(Prices!G$2:G$247,Inputs!$B$13+ROW()-2))-1</f>
        <v>-7.4552291976879959E-2</v>
      </c>
      <c r="H36" s="11">
        <f>INDEX(Prices!H$2:H$247,Inputs!$B$13+ROW()-2)/MAX(INDEX(Prices!H$2:H$247,Inputs!$B$13):INDEX(Prices!H$2:H$247,Inputs!$B$13+ROW()-2))-1</f>
        <v>-5.6191163623730556E-2</v>
      </c>
    </row>
    <row r="37" spans="1:8" x14ac:dyDescent="0.25">
      <c r="A37" s="18">
        <f>INDEX(Prices!$A$2:$A$247,Inputs!$B$13+ROW()-2)</f>
        <v>46268</v>
      </c>
      <c r="B37" s="11">
        <f>INDEX(Prices!B$2:B$247,Inputs!$B$13+ROW()-2)/MAX(INDEX(Prices!B$2:B$247,Inputs!$B$13):INDEX(Prices!B$2:B$247,Inputs!$B$13+ROW()-2))-1</f>
        <v>-3.636227865166719E-2</v>
      </c>
      <c r="C37" s="11">
        <f>INDEX(Prices!C$2:C$247,Inputs!$B$13+ROW()-2)/MAX(INDEX(Prices!C$2:C$247,Inputs!$B$13):INDEX(Prices!C$2:C$247,Inputs!$B$13+ROW()-2))-1</f>
        <v>-1.5407611551621514E-2</v>
      </c>
      <c r="D37" s="11">
        <f>INDEX(Prices!D$2:D$247,Inputs!$B$13+ROW()-2)/MAX(INDEX(Prices!D$2:D$247,Inputs!$B$13):INDEX(Prices!D$2:D$247,Inputs!$B$13+ROW()-2))-1</f>
        <v>-1.4566733067729043E-3</v>
      </c>
      <c r="E37" s="11">
        <f>INDEX(Prices!E$2:E$247,Inputs!$B$13+ROW()-2)/MAX(INDEX(Prices!E$2:E$247,Inputs!$B$13):INDEX(Prices!E$2:E$247,Inputs!$B$13+ROW()-2))-1</f>
        <v>-1.9493723663480456E-2</v>
      </c>
      <c r="F37" s="11">
        <f>INDEX(Prices!F$2:F$247,Inputs!$B$13+ROW()-2)/MAX(INDEX(Prices!F$2:F$247,Inputs!$B$13):INDEX(Prices!F$2:F$247,Inputs!$B$13+ROW()-2))-1</f>
        <v>-3.0930313309650459E-2</v>
      </c>
      <c r="G37" s="11">
        <f>INDEX(Prices!G$2:G$247,Inputs!$B$13+ROW()-2)/MAX(INDEX(Prices!G$2:G$247,Inputs!$B$13):INDEX(Prices!G$2:G$247,Inputs!$B$13+ROW()-2))-1</f>
        <v>-8.0254214899851073E-2</v>
      </c>
      <c r="H37" s="11">
        <f>INDEX(Prices!H$2:H$247,Inputs!$B$13+ROW()-2)/MAX(INDEX(Prices!H$2:H$247,Inputs!$B$13):INDEX(Prices!H$2:H$247,Inputs!$B$13+ROW()-2))-1</f>
        <v>-6.1066719733944064E-2</v>
      </c>
    </row>
    <row r="38" spans="1:8" x14ac:dyDescent="0.25">
      <c r="A38" s="18">
        <f>INDEX(Prices!$A$2:$A$247,Inputs!$B$13+ROW()-2)</f>
        <v>46269</v>
      </c>
      <c r="B38" s="11">
        <f>INDEX(Prices!B$2:B$247,Inputs!$B$13+ROW()-2)/MAX(INDEX(Prices!B$2:B$247,Inputs!$B$13):INDEX(Prices!B$2:B$247,Inputs!$B$13+ROW()-2))-1</f>
        <v>-3.5383441711773878E-2</v>
      </c>
      <c r="C38" s="11">
        <f>INDEX(Prices!C$2:C$247,Inputs!$B$13+ROW()-2)/MAX(INDEX(Prices!C$2:C$247,Inputs!$B$13):INDEX(Prices!C$2:C$247,Inputs!$B$13+ROW()-2))-1</f>
        <v>-1.7838917239849095E-2</v>
      </c>
      <c r="D38" s="11">
        <f>INDEX(Prices!D$2:D$247,Inputs!$B$13+ROW()-2)/MAX(INDEX(Prices!D$2:D$247,Inputs!$B$13):INDEX(Prices!D$2:D$247,Inputs!$B$13+ROW()-2))-1</f>
        <v>0</v>
      </c>
      <c r="E38" s="11">
        <f>INDEX(Prices!E$2:E$247,Inputs!$B$13+ROW()-2)/MAX(INDEX(Prices!E$2:E$247,Inputs!$B$13):INDEX(Prices!E$2:E$247,Inputs!$B$13+ROW()-2))-1</f>
        <v>-1.9680834703202588E-2</v>
      </c>
      <c r="F38" s="11">
        <f>INDEX(Prices!F$2:F$247,Inputs!$B$13+ROW()-2)/MAX(INDEX(Prices!F$2:F$247,Inputs!$B$13):INDEX(Prices!F$2:F$247,Inputs!$B$13+ROW()-2))-1</f>
        <v>-3.5447465131515976E-2</v>
      </c>
      <c r="G38" s="11">
        <f>INDEX(Prices!G$2:G$247,Inputs!$B$13+ROW()-2)/MAX(INDEX(Prices!G$2:G$247,Inputs!$B$13):INDEX(Prices!G$2:G$247,Inputs!$B$13+ROW()-2))-1</f>
        <v>-8.1513080999727761E-2</v>
      </c>
      <c r="H38" s="11">
        <f>INDEX(Prices!H$2:H$247,Inputs!$B$13+ROW()-2)/MAX(INDEX(Prices!H$2:H$247,Inputs!$B$13):INDEX(Prices!H$2:H$247,Inputs!$B$13+ROW()-2))-1</f>
        <v>-6.5333463752913379E-2</v>
      </c>
    </row>
    <row r="39" spans="1:8" x14ac:dyDescent="0.25">
      <c r="A39" s="18">
        <f>INDEX(Prices!$A$2:$A$247,Inputs!$B$13+ROW()-2)</f>
        <v>46272</v>
      </c>
      <c r="B39" s="11">
        <f>INDEX(Prices!B$2:B$247,Inputs!$B$13+ROW()-2)/MAX(INDEX(Prices!B$2:B$247,Inputs!$B$13):INDEX(Prices!B$2:B$247,Inputs!$B$13+ROW()-2))-1</f>
        <v>-4.0168642504530783E-2</v>
      </c>
      <c r="C39" s="11">
        <f>INDEX(Prices!C$2:C$247,Inputs!$B$13+ROW()-2)/MAX(INDEX(Prices!C$2:C$247,Inputs!$B$13):INDEX(Prices!C$2:C$247,Inputs!$B$13+ROW()-2))-1</f>
        <v>-2.2399464380943424E-2</v>
      </c>
      <c r="D39" s="11">
        <f>INDEX(Prices!D$2:D$247,Inputs!$B$13+ROW()-2)/MAX(INDEX(Prices!D$2:D$247,Inputs!$B$13):INDEX(Prices!D$2:D$247,Inputs!$B$13+ROW()-2))-1</f>
        <v>0</v>
      </c>
      <c r="E39" s="11">
        <f>INDEX(Prices!E$2:E$247,Inputs!$B$13+ROW()-2)/MAX(INDEX(Prices!E$2:E$247,Inputs!$B$13):INDEX(Prices!E$2:E$247,Inputs!$B$13+ROW()-2))-1</f>
        <v>-2.4488477719261659E-2</v>
      </c>
      <c r="F39" s="11">
        <f>INDEX(Prices!F$2:F$247,Inputs!$B$13+ROW()-2)/MAX(INDEX(Prices!F$2:F$247,Inputs!$B$13):INDEX(Prices!F$2:F$247,Inputs!$B$13+ROW()-2))-1</f>
        <v>-5.7440888158463266E-2</v>
      </c>
      <c r="G39" s="11">
        <f>INDEX(Prices!G$2:G$247,Inputs!$B$13+ROW()-2)/MAX(INDEX(Prices!G$2:G$247,Inputs!$B$13):INDEX(Prices!G$2:G$247,Inputs!$B$13+ROW()-2))-1</f>
        <v>-8.7529220103431116E-2</v>
      </c>
      <c r="H39" s="11">
        <f>INDEX(Prices!H$2:H$247,Inputs!$B$13+ROW()-2)/MAX(INDEX(Prices!H$2:H$247,Inputs!$B$13):INDEX(Prices!H$2:H$247,Inputs!$B$13+ROW()-2))-1</f>
        <v>-6.5743273553944825E-2</v>
      </c>
    </row>
    <row r="40" spans="1:8" x14ac:dyDescent="0.25">
      <c r="A40" s="18">
        <f>INDEX(Prices!$A$2:$A$247,Inputs!$B$13+ROW()-2)</f>
        <v>46273</v>
      </c>
      <c r="B40" s="11">
        <f>INDEX(Prices!B$2:B$247,Inputs!$B$13+ROW()-2)/MAX(INDEX(Prices!B$2:B$247,Inputs!$B$13):INDEX(Prices!B$2:B$247,Inputs!$B$13+ROW()-2))-1</f>
        <v>-4.5983135749546933E-2</v>
      </c>
      <c r="C40" s="11">
        <f>INDEX(Prices!C$2:C$247,Inputs!$B$13+ROW()-2)/MAX(INDEX(Prices!C$2:C$247,Inputs!$B$13):INDEX(Prices!C$2:C$247,Inputs!$B$13+ROW()-2))-1</f>
        <v>-2.038077221009027E-2</v>
      </c>
      <c r="D40" s="11">
        <f>INDEX(Prices!D$2:D$247,Inputs!$B$13+ROW()-2)/MAX(INDEX(Prices!D$2:D$247,Inputs!$B$13):INDEX(Prices!D$2:D$247,Inputs!$B$13+ROW()-2))-1</f>
        <v>0</v>
      </c>
      <c r="E40" s="11">
        <f>INDEX(Prices!E$2:E$247,Inputs!$B$13+ROW()-2)/MAX(INDEX(Prices!E$2:E$247,Inputs!$B$13):INDEX(Prices!E$2:E$247,Inputs!$B$13+ROW()-2))-1</f>
        <v>-2.9798501061150229E-2</v>
      </c>
      <c r="F40" s="11">
        <f>INDEX(Prices!F$2:F$247,Inputs!$B$13+ROW()-2)/MAX(INDEX(Prices!F$2:F$247,Inputs!$B$13):INDEX(Prices!F$2:F$247,Inputs!$B$13+ROW()-2))-1</f>
        <v>-6.0952482705200484E-2</v>
      </c>
      <c r="G40" s="11">
        <f>INDEX(Prices!G$2:G$247,Inputs!$B$13+ROW()-2)/MAX(INDEX(Prices!G$2:G$247,Inputs!$B$13):INDEX(Prices!G$2:G$247,Inputs!$B$13+ROW()-2))-1</f>
        <v>-8.4373048657476302E-2</v>
      </c>
      <c r="H40" s="11">
        <f>INDEX(Prices!H$2:H$247,Inputs!$B$13+ROW()-2)/MAX(INDEX(Prices!H$2:H$247,Inputs!$B$13):INDEX(Prices!H$2:H$247,Inputs!$B$13+ROW()-2))-1</f>
        <v>-6.3159616701351617E-2</v>
      </c>
    </row>
    <row r="41" spans="1:8" x14ac:dyDescent="0.25">
      <c r="A41" s="18">
        <f>INDEX(Prices!$A$2:$A$247,Inputs!$B$13+ROW()-2)</f>
        <v>46274</v>
      </c>
      <c r="B41" s="11">
        <f>INDEX(Prices!B$2:B$247,Inputs!$B$13+ROW()-2)/MAX(INDEX(Prices!B$2:B$247,Inputs!$B$13):INDEX(Prices!B$2:B$247,Inputs!$B$13+ROW()-2))-1</f>
        <v>-5.4201329603661863E-2</v>
      </c>
      <c r="C41" s="11">
        <f>INDEX(Prices!C$2:C$247,Inputs!$B$13+ROW()-2)/MAX(INDEX(Prices!C$2:C$247,Inputs!$B$13):INDEX(Prices!C$2:C$247,Inputs!$B$13+ROW()-2))-1</f>
        <v>-2.5409986025636488E-2</v>
      </c>
      <c r="D41" s="11">
        <f>INDEX(Prices!D$2:D$247,Inputs!$B$13+ROW()-2)/MAX(INDEX(Prices!D$2:D$247,Inputs!$B$13):INDEX(Prices!D$2:D$247,Inputs!$B$13+ROW()-2))-1</f>
        <v>-4.810330912025762E-3</v>
      </c>
      <c r="E41" s="11">
        <f>INDEX(Prices!E$2:E$247,Inputs!$B$13+ROW()-2)/MAX(INDEX(Prices!E$2:E$247,Inputs!$B$13):INDEX(Prices!E$2:E$247,Inputs!$B$13+ROW()-2))-1</f>
        <v>-3.8034804362164887E-2</v>
      </c>
      <c r="F41" s="11">
        <f>INDEX(Prices!F$2:F$247,Inputs!$B$13+ROW()-2)/MAX(INDEX(Prices!F$2:F$247,Inputs!$B$13):INDEX(Prices!F$2:F$247,Inputs!$B$13+ROW()-2))-1</f>
        <v>-9.1417725775103986E-2</v>
      </c>
      <c r="G41" s="11">
        <f>INDEX(Prices!G$2:G$247,Inputs!$B$13+ROW()-2)/MAX(INDEX(Prices!G$2:G$247,Inputs!$B$13):INDEX(Prices!G$2:G$247,Inputs!$B$13+ROW()-2))-1</f>
        <v>-9.3191115487455289E-2</v>
      </c>
      <c r="H41" s="11">
        <f>INDEX(Prices!H$2:H$247,Inputs!$B$13+ROW()-2)/MAX(INDEX(Prices!H$2:H$247,Inputs!$B$13):INDEX(Prices!H$2:H$247,Inputs!$B$13+ROW()-2))-1</f>
        <v>-6.7274579312531557E-2</v>
      </c>
    </row>
    <row r="42" spans="1:8" x14ac:dyDescent="0.25">
      <c r="A42" s="18">
        <f>INDEX(Prices!$A$2:$A$247,Inputs!$B$13+ROW()-2)</f>
        <v>46275</v>
      </c>
      <c r="B42" s="11">
        <f>INDEX(Prices!B$2:B$247,Inputs!$B$13+ROW()-2)/MAX(INDEX(Prices!B$2:B$247,Inputs!$B$13):INDEX(Prices!B$2:B$247,Inputs!$B$13+ROW()-2))-1</f>
        <v>-5.2332457425638634E-2</v>
      </c>
      <c r="C42" s="11">
        <f>INDEX(Prices!C$2:C$247,Inputs!$B$13+ROW()-2)/MAX(INDEX(Prices!C$2:C$247,Inputs!$B$13):INDEX(Prices!C$2:C$247,Inputs!$B$13+ROW()-2))-1</f>
        <v>-2.90760182017058E-2</v>
      </c>
      <c r="D42" s="11">
        <f>INDEX(Prices!D$2:D$247,Inputs!$B$13+ROW()-2)/MAX(INDEX(Prices!D$2:D$247,Inputs!$B$13):INDEX(Prices!D$2:D$247,Inputs!$B$13+ROW()-2))-1</f>
        <v>-5.5528652138820966E-3</v>
      </c>
      <c r="E42" s="11">
        <f>INDEX(Prices!E$2:E$247,Inputs!$B$13+ROW()-2)/MAX(INDEX(Prices!E$2:E$247,Inputs!$B$13):INDEX(Prices!E$2:E$247,Inputs!$B$13+ROW()-2))-1</f>
        <v>-3.5020522407187893E-2</v>
      </c>
      <c r="F42" s="11">
        <f>INDEX(Prices!F$2:F$247,Inputs!$B$13+ROW()-2)/MAX(INDEX(Prices!F$2:F$247,Inputs!$B$13):INDEX(Prices!F$2:F$247,Inputs!$B$13+ROW()-2))-1</f>
        <v>-9.2142041249844819E-2</v>
      </c>
      <c r="G42" s="11">
        <f>INDEX(Prices!G$2:G$247,Inputs!$B$13+ROW()-2)/MAX(INDEX(Prices!G$2:G$247,Inputs!$B$13):INDEX(Prices!G$2:G$247,Inputs!$B$13+ROW()-2))-1</f>
        <v>-9.5665818082841025E-2</v>
      </c>
      <c r="H42" s="11">
        <f>INDEX(Prices!H$2:H$247,Inputs!$B$13+ROW()-2)/MAX(INDEX(Prices!H$2:H$247,Inputs!$B$13):INDEX(Prices!H$2:H$247,Inputs!$B$13+ROW()-2))-1</f>
        <v>-7.1065741587093889E-2</v>
      </c>
    </row>
    <row r="43" spans="1:8" x14ac:dyDescent="0.25">
      <c r="A43" s="18">
        <f>INDEX(Prices!$A$2:$A$247,Inputs!$B$13+ROW()-2)</f>
        <v>46276</v>
      </c>
      <c r="B43" s="11">
        <f>INDEX(Prices!B$2:B$247,Inputs!$B$13+ROW()-2)/MAX(INDEX(Prices!B$2:B$247,Inputs!$B$13):INDEX(Prices!B$2:B$247,Inputs!$B$13+ROW()-2))-1</f>
        <v>-5.5549500894071735E-2</v>
      </c>
      <c r="C43" s="11">
        <f>INDEX(Prices!C$2:C$247,Inputs!$B$13+ROW()-2)/MAX(INDEX(Prices!C$2:C$247,Inputs!$B$13):INDEX(Prices!C$2:C$247,Inputs!$B$13+ROW()-2))-1</f>
        <v>-3.1569605175574833E-2</v>
      </c>
      <c r="D43" s="11">
        <f>INDEX(Prices!D$2:D$247,Inputs!$B$13+ROW()-2)/MAX(INDEX(Prices!D$2:D$247,Inputs!$B$13):INDEX(Prices!D$2:D$247,Inputs!$B$13+ROW()-2))-1</f>
        <v>-1.1296951635934693E-2</v>
      </c>
      <c r="E43" s="11">
        <f>INDEX(Prices!E$2:E$247,Inputs!$B$13+ROW()-2)/MAX(INDEX(Prices!E$2:E$247,Inputs!$B$13):INDEX(Prices!E$2:E$247,Inputs!$B$13+ROW()-2))-1</f>
        <v>-3.2720509078730142E-2</v>
      </c>
      <c r="F43" s="11">
        <f>INDEX(Prices!F$2:F$247,Inputs!$B$13+ROW()-2)/MAX(INDEX(Prices!F$2:F$247,Inputs!$B$13):INDEX(Prices!F$2:F$247,Inputs!$B$13+ROW()-2))-1</f>
        <v>-9.1180477105503477E-2</v>
      </c>
      <c r="G43" s="11">
        <f>INDEX(Prices!G$2:G$247,Inputs!$B$13+ROW()-2)/MAX(INDEX(Prices!G$2:G$247,Inputs!$B$13):INDEX(Prices!G$2:G$247,Inputs!$B$13+ROW()-2))-1</f>
        <v>-9.8304633587908419E-2</v>
      </c>
      <c r="H43" s="11">
        <f>INDEX(Prices!H$2:H$247,Inputs!$B$13+ROW()-2)/MAX(INDEX(Prices!H$2:H$247,Inputs!$B$13):INDEX(Prices!H$2:H$247,Inputs!$B$13+ROW()-2))-1</f>
        <v>-7.9041011336384748E-2</v>
      </c>
    </row>
    <row r="44" spans="1:8" x14ac:dyDescent="0.25">
      <c r="A44" s="18">
        <f>INDEX(Prices!$A$2:$A$247,Inputs!$B$13+ROW()-2)</f>
        <v>46280</v>
      </c>
      <c r="B44" s="11">
        <f>INDEX(Prices!B$2:B$247,Inputs!$B$13+ROW()-2)/MAX(INDEX(Prices!B$2:B$247,Inputs!$B$13):INDEX(Prices!B$2:B$247,Inputs!$B$13+ROW()-2))-1</f>
        <v>-6.6831353459028131E-2</v>
      </c>
      <c r="C44" s="11">
        <f>INDEX(Prices!C$2:C$247,Inputs!$B$13+ROW()-2)/MAX(INDEX(Prices!C$2:C$247,Inputs!$B$13):INDEX(Prices!C$2:C$247,Inputs!$B$13+ROW()-2))-1</f>
        <v>-5.2106080599768734E-2</v>
      </c>
      <c r="D44" s="11">
        <f>INDEX(Prices!D$2:D$247,Inputs!$B$13+ROW()-2)/MAX(INDEX(Prices!D$2:D$247,Inputs!$B$13):INDEX(Prices!D$2:D$247,Inputs!$B$13+ROW()-2))-1</f>
        <v>-3.5328739057552627E-2</v>
      </c>
      <c r="E44" s="11">
        <f>INDEX(Prices!E$2:E$247,Inputs!$B$13+ROW()-2)/MAX(INDEX(Prices!E$2:E$247,Inputs!$B$13):INDEX(Prices!E$2:E$247,Inputs!$B$13+ROW()-2))-1</f>
        <v>-4.6592357667451623E-2</v>
      </c>
      <c r="F44" s="11">
        <f>INDEX(Prices!F$2:F$247,Inputs!$B$13+ROW()-2)/MAX(INDEX(Prices!F$2:F$247,Inputs!$B$13):INDEX(Prices!F$2:F$247,Inputs!$B$13+ROW()-2))-1</f>
        <v>-7.1264158324992999E-2</v>
      </c>
      <c r="G44" s="11">
        <f>INDEX(Prices!G$2:G$247,Inputs!$B$13+ROW()-2)/MAX(INDEX(Prices!G$2:G$247,Inputs!$B$13):INDEX(Prices!G$2:G$247,Inputs!$B$13+ROW()-2))-1</f>
        <v>-0.10278371519605489</v>
      </c>
      <c r="H44" s="11">
        <f>INDEX(Prices!H$2:H$247,Inputs!$B$13+ROW()-2)/MAX(INDEX(Prices!H$2:H$247,Inputs!$B$13):INDEX(Prices!H$2:H$247,Inputs!$B$13+ROW()-2))-1</f>
        <v>-9.7521240964790201E-2</v>
      </c>
    </row>
    <row r="45" spans="1:8" x14ac:dyDescent="0.25">
      <c r="A45" s="18">
        <f>INDEX(Prices!$A$2:$A$247,Inputs!$B$13+ROW()-2)</f>
        <v>46281</v>
      </c>
      <c r="B45" s="11">
        <f>INDEX(Prices!B$2:B$247,Inputs!$B$13+ROW()-2)/MAX(INDEX(Prices!B$2:B$247,Inputs!$B$13):INDEX(Prices!B$2:B$247,Inputs!$B$13+ROW()-2))-1</f>
        <v>-6.2835276879669721E-2</v>
      </c>
      <c r="C45" s="11">
        <f>INDEX(Prices!C$2:C$247,Inputs!$B$13+ROW()-2)/MAX(INDEX(Prices!C$2:C$247,Inputs!$B$13):INDEX(Prices!C$2:C$247,Inputs!$B$13+ROW()-2))-1</f>
        <v>-5.2169140401480796E-2</v>
      </c>
      <c r="D45" s="11">
        <f>INDEX(Prices!D$2:D$247,Inputs!$B$13+ROW()-2)/MAX(INDEX(Prices!D$2:D$247,Inputs!$B$13):INDEX(Prices!D$2:D$247,Inputs!$B$13+ROW()-2))-1</f>
        <v>-3.7024896007946895E-2</v>
      </c>
      <c r="E45" s="11">
        <f>INDEX(Prices!E$2:E$247,Inputs!$B$13+ROW()-2)/MAX(INDEX(Prices!E$2:E$247,Inputs!$B$13):INDEX(Prices!E$2:E$247,Inputs!$B$13+ROW()-2))-1</f>
        <v>-3.8087776437337517E-2</v>
      </c>
      <c r="F45" s="11">
        <f>INDEX(Prices!F$2:F$247,Inputs!$B$13+ROW()-2)/MAX(INDEX(Prices!F$2:F$247,Inputs!$B$13):INDEX(Prices!F$2:F$247,Inputs!$B$13+ROW()-2))-1</f>
        <v>-8.5959435191047984E-2</v>
      </c>
      <c r="G45" s="11">
        <f>INDEX(Prices!G$2:G$247,Inputs!$B$13+ROW()-2)/MAX(INDEX(Prices!G$2:G$247,Inputs!$B$13):INDEX(Prices!G$2:G$247,Inputs!$B$13+ROW()-2))-1</f>
        <v>-8.8192676561474226E-2</v>
      </c>
      <c r="H45" s="11">
        <f>INDEX(Prices!H$2:H$247,Inputs!$B$13+ROW()-2)/MAX(INDEX(Prices!H$2:H$247,Inputs!$B$13):INDEX(Prices!H$2:H$247,Inputs!$B$13+ROW()-2))-1</f>
        <v>-9.2898653867558911E-2</v>
      </c>
    </row>
    <row r="46" spans="1:8" x14ac:dyDescent="0.25">
      <c r="A46" s="18">
        <f>INDEX(Prices!$A$2:$A$247,Inputs!$B$13+ROW()-2)</f>
        <v>46282</v>
      </c>
      <c r="B46" s="11">
        <f>INDEX(Prices!B$2:B$247,Inputs!$B$13+ROW()-2)/MAX(INDEX(Prices!B$2:B$247,Inputs!$B$13):INDEX(Prices!B$2:B$247,Inputs!$B$13+ROW()-2))-1</f>
        <v>-6.0695963155366628E-2</v>
      </c>
      <c r="C46" s="11">
        <f>INDEX(Prices!C$2:C$247,Inputs!$B$13+ROW()-2)/MAX(INDEX(Prices!C$2:C$247,Inputs!$B$13):INDEX(Prices!C$2:C$247,Inputs!$B$13+ROW()-2))-1</f>
        <v>-4.3482458086641085E-2</v>
      </c>
      <c r="D46" s="11">
        <f>INDEX(Prices!D$2:D$247,Inputs!$B$13+ROW()-2)/MAX(INDEX(Prices!D$2:D$247,Inputs!$B$13):INDEX(Prices!D$2:D$247,Inputs!$B$13+ROW()-2))-1</f>
        <v>-2.9703855466567286E-2</v>
      </c>
      <c r="E46" s="11">
        <f>INDEX(Prices!E$2:E$247,Inputs!$B$13+ROW()-2)/MAX(INDEX(Prices!E$2:E$247,Inputs!$B$13):INDEX(Prices!E$2:E$247,Inputs!$B$13+ROW()-2))-1</f>
        <v>-4.2132450693250667E-2</v>
      </c>
      <c r="F46" s="11">
        <f>INDEX(Prices!F$2:F$247,Inputs!$B$13+ROW()-2)/MAX(INDEX(Prices!F$2:F$247,Inputs!$B$13):INDEX(Prices!F$2:F$247,Inputs!$B$13+ROW()-2))-1</f>
        <v>-8.3824197164642844E-2</v>
      </c>
      <c r="G46" s="11">
        <f>INDEX(Prices!G$2:G$247,Inputs!$B$13+ROW()-2)/MAX(INDEX(Prices!G$2:G$247,Inputs!$B$13):INDEX(Prices!G$2:G$247,Inputs!$B$13+ROW()-2))-1</f>
        <v>-8.7918487919688815E-2</v>
      </c>
      <c r="H46" s="11">
        <f>INDEX(Prices!H$2:H$247,Inputs!$B$13+ROW()-2)/MAX(INDEX(Prices!H$2:H$247,Inputs!$B$13):INDEX(Prices!H$2:H$247,Inputs!$B$13+ROW()-2))-1</f>
        <v>-8.3943550807982992E-2</v>
      </c>
    </row>
    <row r="47" spans="1:8" x14ac:dyDescent="0.25">
      <c r="A47" s="18">
        <f>INDEX(Prices!$A$2:$A$247,Inputs!$B$13+ROW()-2)</f>
        <v>46283</v>
      </c>
      <c r="B47" s="11">
        <f>INDEX(Prices!B$2:B$247,Inputs!$B$13+ROW()-2)/MAX(INDEX(Prices!B$2:B$247,Inputs!$B$13):INDEX(Prices!B$2:B$247,Inputs!$B$13+ROW()-2))-1</f>
        <v>-5.7636340885514392E-2</v>
      </c>
      <c r="C47" s="11">
        <f>INDEX(Prices!C$2:C$247,Inputs!$B$13+ROW()-2)/MAX(INDEX(Prices!C$2:C$247,Inputs!$B$13):INDEX(Prices!C$2:C$247,Inputs!$B$13+ROW()-2))-1</f>
        <v>-3.1662248587966513E-2</v>
      </c>
      <c r="D47" s="11">
        <f>INDEX(Prices!D$2:D$247,Inputs!$B$13+ROW()-2)/MAX(INDEX(Prices!D$2:D$247,Inputs!$B$13):INDEX(Prices!D$2:D$247,Inputs!$B$13+ROW()-2))-1</f>
        <v>-1.2816787732041979E-2</v>
      </c>
      <c r="E47" s="11">
        <f>INDEX(Prices!E$2:E$247,Inputs!$B$13+ROW()-2)/MAX(INDEX(Prices!E$2:E$247,Inputs!$B$13):INDEX(Prices!E$2:E$247,Inputs!$B$13+ROW()-2))-1</f>
        <v>-3.6955711927602608E-2</v>
      </c>
      <c r="F47" s="11">
        <f>INDEX(Prices!F$2:F$247,Inputs!$B$13+ROW()-2)/MAX(INDEX(Prices!F$2:F$247,Inputs!$B$13):INDEX(Prices!F$2:F$247,Inputs!$B$13+ROW()-2))-1</f>
        <v>-9.3284291467060965E-2</v>
      </c>
      <c r="G47" s="11">
        <f>INDEX(Prices!G$2:G$247,Inputs!$B$13+ROW()-2)/MAX(INDEX(Prices!G$2:G$247,Inputs!$B$13):INDEX(Prices!G$2:G$247,Inputs!$B$13+ROW()-2))-1</f>
        <v>-9.0037946106921507E-2</v>
      </c>
      <c r="H47" s="11">
        <f>INDEX(Prices!H$2:H$247,Inputs!$B$13+ROW()-2)/MAX(INDEX(Prices!H$2:H$247,Inputs!$B$13):INDEX(Prices!H$2:H$247,Inputs!$B$13+ROW()-2))-1</f>
        <v>-8.4960486240172162E-2</v>
      </c>
    </row>
    <row r="48" spans="1:8" x14ac:dyDescent="0.25">
      <c r="A48" s="18">
        <f>INDEX(Prices!$A$2:$A$247,Inputs!$B$13+ROW()-2)</f>
        <v>46286</v>
      </c>
      <c r="B48" s="11">
        <f>INDEX(Prices!B$2:B$247,Inputs!$B$13+ROW()-2)/MAX(INDEX(Prices!B$2:B$247,Inputs!$B$13):INDEX(Prices!B$2:B$247,Inputs!$B$13+ROW()-2))-1</f>
        <v>-5.4895597453813005E-2</v>
      </c>
      <c r="C48" s="11">
        <f>INDEX(Prices!C$2:C$247,Inputs!$B$13+ROW()-2)/MAX(INDEX(Prices!C$2:C$247,Inputs!$B$13):INDEX(Prices!C$2:C$247,Inputs!$B$13+ROW()-2))-1</f>
        <v>-3.4436101347222081E-2</v>
      </c>
      <c r="D48" s="11">
        <f>INDEX(Prices!D$2:D$247,Inputs!$B$13+ROW()-2)/MAX(INDEX(Prices!D$2:D$247,Inputs!$B$13):INDEX(Prices!D$2:D$247,Inputs!$B$13+ROW()-2))-1</f>
        <v>-1.3522071149189796E-2</v>
      </c>
      <c r="E48" s="11">
        <f>INDEX(Prices!E$2:E$247,Inputs!$B$13+ROW()-2)/MAX(INDEX(Prices!E$2:E$247,Inputs!$B$13):INDEX(Prices!E$2:E$247,Inputs!$B$13+ROW()-2))-1</f>
        <v>-3.5042736503227867E-2</v>
      </c>
      <c r="F48" s="11">
        <f>INDEX(Prices!F$2:F$247,Inputs!$B$13+ROW()-2)/MAX(INDEX(Prices!F$2:F$247,Inputs!$B$13):INDEX(Prices!F$2:F$247,Inputs!$B$13+ROW()-2))-1</f>
        <v>-9.4027461140710478E-2</v>
      </c>
      <c r="G48" s="11">
        <f>INDEX(Prices!G$2:G$247,Inputs!$B$13+ROW()-2)/MAX(INDEX(Prices!G$2:G$247,Inputs!$B$13):INDEX(Prices!G$2:G$247,Inputs!$B$13+ROW()-2))-1</f>
        <v>-8.1349968778519521E-2</v>
      </c>
      <c r="H48" s="11">
        <f>INDEX(Prices!H$2:H$247,Inputs!$B$13+ROW()-2)/MAX(INDEX(Prices!H$2:H$247,Inputs!$B$13):INDEX(Prices!H$2:H$247,Inputs!$B$13+ROW()-2))-1</f>
        <v>-8.4215070881917486E-2</v>
      </c>
    </row>
    <row r="49" spans="1:8" x14ac:dyDescent="0.25">
      <c r="A49" s="18">
        <f>INDEX(Prices!$A$2:$A$247,Inputs!$B$13+ROW()-2)</f>
        <v>46287</v>
      </c>
      <c r="B49" s="11">
        <f>INDEX(Prices!B$2:B$247,Inputs!$B$13+ROW()-2)/MAX(INDEX(Prices!B$2:B$247,Inputs!$B$13):INDEX(Prices!B$2:B$247,Inputs!$B$13+ROW()-2))-1</f>
        <v>-5.8338681617644106E-2</v>
      </c>
      <c r="C49" s="11">
        <f>INDEX(Prices!C$2:C$247,Inputs!$B$13+ROW()-2)/MAX(INDEX(Prices!C$2:C$247,Inputs!$B$13):INDEX(Prices!C$2:C$247,Inputs!$B$13+ROW()-2))-1</f>
        <v>-3.5213838901669514E-2</v>
      </c>
      <c r="D49" s="11">
        <f>INDEX(Prices!D$2:D$247,Inputs!$B$13+ROW()-2)/MAX(INDEX(Prices!D$2:D$247,Inputs!$B$13):INDEX(Prices!D$2:D$247,Inputs!$B$13+ROW()-2))-1</f>
        <v>-1.5809275470292428E-2</v>
      </c>
      <c r="E49" s="11">
        <f>INDEX(Prices!E$2:E$247,Inputs!$B$13+ROW()-2)/MAX(INDEX(Prices!E$2:E$247,Inputs!$B$13):INDEX(Prices!E$2:E$247,Inputs!$B$13+ROW()-2))-1</f>
        <v>-3.9401825656939171E-2</v>
      </c>
      <c r="F49" s="11">
        <f>INDEX(Prices!F$2:F$247,Inputs!$B$13+ROW()-2)/MAX(INDEX(Prices!F$2:F$247,Inputs!$B$13):INDEX(Prices!F$2:F$247,Inputs!$B$13+ROW()-2))-1</f>
        <v>-0.10184566895483327</v>
      </c>
      <c r="G49" s="11">
        <f>INDEX(Prices!G$2:G$247,Inputs!$B$13+ROW()-2)/MAX(INDEX(Prices!G$2:G$247,Inputs!$B$13):INDEX(Prices!G$2:G$247,Inputs!$B$13+ROW()-2))-1</f>
        <v>-8.6216316825976191E-2</v>
      </c>
      <c r="H49" s="11">
        <f>INDEX(Prices!H$2:H$247,Inputs!$B$13+ROW()-2)/MAX(INDEX(Prices!H$2:H$247,Inputs!$B$13):INDEX(Prices!H$2:H$247,Inputs!$B$13+ROW()-2))-1</f>
        <v>-8.6400723154085202E-2</v>
      </c>
    </row>
    <row r="50" spans="1:8" x14ac:dyDescent="0.25">
      <c r="A50" s="18">
        <f>INDEX(Prices!$A$2:$A$247,Inputs!$B$13+ROW()-2)</f>
        <v>46288</v>
      </c>
      <c r="B50" s="11">
        <f>INDEX(Prices!B$2:B$247,Inputs!$B$13+ROW()-2)/MAX(INDEX(Prices!B$2:B$247,Inputs!$B$13):INDEX(Prices!B$2:B$247,Inputs!$B$13+ROW()-2))-1</f>
        <v>-5.3583754132306427E-2</v>
      </c>
      <c r="C50" s="11">
        <f>INDEX(Prices!C$2:C$247,Inputs!$B$13+ROW()-2)/MAX(INDEX(Prices!C$2:C$247,Inputs!$B$13):INDEX(Prices!C$2:C$247,Inputs!$B$13+ROW()-2))-1</f>
        <v>-2.8467218634560698E-2</v>
      </c>
      <c r="D50" s="11">
        <f>INDEX(Prices!D$2:D$247,Inputs!$B$13+ROW()-2)/MAX(INDEX(Prices!D$2:D$247,Inputs!$B$13):INDEX(Prices!D$2:D$247,Inputs!$B$13+ROW()-2))-1</f>
        <v>-7.0652511330477896E-3</v>
      </c>
      <c r="E50" s="11">
        <f>INDEX(Prices!E$2:E$247,Inputs!$B$13+ROW()-2)/MAX(INDEX(Prices!E$2:E$247,Inputs!$B$13):INDEX(Prices!E$2:E$247,Inputs!$B$13+ROW()-2))-1</f>
        <v>-3.3705618799276804E-2</v>
      </c>
      <c r="F50" s="11">
        <f>INDEX(Prices!F$2:F$247,Inputs!$B$13+ROW()-2)/MAX(INDEX(Prices!F$2:F$247,Inputs!$B$13):INDEX(Prices!F$2:F$247,Inputs!$B$13+ROW()-2))-1</f>
        <v>-0.10964030902032018</v>
      </c>
      <c r="G50" s="11">
        <f>INDEX(Prices!G$2:G$247,Inputs!$B$13+ROW()-2)/MAX(INDEX(Prices!G$2:G$247,Inputs!$B$13):INDEX(Prices!G$2:G$247,Inputs!$B$13+ROW()-2))-1</f>
        <v>-7.4176033110780248E-2</v>
      </c>
      <c r="H50" s="11">
        <f>INDEX(Prices!H$2:H$247,Inputs!$B$13+ROW()-2)/MAX(INDEX(Prices!H$2:H$247,Inputs!$B$13):INDEX(Prices!H$2:H$247,Inputs!$B$13+ROW()-2))-1</f>
        <v>-8.3997517530752686E-2</v>
      </c>
    </row>
    <row r="51" spans="1:8" x14ac:dyDescent="0.25">
      <c r="A51" s="18">
        <f>INDEX(Prices!$A$2:$A$247,Inputs!$B$13+ROW()-2)</f>
        <v>46289</v>
      </c>
      <c r="B51" s="11">
        <f>INDEX(Prices!B$2:B$247,Inputs!$B$13+ROW()-2)/MAX(INDEX(Prices!B$2:B$247,Inputs!$B$13):INDEX(Prices!B$2:B$247,Inputs!$B$13+ROW()-2))-1</f>
        <v>-6.9071578208062423E-2</v>
      </c>
      <c r="C51" s="11">
        <f>INDEX(Prices!C$2:C$247,Inputs!$B$13+ROW()-2)/MAX(INDEX(Prices!C$2:C$247,Inputs!$B$13):INDEX(Prices!C$2:C$247,Inputs!$B$13+ROW()-2))-1</f>
        <v>-5.0363761633949511E-2</v>
      </c>
      <c r="D51" s="11">
        <f>INDEX(Prices!D$2:D$247,Inputs!$B$13+ROW()-2)/MAX(INDEX(Prices!D$2:D$247,Inputs!$B$13):INDEX(Prices!D$2:D$247,Inputs!$B$13+ROW()-2))-1</f>
        <v>-2.230086297882905E-2</v>
      </c>
      <c r="E51" s="11">
        <f>INDEX(Prices!E$2:E$247,Inputs!$B$13+ROW()-2)/MAX(INDEX(Prices!E$2:E$247,Inputs!$B$13):INDEX(Prices!E$2:E$247,Inputs!$B$13+ROW()-2))-1</f>
        <v>-5.2679874370743063E-2</v>
      </c>
      <c r="F51" s="11">
        <f>INDEX(Prices!F$2:F$247,Inputs!$B$13+ROW()-2)/MAX(INDEX(Prices!F$2:F$247,Inputs!$B$13):INDEX(Prices!F$2:F$247,Inputs!$B$13+ROW()-2))-1</f>
        <v>-0.1135745518592598</v>
      </c>
      <c r="G51" s="11">
        <f>INDEX(Prices!G$2:G$247,Inputs!$B$13+ROW()-2)/MAX(INDEX(Prices!G$2:G$247,Inputs!$B$13):INDEX(Prices!G$2:G$247,Inputs!$B$13+ROW()-2))-1</f>
        <v>-8.4182917847479111E-2</v>
      </c>
      <c r="H51" s="11">
        <f>INDEX(Prices!H$2:H$247,Inputs!$B$13+ROW()-2)/MAX(INDEX(Prices!H$2:H$247,Inputs!$B$13):INDEX(Prices!H$2:H$247,Inputs!$B$13+ROW()-2))-1</f>
        <v>-9.8415064810661201E-2</v>
      </c>
    </row>
    <row r="52" spans="1:8" x14ac:dyDescent="0.25">
      <c r="A52" s="18">
        <f>INDEX(Prices!$A$2:$A$247,Inputs!$B$13+ROW()-2)</f>
        <v>46290</v>
      </c>
      <c r="B52" s="11">
        <f>INDEX(Prices!B$2:B$247,Inputs!$B$13+ROW()-2)/MAX(INDEX(Prices!B$2:B$247,Inputs!$B$13):INDEX(Prices!B$2:B$247,Inputs!$B$13+ROW()-2))-1</f>
        <v>-6.5947372882382171E-2</v>
      </c>
      <c r="C52" s="11">
        <f>INDEX(Prices!C$2:C$247,Inputs!$B$13+ROW()-2)/MAX(INDEX(Prices!C$2:C$247,Inputs!$B$13):INDEX(Prices!C$2:C$247,Inputs!$B$13+ROW()-2))-1</f>
        <v>-5.1674004180631283E-2</v>
      </c>
      <c r="D52" s="11">
        <f>INDEX(Prices!D$2:D$247,Inputs!$B$13+ROW()-2)/MAX(INDEX(Prices!D$2:D$247,Inputs!$B$13):INDEX(Prices!D$2:D$247,Inputs!$B$13+ROW()-2))-1</f>
        <v>-2.0785993667349567E-2</v>
      </c>
      <c r="E52" s="11">
        <f>INDEX(Prices!E$2:E$247,Inputs!$B$13+ROW()-2)/MAX(INDEX(Prices!E$2:E$247,Inputs!$B$13):INDEX(Prices!E$2:E$247,Inputs!$B$13+ROW()-2))-1</f>
        <v>-5.0255120349137261E-2</v>
      </c>
      <c r="F52" s="11">
        <f>INDEX(Prices!F$2:F$247,Inputs!$B$13+ROW()-2)/MAX(INDEX(Prices!F$2:F$247,Inputs!$B$13):INDEX(Prices!F$2:F$247,Inputs!$B$13+ROW()-2))-1</f>
        <v>-0.11508131658870979</v>
      </c>
      <c r="G52" s="11">
        <f>INDEX(Prices!G$2:G$247,Inputs!$B$13+ROW()-2)/MAX(INDEX(Prices!G$2:G$247,Inputs!$B$13):INDEX(Prices!G$2:G$247,Inputs!$B$13+ROW()-2))-1</f>
        <v>-8.0541412491794251E-2</v>
      </c>
      <c r="H52" s="11">
        <f>INDEX(Prices!H$2:H$247,Inputs!$B$13+ROW()-2)/MAX(INDEX(Prices!H$2:H$247,Inputs!$B$13):INDEX(Prices!H$2:H$247,Inputs!$B$13+ROW()-2))-1</f>
        <v>-9.0394260639033441E-2</v>
      </c>
    </row>
    <row r="53" spans="1:8" x14ac:dyDescent="0.25">
      <c r="A53" s="18">
        <f>INDEX(Prices!$A$2:$A$247,Inputs!$B$13+ROW()-2)</f>
        <v>46293</v>
      </c>
      <c r="B53" s="11">
        <f>INDEX(Prices!B$2:B$247,Inputs!$B$13+ROW()-2)/MAX(INDEX(Prices!B$2:B$247,Inputs!$B$13):INDEX(Prices!B$2:B$247,Inputs!$B$13+ROW()-2))-1</f>
        <v>-8.0488651546158696E-2</v>
      </c>
      <c r="C53" s="11">
        <f>INDEX(Prices!C$2:C$247,Inputs!$B$13+ROW()-2)/MAX(INDEX(Prices!C$2:C$247,Inputs!$B$13):INDEX(Prices!C$2:C$247,Inputs!$B$13+ROW()-2))-1</f>
        <v>-6.7116648955426128E-2</v>
      </c>
      <c r="D53" s="11">
        <f>INDEX(Prices!D$2:D$247,Inputs!$B$13+ROW()-2)/MAX(INDEX(Prices!D$2:D$247,Inputs!$B$13):INDEX(Prices!D$2:D$247,Inputs!$B$13+ROW()-2))-1</f>
        <v>-3.8872539889489133E-2</v>
      </c>
      <c r="E53" s="11">
        <f>INDEX(Prices!E$2:E$247,Inputs!$B$13+ROW()-2)/MAX(INDEX(Prices!E$2:E$247,Inputs!$B$13):INDEX(Prices!E$2:E$247,Inputs!$B$13+ROW()-2))-1</f>
        <v>-6.9201181106398724E-2</v>
      </c>
      <c r="F53" s="11">
        <f>INDEX(Prices!F$2:F$247,Inputs!$B$13+ROW()-2)/MAX(INDEX(Prices!F$2:F$247,Inputs!$B$13):INDEX(Prices!F$2:F$247,Inputs!$B$13+ROW()-2))-1</f>
        <v>-0.11741923725338321</v>
      </c>
      <c r="G53" s="11">
        <f>INDEX(Prices!G$2:G$247,Inputs!$B$13+ROW()-2)/MAX(INDEX(Prices!G$2:G$247,Inputs!$B$13):INDEX(Prices!G$2:G$247,Inputs!$B$13+ROW()-2))-1</f>
        <v>-9.4089733736810954E-2</v>
      </c>
      <c r="H53" s="11">
        <f>INDEX(Prices!H$2:H$247,Inputs!$B$13+ROW()-2)/MAX(INDEX(Prices!H$2:H$247,Inputs!$B$13):INDEX(Prices!H$2:H$247,Inputs!$B$13+ROW()-2))-1</f>
        <v>-0.10533123762559915</v>
      </c>
    </row>
    <row r="54" spans="1:8" x14ac:dyDescent="0.25">
      <c r="A54" s="18">
        <f>INDEX(Prices!$A$2:$A$247,Inputs!$B$13+ROW()-2)</f>
        <v>46294</v>
      </c>
      <c r="B54" s="11">
        <f>INDEX(Prices!B$2:B$247,Inputs!$B$13+ROW()-2)/MAX(INDEX(Prices!B$2:B$247,Inputs!$B$13):INDEX(Prices!B$2:B$247,Inputs!$B$13+ROW()-2))-1</f>
        <v>-8.3073991999773944E-2</v>
      </c>
      <c r="C54" s="11">
        <f>INDEX(Prices!C$2:C$247,Inputs!$B$13+ROW()-2)/MAX(INDEX(Prices!C$2:C$247,Inputs!$B$13):INDEX(Prices!C$2:C$247,Inputs!$B$13+ROW()-2))-1</f>
        <v>-7.6377876130307998E-2</v>
      </c>
      <c r="D54" s="11">
        <f>INDEX(Prices!D$2:D$247,Inputs!$B$13+ROW()-2)/MAX(INDEX(Prices!D$2:D$247,Inputs!$B$13):INDEX(Prices!D$2:D$247,Inputs!$B$13+ROW()-2))-1</f>
        <v>-4.6697709070590454E-2</v>
      </c>
      <c r="E54" s="11">
        <f>INDEX(Prices!E$2:E$247,Inputs!$B$13+ROW()-2)/MAX(INDEX(Prices!E$2:E$247,Inputs!$B$13):INDEX(Prices!E$2:E$247,Inputs!$B$13+ROW()-2))-1</f>
        <v>-7.281866120769509E-2</v>
      </c>
      <c r="F54" s="11">
        <f>INDEX(Prices!F$2:F$247,Inputs!$B$13+ROW()-2)/MAX(INDEX(Prices!F$2:F$247,Inputs!$B$13):INDEX(Prices!F$2:F$247,Inputs!$B$13+ROW()-2))-1</f>
        <v>-0.13050719366247532</v>
      </c>
      <c r="G54" s="11">
        <f>INDEX(Prices!G$2:G$247,Inputs!$B$13+ROW()-2)/MAX(INDEX(Prices!G$2:G$247,Inputs!$B$13):INDEX(Prices!G$2:G$247,Inputs!$B$13+ROW()-2))-1</f>
        <v>-0.103577261155675</v>
      </c>
      <c r="H54" s="11">
        <f>INDEX(Prices!H$2:H$247,Inputs!$B$13+ROW()-2)/MAX(INDEX(Prices!H$2:H$247,Inputs!$B$13):INDEX(Prices!H$2:H$247,Inputs!$B$13+ROW()-2))-1</f>
        <v>-0.11719379787438577</v>
      </c>
    </row>
    <row r="55" spans="1:8" x14ac:dyDescent="0.25">
      <c r="A55" s="18">
        <f>INDEX(Prices!$A$2:$A$247,Inputs!$B$13+ROW()-2)</f>
        <v>46295</v>
      </c>
      <c r="B55" s="11">
        <f>INDEX(Prices!B$2:B$247,Inputs!$B$13+ROW()-2)/MAX(INDEX(Prices!B$2:B$247,Inputs!$B$13):INDEX(Prices!B$2:B$247,Inputs!$B$13+ROW()-2))-1</f>
        <v>-8.6938884246981707E-2</v>
      </c>
      <c r="C55" s="11">
        <f>INDEX(Prices!C$2:C$247,Inputs!$B$13+ROW()-2)/MAX(INDEX(Prices!C$2:C$247,Inputs!$B$13):INDEX(Prices!C$2:C$247,Inputs!$B$13+ROW()-2))-1</f>
        <v>-7.6180911564466935E-2</v>
      </c>
      <c r="D55" s="11">
        <f>INDEX(Prices!D$2:D$247,Inputs!$B$13+ROW()-2)/MAX(INDEX(Prices!D$2:D$247,Inputs!$B$13):INDEX(Prices!D$2:D$247,Inputs!$B$13+ROW()-2))-1</f>
        <v>-4.4107530887191881E-2</v>
      </c>
      <c r="E55" s="11">
        <f>INDEX(Prices!E$2:E$247,Inputs!$B$13+ROW()-2)/MAX(INDEX(Prices!E$2:E$247,Inputs!$B$13):INDEX(Prices!E$2:E$247,Inputs!$B$13+ROW()-2))-1</f>
        <v>-6.6443215644191644E-2</v>
      </c>
      <c r="F55" s="11">
        <f>INDEX(Prices!F$2:F$247,Inputs!$B$13+ROW()-2)/MAX(INDEX(Prices!F$2:F$247,Inputs!$B$13):INDEX(Prices!F$2:F$247,Inputs!$B$13+ROW()-2))-1</f>
        <v>-0.12941365012577333</v>
      </c>
      <c r="G55" s="11">
        <f>INDEX(Prices!G$2:G$247,Inputs!$B$13+ROW()-2)/MAX(INDEX(Prices!G$2:G$247,Inputs!$B$13):INDEX(Prices!G$2:G$247,Inputs!$B$13+ROW()-2))-1</f>
        <v>-0.10921814208175229</v>
      </c>
      <c r="H55" s="11">
        <f>INDEX(Prices!H$2:H$247,Inputs!$B$13+ROW()-2)/MAX(INDEX(Prices!H$2:H$247,Inputs!$B$13):INDEX(Prices!H$2:H$247,Inputs!$B$13+ROW()-2))-1</f>
        <v>-0.11312605614562921</v>
      </c>
    </row>
    <row r="56" spans="1:8" x14ac:dyDescent="0.25">
      <c r="A56" s="18">
        <f>INDEX(Prices!$A$2:$A$247,Inputs!$B$13+ROW()-2)</f>
        <v>46296</v>
      </c>
      <c r="B56" s="11">
        <f>INDEX(Prices!B$2:B$247,Inputs!$B$13+ROW()-2)/MAX(INDEX(Prices!B$2:B$247,Inputs!$B$13):INDEX(Prices!B$2:B$247,Inputs!$B$13+ROW()-2))-1</f>
        <v>-9.4951219610644899E-2</v>
      </c>
      <c r="C56" s="11">
        <f>INDEX(Prices!C$2:C$247,Inputs!$B$13+ROW()-2)/MAX(INDEX(Prices!C$2:C$247,Inputs!$B$13):INDEX(Prices!C$2:C$247,Inputs!$B$13+ROW()-2))-1</f>
        <v>-8.5523882926753281E-2</v>
      </c>
      <c r="D56" s="11">
        <f>INDEX(Prices!D$2:D$247,Inputs!$B$13+ROW()-2)/MAX(INDEX(Prices!D$2:D$247,Inputs!$B$13):INDEX(Prices!D$2:D$247,Inputs!$B$13+ROW()-2))-1</f>
        <v>-5.3397901533494663E-2</v>
      </c>
      <c r="E56" s="11">
        <f>INDEX(Prices!E$2:E$247,Inputs!$B$13+ROW()-2)/MAX(INDEX(Prices!E$2:E$247,Inputs!$B$13):INDEX(Prices!E$2:E$247,Inputs!$B$13+ROW()-2))-1</f>
        <v>-6.9558315419658512E-2</v>
      </c>
      <c r="F56" s="11">
        <f>INDEX(Prices!F$2:F$247,Inputs!$B$13+ROW()-2)/MAX(INDEX(Prices!F$2:F$247,Inputs!$B$13):INDEX(Prices!F$2:F$247,Inputs!$B$13+ROW()-2))-1</f>
        <v>-0.11056259358360188</v>
      </c>
      <c r="G56" s="11">
        <f>INDEX(Prices!G$2:G$247,Inputs!$B$13+ROW()-2)/MAX(INDEX(Prices!G$2:G$247,Inputs!$B$13):INDEX(Prices!G$2:G$247,Inputs!$B$13+ROW()-2))-1</f>
        <v>-0.12360003682533582</v>
      </c>
      <c r="H56" s="11">
        <f>INDEX(Prices!H$2:H$247,Inputs!$B$13+ROW()-2)/MAX(INDEX(Prices!H$2:H$247,Inputs!$B$13):INDEX(Prices!H$2:H$247,Inputs!$B$13+ROW()-2))-1</f>
        <v>-0.14378590051909246</v>
      </c>
    </row>
    <row r="57" spans="1:8" x14ac:dyDescent="0.25">
      <c r="A57" s="18">
        <f>INDEX(Prices!$A$2:$A$247,Inputs!$B$13+ROW()-2)</f>
        <v>46300</v>
      </c>
      <c r="B57" s="11">
        <f>INDEX(Prices!B$2:B$247,Inputs!$B$13+ROW()-2)/MAX(INDEX(Prices!B$2:B$247,Inputs!$B$13):INDEX(Prices!B$2:B$247,Inputs!$B$13+ROW()-2))-1</f>
        <v>-8.9550461567027062E-2</v>
      </c>
      <c r="C57" s="11">
        <f>INDEX(Prices!C$2:C$247,Inputs!$B$13+ROW()-2)/MAX(INDEX(Prices!C$2:C$247,Inputs!$B$13):INDEX(Prices!C$2:C$247,Inputs!$B$13+ROW()-2))-1</f>
        <v>-7.942576654638589E-2</v>
      </c>
      <c r="D57" s="11">
        <f>INDEX(Prices!D$2:D$247,Inputs!$B$13+ROW()-2)/MAX(INDEX(Prices!D$2:D$247,Inputs!$B$13):INDEX(Prices!D$2:D$247,Inputs!$B$13+ROW()-2))-1</f>
        <v>-4.8905444837648249E-2</v>
      </c>
      <c r="E57" s="11">
        <f>INDEX(Prices!E$2:E$247,Inputs!$B$13+ROW()-2)/MAX(INDEX(Prices!E$2:E$247,Inputs!$B$13):INDEX(Prices!E$2:E$247,Inputs!$B$13+ROW()-2))-1</f>
        <v>-6.505825219492356E-2</v>
      </c>
      <c r="F57" s="11">
        <f>INDEX(Prices!F$2:F$247,Inputs!$B$13+ROW()-2)/MAX(INDEX(Prices!F$2:F$247,Inputs!$B$13):INDEX(Prices!F$2:F$247,Inputs!$B$13+ROW()-2))-1</f>
        <v>-0.11065843576138756</v>
      </c>
      <c r="G57" s="11">
        <f>INDEX(Prices!G$2:G$247,Inputs!$B$13+ROW()-2)/MAX(INDEX(Prices!G$2:G$247,Inputs!$B$13):INDEX(Prices!G$2:G$247,Inputs!$B$13+ROW()-2))-1</f>
        <v>-0.10779316169524622</v>
      </c>
      <c r="H57" s="11">
        <f>INDEX(Prices!H$2:H$247,Inputs!$B$13+ROW()-2)/MAX(INDEX(Prices!H$2:H$247,Inputs!$B$13):INDEX(Prices!H$2:H$247,Inputs!$B$13+ROW()-2))-1</f>
        <v>-0.14253960651513264</v>
      </c>
    </row>
    <row r="58" spans="1:8" x14ac:dyDescent="0.25">
      <c r="A58" s="18">
        <f>INDEX(Prices!$A$2:$A$247,Inputs!$B$13+ROW()-2)</f>
        <v>46301</v>
      </c>
      <c r="B58" s="11">
        <f>INDEX(Prices!B$2:B$247,Inputs!$B$13+ROW()-2)/MAX(INDEX(Prices!B$2:B$247,Inputs!$B$13):INDEX(Prices!B$2:B$247,Inputs!$B$13+ROW()-2))-1</f>
        <v>-8.0656163847212636E-2</v>
      </c>
      <c r="C58" s="11">
        <f>INDEX(Prices!C$2:C$247,Inputs!$B$13+ROW()-2)/MAX(INDEX(Prices!C$2:C$247,Inputs!$B$13):INDEX(Prices!C$2:C$247,Inputs!$B$13+ROW()-2))-1</f>
        <v>-6.9498908131211179E-2</v>
      </c>
      <c r="D58" s="11">
        <f>INDEX(Prices!D$2:D$247,Inputs!$B$13+ROW()-2)/MAX(INDEX(Prices!D$2:D$247,Inputs!$B$13):INDEX(Prices!D$2:D$247,Inputs!$B$13+ROW()-2))-1</f>
        <v>-3.4024958092754631E-2</v>
      </c>
      <c r="E58" s="11">
        <f>INDEX(Prices!E$2:E$247,Inputs!$B$13+ROW()-2)/MAX(INDEX(Prices!E$2:E$247,Inputs!$B$13):INDEX(Prices!E$2:E$247,Inputs!$B$13+ROW()-2))-1</f>
        <v>-5.7978790664611535E-2</v>
      </c>
      <c r="F58" s="11">
        <f>INDEX(Prices!F$2:F$247,Inputs!$B$13+ROW()-2)/MAX(INDEX(Prices!F$2:F$247,Inputs!$B$13):INDEX(Prices!F$2:F$247,Inputs!$B$13+ROW()-2))-1</f>
        <v>-0.11586219466017667</v>
      </c>
      <c r="G58" s="11">
        <f>INDEX(Prices!G$2:G$247,Inputs!$B$13+ROW()-2)/MAX(INDEX(Prices!G$2:G$247,Inputs!$B$13):INDEX(Prices!G$2:G$247,Inputs!$B$13+ROW()-2))-1</f>
        <v>-9.5270546135741374E-2</v>
      </c>
      <c r="H58" s="11">
        <f>INDEX(Prices!H$2:H$247,Inputs!$B$13+ROW()-2)/MAX(INDEX(Prices!H$2:H$247,Inputs!$B$13):INDEX(Prices!H$2:H$247,Inputs!$B$13+ROW()-2))-1</f>
        <v>-0.13849041584732813</v>
      </c>
    </row>
    <row r="59" spans="1:8" x14ac:dyDescent="0.25">
      <c r="A59" s="18">
        <f>INDEX(Prices!$A$2:$A$247,Inputs!$B$13+ROW()-2)</f>
        <v>46302</v>
      </c>
      <c r="B59" s="11">
        <f>INDEX(Prices!B$2:B$247,Inputs!$B$13+ROW()-2)/MAX(INDEX(Prices!B$2:B$247,Inputs!$B$13):INDEX(Prices!B$2:B$247,Inputs!$B$13+ROW()-2))-1</f>
        <v>-8.7641224979111421E-2</v>
      </c>
      <c r="C59" s="11">
        <f>INDEX(Prices!C$2:C$247,Inputs!$B$13+ROW()-2)/MAX(INDEX(Prices!C$2:C$247,Inputs!$B$13):INDEX(Prices!C$2:C$247,Inputs!$B$13+ROW()-2))-1</f>
        <v>-7.5393831817173296E-2</v>
      </c>
      <c r="D59" s="11">
        <f>INDEX(Prices!D$2:D$247,Inputs!$B$13+ROW()-2)/MAX(INDEX(Prices!D$2:D$247,Inputs!$B$13):INDEX(Prices!D$2:D$247,Inputs!$B$13+ROW()-2))-1</f>
        <v>-3.1131806047060229E-2</v>
      </c>
      <c r="E59" s="11">
        <f>INDEX(Prices!E$2:E$247,Inputs!$B$13+ROW()-2)/MAX(INDEX(Prices!E$2:E$247,Inputs!$B$13):INDEX(Prices!E$2:E$247,Inputs!$B$13+ROW()-2))-1</f>
        <v>-5.9223634431165295E-2</v>
      </c>
      <c r="F59" s="11">
        <f>INDEX(Prices!F$2:F$247,Inputs!$B$13+ROW()-2)/MAX(INDEX(Prices!F$2:F$247,Inputs!$B$13):INDEX(Prices!F$2:F$247,Inputs!$B$13+ROW()-2))-1</f>
        <v>-0.12774819588884201</v>
      </c>
      <c r="G59" s="11">
        <f>INDEX(Prices!G$2:G$247,Inputs!$B$13+ROW()-2)/MAX(INDEX(Prices!G$2:G$247,Inputs!$B$13):INDEX(Prices!G$2:G$247,Inputs!$B$13+ROW()-2))-1</f>
        <v>-0.10336611588773081</v>
      </c>
      <c r="H59" s="11">
        <f>INDEX(Prices!H$2:H$247,Inputs!$B$13+ROW()-2)/MAX(INDEX(Prices!H$2:H$247,Inputs!$B$13):INDEX(Prices!H$2:H$247,Inputs!$B$13+ROW()-2))-1</f>
        <v>-0.1520849706050007</v>
      </c>
    </row>
    <row r="60" spans="1:8" x14ac:dyDescent="0.25">
      <c r="A60" s="18">
        <f>INDEX(Prices!$A$2:$A$247,Inputs!$B$13+ROW()-2)</f>
        <v>46303</v>
      </c>
      <c r="B60" s="11">
        <f>INDEX(Prices!B$2:B$247,Inputs!$B$13+ROW()-2)/MAX(INDEX(Prices!B$2:B$247,Inputs!$B$13):INDEX(Prices!B$2:B$247,Inputs!$B$13+ROW()-2))-1</f>
        <v>-0.1026265121517056</v>
      </c>
      <c r="C60" s="11">
        <f>INDEX(Prices!C$2:C$247,Inputs!$B$13+ROW()-2)/MAX(INDEX(Prices!C$2:C$247,Inputs!$B$13):INDEX(Prices!C$2:C$247,Inputs!$B$13+ROW()-2))-1</f>
        <v>-9.875087096485391E-2</v>
      </c>
      <c r="D60" s="11">
        <f>INDEX(Prices!D$2:D$247,Inputs!$B$13+ROW()-2)/MAX(INDEX(Prices!D$2:D$247,Inputs!$B$13):INDEX(Prices!D$2:D$247,Inputs!$B$13+ROW()-2))-1</f>
        <v>-5.3822561619171871E-2</v>
      </c>
      <c r="E60" s="11">
        <f>INDEX(Prices!E$2:E$247,Inputs!$B$13+ROW()-2)/MAX(INDEX(Prices!E$2:E$247,Inputs!$B$13):INDEX(Prices!E$2:E$247,Inputs!$B$13+ROW()-2))-1</f>
        <v>-6.8459572053983675E-2</v>
      </c>
      <c r="F60" s="11">
        <f>INDEX(Prices!F$2:F$247,Inputs!$B$13+ROW()-2)/MAX(INDEX(Prices!F$2:F$247,Inputs!$B$13):INDEX(Prices!F$2:F$247,Inputs!$B$13+ROW()-2))-1</f>
        <v>-0.12841437758361451</v>
      </c>
      <c r="G60" s="11">
        <f>INDEX(Prices!G$2:G$247,Inputs!$B$13+ROW()-2)/MAX(INDEX(Prices!G$2:G$247,Inputs!$B$13):INDEX(Prices!G$2:G$247,Inputs!$B$13+ROW()-2))-1</f>
        <v>-0.12143454696831413</v>
      </c>
      <c r="H60" s="11">
        <f>INDEX(Prices!H$2:H$247,Inputs!$B$13+ROW()-2)/MAX(INDEX(Prices!H$2:H$247,Inputs!$B$13):INDEX(Prices!H$2:H$247,Inputs!$B$13+ROW()-2))-1</f>
        <v>-0.173206196728942</v>
      </c>
    </row>
    <row r="61" spans="1:8" x14ac:dyDescent="0.25">
      <c r="A61" s="18">
        <f>INDEX(Prices!$A$2:$A$247,Inputs!$B$13+ROW()-2)</f>
        <v>46304</v>
      </c>
      <c r="B61" s="11">
        <f>INDEX(Prices!B$2:B$247,Inputs!$B$13+ROW()-2)/MAX(INDEX(Prices!B$2:B$247,Inputs!$B$13):INDEX(Prices!B$2:B$247,Inputs!$B$13+ROW()-2))-1</f>
        <v>-9.097532523623264E-2</v>
      </c>
      <c r="C61" s="11">
        <f>INDEX(Prices!C$2:C$247,Inputs!$B$13+ROW()-2)/MAX(INDEX(Prices!C$2:C$247,Inputs!$B$13):INDEX(Prices!C$2:C$247,Inputs!$B$13+ROW()-2))-1</f>
        <v>-8.4662844152760375E-2</v>
      </c>
      <c r="D61" s="11">
        <f>INDEX(Prices!D$2:D$247,Inputs!$B$13+ROW()-2)/MAX(INDEX(Prices!D$2:D$247,Inputs!$B$13):INDEX(Prices!D$2:D$247,Inputs!$B$13+ROW()-2))-1</f>
        <v>-4.8676972744769342E-2</v>
      </c>
      <c r="E61" s="11">
        <f>INDEX(Prices!E$2:E$247,Inputs!$B$13+ROW()-2)/MAX(INDEX(Prices!E$2:E$247,Inputs!$B$13):INDEX(Prices!E$2:E$247,Inputs!$B$13+ROW()-2))-1</f>
        <v>-5.5787284651426683E-2</v>
      </c>
      <c r="F61" s="11">
        <f>INDEX(Prices!F$2:F$247,Inputs!$B$13+ROW()-2)/MAX(INDEX(Prices!F$2:F$247,Inputs!$B$13):INDEX(Prices!F$2:F$247,Inputs!$B$13+ROW()-2))-1</f>
        <v>-0.10207191934173709</v>
      </c>
      <c r="G61" s="11">
        <f>INDEX(Prices!G$2:G$247,Inputs!$B$13+ROW()-2)/MAX(INDEX(Prices!G$2:G$247,Inputs!$B$13):INDEX(Prices!G$2:G$247,Inputs!$B$13+ROW()-2))-1</f>
        <v>-0.10209724290311728</v>
      </c>
      <c r="H61" s="11">
        <f>INDEX(Prices!H$2:H$247,Inputs!$B$13+ROW()-2)/MAX(INDEX(Prices!H$2:H$247,Inputs!$B$13):INDEX(Prices!H$2:H$247,Inputs!$B$13+ROW()-2))-1</f>
        <v>-0.16149541788794486</v>
      </c>
    </row>
    <row r="62" spans="1:8" x14ac:dyDescent="0.25">
      <c r="A62" s="18">
        <f>INDEX(Prices!$A$2:$A$247,Inputs!$B$13+ROW()-2)</f>
        <v>46307</v>
      </c>
      <c r="B62" s="11">
        <f>INDEX(Prices!B$2:B$247,Inputs!$B$13+ROW()-2)/MAX(INDEX(Prices!B$2:B$247,Inputs!$B$13):INDEX(Prices!B$2:B$247,Inputs!$B$13+ROW()-2))-1</f>
        <v>-9.7316574030345993E-2</v>
      </c>
      <c r="C62" s="11">
        <f>INDEX(Prices!C$2:C$247,Inputs!$B$13+ROW()-2)/MAX(INDEX(Prices!C$2:C$247,Inputs!$B$13):INDEX(Prices!C$2:C$247,Inputs!$B$13+ROW()-2))-1</f>
        <v>-8.3927146466120872E-2</v>
      </c>
      <c r="D62" s="11">
        <f>INDEX(Prices!D$2:D$247,Inputs!$B$13+ROW()-2)/MAX(INDEX(Prices!D$2:D$247,Inputs!$B$13):INDEX(Prices!D$2:D$247,Inputs!$B$13+ROW()-2))-1</f>
        <v>-3.516235177252125E-2</v>
      </c>
      <c r="E62" s="11">
        <f>INDEX(Prices!E$2:E$247,Inputs!$B$13+ROW()-2)/MAX(INDEX(Prices!E$2:E$247,Inputs!$B$13):INDEX(Prices!E$2:E$247,Inputs!$B$13+ROW()-2))-1</f>
        <v>-6.1574056669867816E-2</v>
      </c>
      <c r="F62" s="11">
        <f>INDEX(Prices!F$2:F$247,Inputs!$B$13+ROW()-2)/MAX(INDEX(Prices!F$2:F$247,Inputs!$B$13):INDEX(Prices!F$2:F$247,Inputs!$B$13+ROW()-2))-1</f>
        <v>-0.10915167103193757</v>
      </c>
      <c r="G62" s="11">
        <f>INDEX(Prices!G$2:G$247,Inputs!$B$13+ROW()-2)/MAX(INDEX(Prices!G$2:G$247,Inputs!$B$13):INDEX(Prices!G$2:G$247,Inputs!$B$13+ROW()-2))-1</f>
        <v>-0.11712458171221796</v>
      </c>
      <c r="H62" s="11">
        <f>INDEX(Prices!H$2:H$247,Inputs!$B$13+ROW()-2)/MAX(INDEX(Prices!H$2:H$247,Inputs!$B$13):INDEX(Prices!H$2:H$247,Inputs!$B$13+ROW()-2))-1</f>
        <v>-0.15392321209933923</v>
      </c>
    </row>
    <row r="63" spans="1:8" x14ac:dyDescent="0.25">
      <c r="A63" s="18">
        <f>INDEX(Prices!$A$2:$A$247,Inputs!$B$13+ROW()-2)</f>
        <v>46308</v>
      </c>
      <c r="B63" s="11">
        <f>INDEX(Prices!B$2:B$247,Inputs!$B$13+ROW()-2)/MAX(INDEX(Prices!B$2:B$247,Inputs!$B$13):INDEX(Prices!B$2:B$247,Inputs!$B$13+ROW()-2))-1</f>
        <v>-8.2841896642891988E-2</v>
      </c>
      <c r="C63" s="11">
        <f>INDEX(Prices!C$2:C$247,Inputs!$B$13+ROW()-2)/MAX(INDEX(Prices!C$2:C$247,Inputs!$B$13):INDEX(Prices!C$2:C$247,Inputs!$B$13+ROW()-2))-1</f>
        <v>-7.4201145197139828E-2</v>
      </c>
      <c r="D63" s="11">
        <f>INDEX(Prices!D$2:D$247,Inputs!$B$13+ROW()-2)/MAX(INDEX(Prices!D$2:D$247,Inputs!$B$13):INDEX(Prices!D$2:D$247,Inputs!$B$13+ROW()-2))-1</f>
        <v>-3.4089526292916061E-2</v>
      </c>
      <c r="E63" s="11">
        <f>INDEX(Prices!E$2:E$247,Inputs!$B$13+ROW()-2)/MAX(INDEX(Prices!E$2:E$247,Inputs!$B$13):INDEX(Prices!E$2:E$247,Inputs!$B$13+ROW()-2))-1</f>
        <v>-5.1952789919584963E-2</v>
      </c>
      <c r="F63" s="11">
        <f>INDEX(Prices!F$2:F$247,Inputs!$B$13+ROW()-2)/MAX(INDEX(Prices!F$2:F$247,Inputs!$B$13):INDEX(Prices!F$2:F$247,Inputs!$B$13+ROW()-2))-1</f>
        <v>-6.2628935224828597E-2</v>
      </c>
      <c r="G63" s="11">
        <f>INDEX(Prices!G$2:G$247,Inputs!$B$13+ROW()-2)/MAX(INDEX(Prices!G$2:G$247,Inputs!$B$13):INDEX(Prices!G$2:G$247,Inputs!$B$13+ROW()-2))-1</f>
        <v>-0.10476107562002657</v>
      </c>
      <c r="H63" s="11">
        <f>INDEX(Prices!H$2:H$247,Inputs!$B$13+ROW()-2)/MAX(INDEX(Prices!H$2:H$247,Inputs!$B$13):INDEX(Prices!H$2:H$247,Inputs!$B$13+ROW()-2))-1</f>
        <v>-0.14355316902714876</v>
      </c>
    </row>
    <row r="64" spans="1:8" x14ac:dyDescent="0.25">
      <c r="A64" s="18">
        <f>INDEX(Prices!$A$2:$A$247,Inputs!$B$13+ROW()-2)</f>
        <v>46309</v>
      </c>
      <c r="B64" s="11">
        <f>INDEX(Prices!B$2:B$247,Inputs!$B$13+ROW()-2)/MAX(INDEX(Prices!B$2:B$247,Inputs!$B$13):INDEX(Prices!B$2:B$247,Inputs!$B$13+ROW()-2))-1</f>
        <v>-8.6848064324723584E-2</v>
      </c>
      <c r="C64" s="11">
        <f>INDEX(Prices!C$2:C$247,Inputs!$B$13+ROW()-2)/MAX(INDEX(Prices!C$2:C$247,Inputs!$B$13):INDEX(Prices!C$2:C$247,Inputs!$B$13+ROW()-2))-1</f>
        <v>-7.4981218299798758E-2</v>
      </c>
      <c r="D64" s="11">
        <f>INDEX(Prices!D$2:D$247,Inputs!$B$13+ROW()-2)/MAX(INDEX(Prices!D$2:D$247,Inputs!$B$13):INDEX(Prices!D$2:D$247,Inputs!$B$13+ROW()-2))-1</f>
        <v>-3.7198733469919976E-2</v>
      </c>
      <c r="E64" s="11">
        <f>INDEX(Prices!E$2:E$247,Inputs!$B$13+ROW()-2)/MAX(INDEX(Prices!E$2:E$247,Inputs!$B$13):INDEX(Prices!E$2:E$247,Inputs!$B$13+ROW()-2))-1</f>
        <v>-5.4773125728366012E-2</v>
      </c>
      <c r="F64" s="11">
        <f>INDEX(Prices!F$2:F$247,Inputs!$B$13+ROW()-2)/MAX(INDEX(Prices!F$2:F$247,Inputs!$B$13):INDEX(Prices!F$2:F$247,Inputs!$B$13+ROW()-2))-1</f>
        <v>-5.191660787822705E-2</v>
      </c>
      <c r="G64" s="11">
        <f>INDEX(Prices!G$2:G$247,Inputs!$B$13+ROW()-2)/MAX(INDEX(Prices!G$2:G$247,Inputs!$B$13):INDEX(Prices!G$2:G$247,Inputs!$B$13+ROW()-2))-1</f>
        <v>-9.3942632531181514E-2</v>
      </c>
      <c r="H64" s="11">
        <f>INDEX(Prices!H$2:H$247,Inputs!$B$13+ROW()-2)/MAX(INDEX(Prices!H$2:H$247,Inputs!$B$13):INDEX(Prices!H$2:H$247,Inputs!$B$13+ROW()-2))-1</f>
        <v>-0.15148290435410272</v>
      </c>
    </row>
    <row r="65" spans="1:8" x14ac:dyDescent="0.25">
      <c r="A65" s="18">
        <f>INDEX(Prices!$A$2:$A$247,Inputs!$B$13+ROW()-2)</f>
        <v>46310</v>
      </c>
      <c r="B65" s="11">
        <f>INDEX(Prices!B$2:B$247,Inputs!$B$13+ROW()-2)/MAX(INDEX(Prices!B$2:B$247,Inputs!$B$13):INDEX(Prices!B$2:B$247,Inputs!$B$13+ROW()-2))-1</f>
        <v>-7.1725538158494917E-2</v>
      </c>
      <c r="C65" s="11">
        <f>INDEX(Prices!C$2:C$247,Inputs!$B$13+ROW()-2)/MAX(INDEX(Prices!C$2:C$247,Inputs!$B$13):INDEX(Prices!C$2:C$247,Inputs!$B$13+ROW()-2))-1</f>
        <v>-7.8279790890583456E-2</v>
      </c>
      <c r="D65" s="11">
        <f>INDEX(Prices!D$2:D$247,Inputs!$B$13+ROW()-2)/MAX(INDEX(Prices!D$2:D$247,Inputs!$B$13):INDEX(Prices!D$2:D$247,Inputs!$B$13+ROW()-2))-1</f>
        <v>-4.9769665362885629E-2</v>
      </c>
      <c r="E65" s="11">
        <f>INDEX(Prices!E$2:E$247,Inputs!$B$13+ROW()-2)/MAX(INDEX(Prices!E$2:E$247,Inputs!$B$13):INDEX(Prices!E$2:E$247,Inputs!$B$13+ROW()-2))-1</f>
        <v>-4.6323225350042962E-2</v>
      </c>
      <c r="F65" s="11">
        <f>INDEX(Prices!F$2:F$247,Inputs!$B$13+ROW()-2)/MAX(INDEX(Prices!F$2:F$247,Inputs!$B$13):INDEX(Prices!F$2:F$247,Inputs!$B$13+ROW()-2))-1</f>
        <v>-3.4671300609776301E-2</v>
      </c>
      <c r="G65" s="11">
        <f>INDEX(Prices!G$2:G$247,Inputs!$B$13+ROW()-2)/MAX(INDEX(Prices!G$2:G$247,Inputs!$B$13):INDEX(Prices!G$2:G$247,Inputs!$B$13+ROW()-2))-1</f>
        <v>-0.10355024256688594</v>
      </c>
      <c r="H65" s="11">
        <f>INDEX(Prices!H$2:H$247,Inputs!$B$13+ROW()-2)/MAX(INDEX(Prices!H$2:H$247,Inputs!$B$13):INDEX(Prices!H$2:H$247,Inputs!$B$13+ROW()-2))-1</f>
        <v>-0.1373284448476958</v>
      </c>
    </row>
    <row r="66" spans="1:8" x14ac:dyDescent="0.25">
      <c r="A66" s="18">
        <f>INDEX(Prices!$A$2:$A$247,Inputs!$B$13+ROW()-2)</f>
        <v>46311</v>
      </c>
      <c r="B66" s="11">
        <f>INDEX(Prices!B$2:B$247,Inputs!$B$13+ROW()-2)/MAX(INDEX(Prices!B$2:B$247,Inputs!$B$13):INDEX(Prices!B$2:B$247,Inputs!$B$13+ROW()-2))-1</f>
        <v>-6.5719313966489334E-2</v>
      </c>
      <c r="C66" s="11">
        <f>INDEX(Prices!C$2:C$247,Inputs!$B$13+ROW()-2)/MAX(INDEX(Prices!C$2:C$247,Inputs!$B$13):INDEX(Prices!C$2:C$247,Inputs!$B$13+ROW()-2))-1</f>
        <v>-7.9330787585782714E-2</v>
      </c>
      <c r="D66" s="11">
        <f>INDEX(Prices!D$2:D$247,Inputs!$B$13+ROW()-2)/MAX(INDEX(Prices!D$2:D$247,Inputs!$B$13):INDEX(Prices!D$2:D$247,Inputs!$B$13+ROW()-2))-1</f>
        <v>-4.9864034270813984E-2</v>
      </c>
      <c r="E66" s="11">
        <f>INDEX(Prices!E$2:E$247,Inputs!$B$13+ROW()-2)/MAX(INDEX(Prices!E$2:E$247,Inputs!$B$13):INDEX(Prices!E$2:E$247,Inputs!$B$13+ROW()-2))-1</f>
        <v>-4.5750785182856246E-2</v>
      </c>
      <c r="F66" s="11">
        <f>INDEX(Prices!F$2:F$247,Inputs!$B$13+ROW()-2)/MAX(INDEX(Prices!F$2:F$247,Inputs!$B$13):INDEX(Prices!F$2:F$247,Inputs!$B$13+ROW()-2))-1</f>
        <v>0</v>
      </c>
      <c r="G66" s="11">
        <f>INDEX(Prices!G$2:G$247,Inputs!$B$13+ROW()-2)/MAX(INDEX(Prices!G$2:G$247,Inputs!$B$13):INDEX(Prices!G$2:G$247,Inputs!$B$13+ROW()-2))-1</f>
        <v>-0.10706265910946722</v>
      </c>
      <c r="H66" s="11">
        <f>INDEX(Prices!H$2:H$247,Inputs!$B$13+ROW()-2)/MAX(INDEX(Prices!H$2:H$247,Inputs!$B$13):INDEX(Prices!H$2:H$247,Inputs!$B$13+ROW()-2))-1</f>
        <v>-0.13084906519517403</v>
      </c>
    </row>
    <row r="68" spans="1:8" x14ac:dyDescent="0.25">
      <c r="A68" s="6" t="s">
        <v>69</v>
      </c>
      <c r="B68" s="6">
        <f t="shared" ref="B68:H68" si="0">MIN(B2:B66)</f>
        <v>-0.1026265121517056</v>
      </c>
      <c r="C68" s="6">
        <f t="shared" si="0"/>
        <v>-9.875087096485391E-2</v>
      </c>
      <c r="D68" s="6">
        <f t="shared" si="0"/>
        <v>-5.3822561619171871E-2</v>
      </c>
      <c r="E68" s="6">
        <f t="shared" si="0"/>
        <v>-7.281866120769509E-2</v>
      </c>
      <c r="F68" s="6">
        <f t="shared" si="0"/>
        <v>-0.13050719366247532</v>
      </c>
      <c r="G68" s="6">
        <f t="shared" si="0"/>
        <v>-0.12360003682533582</v>
      </c>
      <c r="H68" s="6">
        <f t="shared" si="0"/>
        <v>-0.173206196728942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7"/>
  <sheetViews>
    <sheetView showGridLines="0" zoomScaleNormal="100" workbookViewId="0">
      <pane xSplit="1" ySplit="1" topLeftCell="B181" activePane="bottomRight" state="frozen"/>
      <selection pane="topRight" activeCell="B1" sqref="B1"/>
      <selection pane="bottomLeft" activeCell="A2" sqref="A2"/>
      <selection pane="bottomRight" activeCell="J238" sqref="J238"/>
    </sheetView>
  </sheetViews>
  <sheetFormatPr defaultColWidth="8.7109375" defaultRowHeight="15" x14ac:dyDescent="0.25"/>
  <cols>
    <col min="1" max="1" width="17.42578125" customWidth="1"/>
    <col min="2" max="8" width="15" customWidth="1"/>
  </cols>
  <sheetData>
    <row r="1" spans="1:8" ht="30" customHeight="1" x14ac:dyDescent="0.25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</v>
      </c>
    </row>
    <row r="2" spans="1:8" x14ac:dyDescent="0.25">
      <c r="A2" s="10">
        <f>Prices!A2</f>
        <v>45950</v>
      </c>
    </row>
    <row r="3" spans="1:8" x14ac:dyDescent="0.25">
      <c r="A3" s="10">
        <f>Prices!A3</f>
        <v>45951</v>
      </c>
      <c r="B3" s="11">
        <f>Prices!B3/Prices!B2-1</f>
        <v>9.8478707123539344E-4</v>
      </c>
      <c r="C3" s="11">
        <f>Prices!C3/Prices!C2-1</f>
        <v>1.0961420182156179E-3</v>
      </c>
      <c r="D3" s="11">
        <f>Prices!D3/Prices!D2-1</f>
        <v>5.1905537414556058E-3</v>
      </c>
      <c r="E3" s="11">
        <f>Prices!E3/Prices!E2-1</f>
        <v>-4.4801940957939212E-4</v>
      </c>
      <c r="F3" s="11">
        <f>Prices!F3/Prices!F2-1</f>
        <v>2.0259204479122772E-4</v>
      </c>
      <c r="G3" s="11">
        <f>Prices!G3/Prices!G2-1</f>
        <v>2.1202481043647303E-4</v>
      </c>
      <c r="H3" s="11">
        <f>Prices!H3/Prices!H2-1</f>
        <v>1.6332265973157956E-3</v>
      </c>
    </row>
    <row r="4" spans="1:8" x14ac:dyDescent="0.25">
      <c r="A4" s="10">
        <f>Prices!A4</f>
        <v>45953</v>
      </c>
      <c r="B4" s="11">
        <f>Prices!B4/Prices!B3-1</f>
        <v>8.8137742282157205E-4</v>
      </c>
      <c r="C4" s="11">
        <f>Prices!C4/Prices!C3-1</f>
        <v>-6.4467749713648104E-4</v>
      </c>
      <c r="D4" s="11">
        <f>Prices!D4/Prices!D3-1</f>
        <v>-5.0271438446181094E-4</v>
      </c>
      <c r="E4" s="11">
        <f>Prices!E4/Prices!E3-1</f>
        <v>1.2214001020562915E-3</v>
      </c>
      <c r="F4" s="11">
        <f>Prices!F4/Prices!F3-1</f>
        <v>2.206531207728113E-2</v>
      </c>
      <c r="G4" s="11">
        <f>Prices!G4/Prices!G3-1</f>
        <v>2.8846926689412022E-3</v>
      </c>
      <c r="H4" s="11">
        <f>Prices!H4/Prices!H3-1</f>
        <v>-4.0764087940248217E-4</v>
      </c>
    </row>
    <row r="5" spans="1:8" x14ac:dyDescent="0.25">
      <c r="A5" s="10">
        <f>Prices!A5</f>
        <v>45954</v>
      </c>
      <c r="B5" s="11">
        <f>Prices!B5/Prices!B4-1</f>
        <v>-3.7174505820465331E-3</v>
      </c>
      <c r="C5" s="11">
        <f>Prices!C5/Prices!C4-1</f>
        <v>-2.35888582436794E-3</v>
      </c>
      <c r="D5" s="11">
        <f>Prices!D5/Prices!D4-1</f>
        <v>-2.0829403901824195E-3</v>
      </c>
      <c r="E5" s="11">
        <f>Prices!E5/Prices!E4-1</f>
        <v>-6.5162311751170154E-3</v>
      </c>
      <c r="F5" s="11">
        <f>Prices!F5/Prices!F4-1</f>
        <v>-2.5582997146512687E-3</v>
      </c>
      <c r="G5" s="11">
        <f>Prices!G5/Prices!G4-1</f>
        <v>-7.4745761368409935E-3</v>
      </c>
      <c r="H5" s="11">
        <f>Prices!H5/Prices!H4-1</f>
        <v>-4.0431687715269948E-3</v>
      </c>
    </row>
    <row r="6" spans="1:8" x14ac:dyDescent="0.25">
      <c r="A6" s="10">
        <f>Prices!A6</f>
        <v>45957</v>
      </c>
      <c r="B6" s="11">
        <f>Prices!B6/Prices!B5-1</f>
        <v>6.6252764570082778E-3</v>
      </c>
      <c r="C6" s="11">
        <f>Prices!C6/Prices!C5-1</f>
        <v>9.2679196099354488E-3</v>
      </c>
      <c r="D6" s="11">
        <f>Prices!D6/Prices!D5-1</f>
        <v>8.2012342939790095E-3</v>
      </c>
      <c r="E6" s="11">
        <f>Prices!E6/Prices!E5-1</f>
        <v>7.1863583109761375E-3</v>
      </c>
      <c r="F6" s="11">
        <f>Prices!F6/Prices!F5-1</f>
        <v>3.9667818492290507E-3</v>
      </c>
      <c r="G6" s="11">
        <f>Prices!G6/Prices!G5-1</f>
        <v>1.4348309880900523E-3</v>
      </c>
      <c r="H6" s="11">
        <f>Prices!H6/Prices!H5-1</f>
        <v>5.7158771907173112E-3</v>
      </c>
    </row>
    <row r="7" spans="1:8" x14ac:dyDescent="0.25">
      <c r="A7" s="10">
        <f>Prices!A7</f>
        <v>45958</v>
      </c>
      <c r="B7" s="11">
        <f>Prices!B7/Prices!B6-1</f>
        <v>-1.1495780066663741E-3</v>
      </c>
      <c r="C7" s="11">
        <f>Prices!C7/Prices!C6-1</f>
        <v>-2.4757381839968229E-4</v>
      </c>
      <c r="D7" s="11">
        <f>Prices!D7/Prices!D6-1</f>
        <v>2.4724162570866071E-4</v>
      </c>
      <c r="E7" s="11">
        <f>Prices!E7/Prices!E6-1</f>
        <v>1.7181672309287688E-3</v>
      </c>
      <c r="F7" s="11">
        <f>Prices!F7/Prices!F6-1</f>
        <v>-7.4372181980729701E-3</v>
      </c>
      <c r="G7" s="11">
        <f>Prices!G7/Prices!G6-1</f>
        <v>-5.6513544909128077E-3</v>
      </c>
      <c r="H7" s="11">
        <f>Prices!H7/Prices!H6-1</f>
        <v>-4.2290742435441286E-3</v>
      </c>
    </row>
    <row r="8" spans="1:8" x14ac:dyDescent="0.25">
      <c r="A8" s="10">
        <f>Prices!A8</f>
        <v>45959</v>
      </c>
      <c r="B8" s="11">
        <f>Prices!B8/Prices!B7-1</f>
        <v>4.5380587749941359E-3</v>
      </c>
      <c r="C8" s="11">
        <f>Prices!C8/Prices!C7-1</f>
        <v>6.4201079722616683E-3</v>
      </c>
      <c r="D8" s="11">
        <f>Prices!D8/Prices!D7-1</f>
        <v>4.3433147178340015E-3</v>
      </c>
      <c r="E8" s="11">
        <f>Prices!E8/Prices!E7-1</f>
        <v>2.9400093791711601E-3</v>
      </c>
      <c r="F8" s="11">
        <f>Prices!F8/Prices!F7-1</f>
        <v>6.4053942510400308E-3</v>
      </c>
      <c r="G8" s="11">
        <f>Prices!G8/Prices!G7-1</f>
        <v>9.0055168370015704E-3</v>
      </c>
      <c r="H8" s="11">
        <f>Prices!H8/Prices!H7-1</f>
        <v>-7.3466711604940338E-3</v>
      </c>
    </row>
    <row r="9" spans="1:8" x14ac:dyDescent="0.25">
      <c r="A9" s="10">
        <f>Prices!A9</f>
        <v>45960</v>
      </c>
      <c r="B9" s="11">
        <f>Prices!B9/Prices!B8-1</f>
        <v>-6.7571457632064069E-3</v>
      </c>
      <c r="C9" s="11">
        <f>Prices!C9/Prices!C8-1</f>
        <v>-8.7781935043040882E-4</v>
      </c>
      <c r="D9" s="11">
        <f>Prices!D9/Prices!D8-1</f>
        <v>-9.6551463011584904E-4</v>
      </c>
      <c r="E9" s="11">
        <f>Prices!E9/Prices!E8-1</f>
        <v>-6.065744344676105E-3</v>
      </c>
      <c r="F9" s="11">
        <f>Prices!F9/Prices!F8-1</f>
        <v>-5.0900385424257344E-3</v>
      </c>
      <c r="G9" s="11">
        <f>Prices!G9/Prices!G8-1</f>
        <v>-4.8017013053880397E-3</v>
      </c>
      <c r="H9" s="11">
        <f>Prices!H9/Prices!H8-1</f>
        <v>-4.4287521939672114E-3</v>
      </c>
    </row>
    <row r="10" spans="1:8" x14ac:dyDescent="0.25">
      <c r="A10" s="10">
        <f>Prices!A10</f>
        <v>45961</v>
      </c>
      <c r="B10" s="11">
        <f>Prices!B10/Prices!B9-1</f>
        <v>-6.0186607465457787E-3</v>
      </c>
      <c r="C10" s="11">
        <f>Prices!C10/Prices!C9-1</f>
        <v>-4.4986168022130846E-3</v>
      </c>
      <c r="D10" s="11">
        <f>Prices!D10/Prices!D9-1</f>
        <v>-4.8132887919133394E-3</v>
      </c>
      <c r="E10" s="11">
        <f>Prices!E10/Prices!E9-1</f>
        <v>-4.3898874913623764E-3</v>
      </c>
      <c r="F10" s="11">
        <f>Prices!F10/Prices!F9-1</f>
        <v>-5.4043290332643767E-3</v>
      </c>
      <c r="G10" s="11">
        <f>Prices!G10/Prices!G9-1</f>
        <v>-2.3960172868210394E-3</v>
      </c>
      <c r="H10" s="11">
        <f>Prices!H10/Prices!H9-1</f>
        <v>-7.3426501749007667E-4</v>
      </c>
    </row>
    <row r="11" spans="1:8" x14ac:dyDescent="0.25">
      <c r="A11" s="10">
        <f>Prices!A11</f>
        <v>45964</v>
      </c>
      <c r="B11" s="11">
        <f>Prices!B11/Prices!B10-1</f>
        <v>1.6036793263380922E-3</v>
      </c>
      <c r="C11" s="11">
        <f>Prices!C11/Prices!C10-1</f>
        <v>7.714050269197692E-3</v>
      </c>
      <c r="D11" s="11">
        <f>Prices!D11/Prices!D10-1</f>
        <v>7.2140494428971635E-3</v>
      </c>
      <c r="E11" s="11">
        <f>Prices!E11/Prices!E10-1</f>
        <v>5.6268698178407739E-3</v>
      </c>
      <c r="F11" s="11">
        <f>Prices!F11/Prices!F10-1</f>
        <v>-1.6604899985578347E-3</v>
      </c>
      <c r="G11" s="11">
        <f>Prices!G11/Prices!G10-1</f>
        <v>-9.749415124047367E-4</v>
      </c>
      <c r="H11" s="11">
        <f>Prices!H11/Prices!H10-1</f>
        <v>1.1917261752676378E-3</v>
      </c>
    </row>
    <row r="12" spans="1:8" x14ac:dyDescent="0.25">
      <c r="A12" s="10">
        <f>Prices!A12</f>
        <v>45965</v>
      </c>
      <c r="B12" s="11">
        <f>Prices!B12/Prices!B11-1</f>
        <v>-6.4316170063286604E-3</v>
      </c>
      <c r="C12" s="11">
        <f>Prices!C12/Prices!C11-1</f>
        <v>-4.1501209207894796E-3</v>
      </c>
      <c r="D12" s="11">
        <f>Prices!D12/Prices!D11-1</f>
        <v>-8.2372767833028826E-3</v>
      </c>
      <c r="E12" s="11">
        <f>Prices!E12/Prices!E11-1</f>
        <v>-4.7227737001399595E-3</v>
      </c>
      <c r="F12" s="11">
        <f>Prices!F12/Prices!F11-1</f>
        <v>-1.0616202540876585E-2</v>
      </c>
      <c r="G12" s="11">
        <f>Prices!G12/Prices!G11-1</f>
        <v>-6.0209745751392818E-3</v>
      </c>
      <c r="H12" s="11">
        <f>Prices!H12/Prices!H11-1</f>
        <v>-8.6339217191097051E-3</v>
      </c>
    </row>
    <row r="13" spans="1:8" x14ac:dyDescent="0.25">
      <c r="A13" s="10">
        <f>Prices!A13</f>
        <v>45967</v>
      </c>
      <c r="B13" s="11">
        <f>Prices!B13/Prices!B12-1</f>
        <v>-3.4358622764198987E-3</v>
      </c>
      <c r="C13" s="11">
        <f>Prices!C13/Prices!C12-1</f>
        <v>-9.4707947739067766E-3</v>
      </c>
      <c r="D13" s="11">
        <f>Prices!D13/Prices!D12-1</f>
        <v>-1.3937225299413547E-2</v>
      </c>
      <c r="E13" s="11">
        <f>Prices!E13/Prices!E12-1</f>
        <v>-4.7175154188222601E-3</v>
      </c>
      <c r="F13" s="11">
        <f>Prices!F13/Prices!F12-1</f>
        <v>1.7874076352497603E-3</v>
      </c>
      <c r="G13" s="11">
        <f>Prices!G13/Prices!G12-1</f>
        <v>-1.8605909459004089E-3</v>
      </c>
      <c r="H13" s="11">
        <f>Prices!H13/Prices!H12-1</f>
        <v>6.1818748931319334E-4</v>
      </c>
    </row>
    <row r="14" spans="1:8" x14ac:dyDescent="0.25">
      <c r="A14" s="10">
        <f>Prices!A14</f>
        <v>45968</v>
      </c>
      <c r="B14" s="11">
        <f>Prices!B14/Prices!B13-1</f>
        <v>-6.8209347816716726E-4</v>
      </c>
      <c r="C14" s="11">
        <f>Prices!C14/Prices!C13-1</f>
        <v>6.2982817823187265E-3</v>
      </c>
      <c r="D14" s="11">
        <f>Prices!D14/Prices!D13-1</f>
        <v>-1.6045291355978319E-3</v>
      </c>
      <c r="E14" s="11">
        <f>Prices!E14/Prices!E13-1</f>
        <v>5.6042777032105917E-3</v>
      </c>
      <c r="F14" s="11">
        <f>Prices!F14/Prices!F13-1</f>
        <v>-6.2256633161278385E-3</v>
      </c>
      <c r="G14" s="11">
        <f>Prices!G14/Prices!G13-1</f>
        <v>-4.9280448020391221E-3</v>
      </c>
      <c r="H14" s="11">
        <f>Prices!H14/Prices!H13-1</f>
        <v>5.7480329746679715E-3</v>
      </c>
    </row>
    <row r="15" spans="1:8" x14ac:dyDescent="0.25">
      <c r="A15" s="10">
        <f>Prices!A15</f>
        <v>45971</v>
      </c>
      <c r="B15" s="11">
        <f>Prices!B15/Prices!B14-1</f>
        <v>3.2186189555276634E-3</v>
      </c>
      <c r="C15" s="11">
        <f>Prices!C15/Prices!C14-1</f>
        <v>4.6972794714181809E-3</v>
      </c>
      <c r="D15" s="11">
        <f>Prices!D15/Prices!D14-1</f>
        <v>3.4659312511926554E-3</v>
      </c>
      <c r="E15" s="11">
        <f>Prices!E15/Prices!E14-1</f>
        <v>1.0496433804219052E-3</v>
      </c>
      <c r="F15" s="11">
        <f>Prices!F15/Prices!F14-1</f>
        <v>1.6249686766749427E-2</v>
      </c>
      <c r="G15" s="11">
        <f>Prices!G15/Prices!G14-1</f>
        <v>-1.8534485868694217E-3</v>
      </c>
      <c r="H15" s="11">
        <f>Prices!H15/Prices!H14-1</f>
        <v>2.9985567345232056E-3</v>
      </c>
    </row>
    <row r="16" spans="1:8" x14ac:dyDescent="0.25">
      <c r="A16" s="10">
        <f>Prices!A16</f>
        <v>45972</v>
      </c>
      <c r="B16" s="11">
        <f>Prices!B16/Prices!B15-1</f>
        <v>4.7156623726507529E-3</v>
      </c>
      <c r="C16" s="11">
        <f>Prices!C16/Prices!C15-1</f>
        <v>5.0354058470583052E-3</v>
      </c>
      <c r="D16" s="11">
        <f>Prices!D16/Prices!D15-1</f>
        <v>-2.0508749297077911E-3</v>
      </c>
      <c r="E16" s="11">
        <f>Prices!E16/Prices!E15-1</f>
        <v>3.4623486840572593E-3</v>
      </c>
      <c r="F16" s="11">
        <f>Prices!F16/Prices!F15-1</f>
        <v>1.2010955986914595E-2</v>
      </c>
      <c r="G16" s="11">
        <f>Prices!G16/Prices!G15-1</f>
        <v>3.4083649516711834E-3</v>
      </c>
      <c r="H16" s="11">
        <f>Prices!H16/Prices!H15-1</f>
        <v>1.0737215583854764E-2</v>
      </c>
    </row>
    <row r="17" spans="1:8" x14ac:dyDescent="0.25">
      <c r="A17" s="10">
        <f>Prices!A17</f>
        <v>45973</v>
      </c>
      <c r="B17" s="11">
        <f>Prices!B17/Prices!B16-1</f>
        <v>7.0383480022337963E-3</v>
      </c>
      <c r="C17" s="11">
        <f>Prices!C17/Prices!C16-1</f>
        <v>7.8656891786783589E-3</v>
      </c>
      <c r="D17" s="11">
        <f>Prices!D17/Prices!D16-1</f>
        <v>8.2341697327277252E-3</v>
      </c>
      <c r="E17" s="11">
        <f>Prices!E17/Prices!E16-1</f>
        <v>2.3478559259282328E-3</v>
      </c>
      <c r="F17" s="11">
        <f>Prices!F17/Prices!F16-1</f>
        <v>2.0447491340618962E-2</v>
      </c>
      <c r="G17" s="11">
        <f>Prices!G17/Prices!G16-1</f>
        <v>1.1076480848926096E-4</v>
      </c>
      <c r="H17" s="11">
        <f>Prices!H17/Prices!H16-1</f>
        <v>1.2409639663698346E-2</v>
      </c>
    </row>
    <row r="18" spans="1:8" x14ac:dyDescent="0.25">
      <c r="A18" s="10">
        <f>Prices!A18</f>
        <v>45974</v>
      </c>
      <c r="B18" s="11">
        <f>Prices!B18/Prices!B17-1</f>
        <v>1.2946459626372864E-4</v>
      </c>
      <c r="C18" s="11">
        <f>Prices!C18/Prices!C17-1</f>
        <v>-3.4522505718175278E-3</v>
      </c>
      <c r="D18" s="11">
        <f>Prices!D18/Prices!D17-1</f>
        <v>-3.6601837214972344E-3</v>
      </c>
      <c r="E18" s="11">
        <f>Prices!E18/Prices!E17-1</f>
        <v>1.8412809000138974E-3</v>
      </c>
      <c r="F18" s="11">
        <f>Prices!F18/Prices!F17-1</f>
        <v>-4.7740629595663941E-3</v>
      </c>
      <c r="G18" s="11">
        <f>Prices!G18/Prices!G17-1</f>
        <v>-5.1450408073590026E-3</v>
      </c>
      <c r="H18" s="11">
        <f>Prices!H18/Prices!H17-1</f>
        <v>-3.7238290495049675E-3</v>
      </c>
    </row>
    <row r="19" spans="1:8" x14ac:dyDescent="0.25">
      <c r="A19" s="10">
        <f>Prices!A19</f>
        <v>45975</v>
      </c>
      <c r="B19" s="11">
        <f>Prices!B19/Prices!B18-1</f>
        <v>1.194011395273753E-3</v>
      </c>
      <c r="C19" s="11">
        <f>Prices!C19/Prices!C18-1</f>
        <v>7.7687275351534524E-4</v>
      </c>
      <c r="D19" s="11">
        <f>Prices!D19/Prices!D18-1</f>
        <v>3.7863685233712197E-3</v>
      </c>
      <c r="E19" s="11">
        <f>Prices!E19/Prices!E18-1</f>
        <v>2.3226356776366863E-3</v>
      </c>
      <c r="F19" s="11">
        <f>Prices!F19/Prices!F18-1</f>
        <v>-1.0310950682193898E-2</v>
      </c>
      <c r="G19" s="11">
        <f>Prices!G19/Prices!G18-1</f>
        <v>5.743662150298201E-3</v>
      </c>
      <c r="H19" s="11">
        <f>Prices!H19/Prices!H18-1</f>
        <v>-5.2222563068787808E-3</v>
      </c>
    </row>
    <row r="20" spans="1:8" x14ac:dyDescent="0.25">
      <c r="A20" s="10">
        <f>Prices!A20</f>
        <v>45978</v>
      </c>
      <c r="B20" s="11">
        <f>Prices!B20/Prices!B19-1</f>
        <v>3.9907294659795589E-3</v>
      </c>
      <c r="C20" s="11">
        <f>Prices!C20/Prices!C19-1</f>
        <v>7.2654891733838767E-3</v>
      </c>
      <c r="D20" s="11">
        <f>Prices!D20/Prices!D19-1</f>
        <v>5.2102451718942788E-3</v>
      </c>
      <c r="E20" s="11">
        <f>Prices!E20/Prices!E19-1</f>
        <v>7.6071195735294417E-3</v>
      </c>
      <c r="F20" s="11">
        <f>Prices!F20/Prices!F19-1</f>
        <v>2.0371199338864443E-3</v>
      </c>
      <c r="G20" s="11">
        <f>Prices!G20/Prices!G19-1</f>
        <v>2.094102316741342E-3</v>
      </c>
      <c r="H20" s="11">
        <f>Prices!H20/Prices!H19-1</f>
        <v>8.5481538043599148E-3</v>
      </c>
    </row>
    <row r="21" spans="1:8" x14ac:dyDescent="0.25">
      <c r="A21" s="10">
        <f>Prices!A21</f>
        <v>45979</v>
      </c>
      <c r="B21" s="11">
        <f>Prices!B21/Prices!B20-1</f>
        <v>-3.9748668477268545E-3</v>
      </c>
      <c r="C21" s="11">
        <f>Prices!C21/Prices!C20-1</f>
        <v>-5.8597102017799996E-3</v>
      </c>
      <c r="D21" s="11">
        <f>Prices!D21/Prices!D20-1</f>
        <v>-1.0510911508862075E-2</v>
      </c>
      <c r="E21" s="11">
        <f>Prices!E21/Prices!E20-1</f>
        <v>-1.076104045438897E-3</v>
      </c>
      <c r="F21" s="11">
        <f>Prices!F21/Prices!F20-1</f>
        <v>-1.0996503112010392E-2</v>
      </c>
      <c r="G21" s="11">
        <f>Prices!G21/Prices!G20-1</f>
        <v>-5.6342682770221808E-3</v>
      </c>
      <c r="H21" s="11">
        <f>Prices!H21/Prices!H20-1</f>
        <v>-3.8001430513620038E-3</v>
      </c>
    </row>
    <row r="22" spans="1:8" x14ac:dyDescent="0.25">
      <c r="A22" s="10">
        <f>Prices!A22</f>
        <v>45980</v>
      </c>
      <c r="B22" s="11">
        <f>Prices!B22/Prices!B21-1</f>
        <v>5.5036559172985111E-3</v>
      </c>
      <c r="C22" s="11">
        <f>Prices!C22/Prices!C21-1</f>
        <v>2.0888823123212941E-3</v>
      </c>
      <c r="D22" s="11">
        <f>Prices!D22/Prices!D21-1</f>
        <v>-4.3404618625979552E-3</v>
      </c>
      <c r="E22" s="11">
        <f>Prices!E22/Prices!E21-1</f>
        <v>5.3786762989342929E-3</v>
      </c>
      <c r="F22" s="11">
        <f>Prices!F22/Prices!F21-1</f>
        <v>2.9727423336076031E-2</v>
      </c>
      <c r="G22" s="11">
        <f>Prices!G22/Prices!G21-1</f>
        <v>3.1338364932098628E-4</v>
      </c>
      <c r="H22" s="11">
        <f>Prices!H22/Prices!H21-1</f>
        <v>2.4188612717290781E-3</v>
      </c>
    </row>
    <row r="23" spans="1:8" x14ac:dyDescent="0.25">
      <c r="A23" s="10">
        <f>Prices!A23</f>
        <v>45981</v>
      </c>
      <c r="B23" s="11">
        <f>Prices!B23/Prices!B22-1</f>
        <v>5.3545416685059077E-3</v>
      </c>
      <c r="C23" s="11">
        <f>Prices!C23/Prices!C22-1</f>
        <v>2.3790362606135318E-4</v>
      </c>
      <c r="D23" s="11">
        <f>Prices!D23/Prices!D22-1</f>
        <v>-4.8130250415612252E-4</v>
      </c>
      <c r="E23" s="11">
        <f>Prices!E23/Prices!E22-1</f>
        <v>2.2232148209817559E-3</v>
      </c>
      <c r="F23" s="11">
        <f>Prices!F23/Prices!F22-1</f>
        <v>-3.6442509242173848E-5</v>
      </c>
      <c r="G23" s="11">
        <f>Prices!G23/Prices!G22-1</f>
        <v>8.2880709559973731E-4</v>
      </c>
      <c r="H23" s="11">
        <f>Prices!H23/Prices!H22-1</f>
        <v>4.3576598036410008E-3</v>
      </c>
    </row>
    <row r="24" spans="1:8" x14ac:dyDescent="0.25">
      <c r="A24" s="10">
        <f>Prices!A24</f>
        <v>45982</v>
      </c>
      <c r="B24" s="11">
        <f>Prices!B24/Prices!B23-1</f>
        <v>-4.7342428933859759E-3</v>
      </c>
      <c r="C24" s="11">
        <f>Prices!C24/Prices!C23-1</f>
        <v>-1.1273129599572163E-2</v>
      </c>
      <c r="D24" s="11">
        <f>Prices!D24/Prices!D23-1</f>
        <v>-1.2162891419557509E-2</v>
      </c>
      <c r="E24" s="11">
        <f>Prices!E24/Prices!E23-1</f>
        <v>-8.0879292710585027E-3</v>
      </c>
      <c r="F24" s="11">
        <f>Prices!F24/Prices!F23-1</f>
        <v>-4.2639289696113636E-3</v>
      </c>
      <c r="G24" s="11">
        <f>Prices!G24/Prices!G23-1</f>
        <v>1.4072640081403964E-3</v>
      </c>
      <c r="H24" s="11">
        <f>Prices!H24/Prices!H23-1</f>
        <v>-5.8612179719830237E-4</v>
      </c>
    </row>
    <row r="25" spans="1:8" x14ac:dyDescent="0.25">
      <c r="A25" s="10">
        <f>Prices!A25</f>
        <v>45985</v>
      </c>
      <c r="B25" s="11">
        <f>Prices!B25/Prices!B24-1</f>
        <v>-4.1679213906625767E-3</v>
      </c>
      <c r="C25" s="11">
        <f>Prices!C25/Prices!C24-1</f>
        <v>-3.2301252731173902E-3</v>
      </c>
      <c r="D25" s="11">
        <f>Prices!D25/Prices!D24-1</f>
        <v>-8.4605687071018787E-3</v>
      </c>
      <c r="E25" s="11">
        <f>Prices!E25/Prices!E24-1</f>
        <v>-5.4953735240204082E-4</v>
      </c>
      <c r="F25" s="11">
        <f>Prices!F25/Prices!F24-1</f>
        <v>4.1371438796160565E-3</v>
      </c>
      <c r="G25" s="11">
        <f>Prices!G25/Prices!G24-1</f>
        <v>-6.6039452514831121E-3</v>
      </c>
      <c r="H25" s="11">
        <f>Prices!H25/Prices!H24-1</f>
        <v>-3.473401155137279E-3</v>
      </c>
    </row>
    <row r="26" spans="1:8" x14ac:dyDescent="0.25">
      <c r="A26" s="10">
        <f>Prices!A26</f>
        <v>45986</v>
      </c>
      <c r="B26" s="11">
        <f>Prices!B26/Prices!B25-1</f>
        <v>-2.8775592750245327E-3</v>
      </c>
      <c r="C26" s="11">
        <f>Prices!C26/Prices!C25-1</f>
        <v>3.6017682618305624E-3</v>
      </c>
      <c r="D26" s="11">
        <f>Prices!D26/Prices!D25-1</f>
        <v>1.9099821998700417E-3</v>
      </c>
      <c r="E26" s="11">
        <f>Prices!E26/Prices!E25-1</f>
        <v>-2.5579859727176135E-4</v>
      </c>
      <c r="F26" s="11">
        <f>Prices!F26/Prices!F25-1</f>
        <v>-5.698209539134691E-3</v>
      </c>
      <c r="G26" s="11">
        <f>Prices!G26/Prices!G25-1</f>
        <v>-1.5606254471722814E-3</v>
      </c>
      <c r="H26" s="11">
        <f>Prices!H26/Prices!H25-1</f>
        <v>-2.313954420563924E-3</v>
      </c>
    </row>
    <row r="27" spans="1:8" x14ac:dyDescent="0.25">
      <c r="A27" s="10">
        <f>Prices!A27</f>
        <v>45987</v>
      </c>
      <c r="B27" s="11">
        <f>Prices!B27/Prices!B26-1</f>
        <v>1.238178390406719E-2</v>
      </c>
      <c r="C27" s="11">
        <f>Prices!C27/Prices!C26-1</f>
        <v>1.266542837241702E-2</v>
      </c>
      <c r="D27" s="11">
        <f>Prices!D27/Prices!D26-1</f>
        <v>1.3623570949166108E-2</v>
      </c>
      <c r="E27" s="11">
        <f>Prices!E27/Prices!E26-1</f>
        <v>1.2032410579340791E-2</v>
      </c>
      <c r="F27" s="11">
        <f>Prices!F27/Prices!F26-1</f>
        <v>1.4600740219784969E-2</v>
      </c>
      <c r="G27" s="11">
        <f>Prices!G27/Prices!G26-1</f>
        <v>7.0932807286188115E-3</v>
      </c>
      <c r="H27" s="11">
        <f>Prices!H27/Prices!H26-1</f>
        <v>1.1603911069554051E-2</v>
      </c>
    </row>
    <row r="28" spans="1:8" x14ac:dyDescent="0.25">
      <c r="A28" s="10">
        <f>Prices!A28</f>
        <v>45988</v>
      </c>
      <c r="B28" s="11">
        <f>Prices!B28/Prices!B27-1</f>
        <v>3.9114224985015156E-4</v>
      </c>
      <c r="C28" s="11">
        <f>Prices!C28/Prices!C27-1</f>
        <v>8.4259036351763683E-4</v>
      </c>
      <c r="D28" s="11">
        <f>Prices!D28/Prices!D27-1</f>
        <v>-5.288826692855686E-3</v>
      </c>
      <c r="E28" s="11">
        <f>Prices!E28/Prices!E27-1</f>
        <v>3.5151495807439481E-3</v>
      </c>
      <c r="F28" s="11">
        <f>Prices!F28/Prices!F27-1</f>
        <v>2.1865616117930919E-3</v>
      </c>
      <c r="G28" s="11">
        <f>Prices!G28/Prices!G27-1</f>
        <v>5.0412498692353758E-4</v>
      </c>
      <c r="H28" s="11">
        <f>Prices!H28/Prices!H27-1</f>
        <v>-3.3488106757556535E-3</v>
      </c>
    </row>
    <row r="29" spans="1:8" x14ac:dyDescent="0.25">
      <c r="A29" s="10">
        <f>Prices!A29</f>
        <v>45989</v>
      </c>
      <c r="B29" s="11">
        <f>Prices!B29/Prices!B28-1</f>
        <v>-4.806307706685109E-4</v>
      </c>
      <c r="C29" s="11">
        <f>Prices!C29/Prices!C28-1</f>
        <v>-1.1437800211574478E-3</v>
      </c>
      <c r="D29" s="11">
        <f>Prices!D29/Prices!D28-1</f>
        <v>-2.6598720128881981E-3</v>
      </c>
      <c r="E29" s="11">
        <f>Prices!E29/Prices!E28-1</f>
        <v>2.5779538077541631E-4</v>
      </c>
      <c r="F29" s="11">
        <f>Prices!F29/Prices!F28-1</f>
        <v>-1.0895602502785096E-3</v>
      </c>
      <c r="G29" s="11">
        <f>Prices!G29/Prices!G28-1</f>
        <v>2.2579548967875951E-3</v>
      </c>
      <c r="H29" s="11">
        <f>Prices!H29/Prices!H28-1</f>
        <v>6.1930215750451989E-3</v>
      </c>
    </row>
    <row r="30" spans="1:8" x14ac:dyDescent="0.25">
      <c r="A30" s="10">
        <f>Prices!A30</f>
        <v>45992</v>
      </c>
      <c r="B30" s="11">
        <f>Prices!B30/Prices!B29-1</f>
        <v>-1.0380510591364578E-3</v>
      </c>
      <c r="C30" s="11">
        <f>Prices!C30/Prices!C29-1</f>
        <v>2.4572741457173919E-6</v>
      </c>
      <c r="D30" s="11">
        <f>Prices!D30/Prices!D29-1</f>
        <v>2.5491818220060303E-3</v>
      </c>
      <c r="E30" s="11">
        <f>Prices!E30/Prices!E29-1</f>
        <v>-1.1940883006122949E-3</v>
      </c>
      <c r="F30" s="11">
        <f>Prices!F30/Prices!F29-1</f>
        <v>3.8550480544303767E-3</v>
      </c>
      <c r="G30" s="11">
        <f>Prices!G30/Prices!G29-1</f>
        <v>-1.7141582637537622E-3</v>
      </c>
      <c r="H30" s="11">
        <f>Prices!H30/Prices!H29-1</f>
        <v>7.8632995614698054E-3</v>
      </c>
    </row>
    <row r="31" spans="1:8" x14ac:dyDescent="0.25">
      <c r="A31" s="10">
        <f>Prices!A31</f>
        <v>45993</v>
      </c>
      <c r="B31" s="11">
        <f>Prices!B31/Prices!B30-1</f>
        <v>-5.4840835506145824E-3</v>
      </c>
      <c r="C31" s="11">
        <f>Prices!C31/Prices!C30-1</f>
        <v>-2.1779586327105305E-3</v>
      </c>
      <c r="D31" s="11">
        <f>Prices!D31/Prices!D30-1</f>
        <v>-5.4965957470615168E-3</v>
      </c>
      <c r="E31" s="11">
        <f>Prices!E31/Prices!E30-1</f>
        <v>-6.8287664404373949E-3</v>
      </c>
      <c r="F31" s="11">
        <f>Prices!F31/Prices!F30-1</f>
        <v>-2.25035086831471E-4</v>
      </c>
      <c r="G31" s="11">
        <f>Prices!G31/Prices!G30-1</f>
        <v>-1.973856091386561E-3</v>
      </c>
      <c r="H31" s="11">
        <f>Prices!H31/Prices!H30-1</f>
        <v>-4.8226342299861891E-4</v>
      </c>
    </row>
    <row r="32" spans="1:8" x14ac:dyDescent="0.25">
      <c r="A32" s="10">
        <f>Prices!A32</f>
        <v>45994</v>
      </c>
      <c r="B32" s="11">
        <f>Prices!B32/Prices!B31-1</f>
        <v>-1.7747251480858539E-3</v>
      </c>
      <c r="C32" s="11">
        <f>Prices!C32/Prices!C31-1</f>
        <v>-9.7651552401927244E-3</v>
      </c>
      <c r="D32" s="11">
        <f>Prices!D32/Prices!D31-1</f>
        <v>-7.1442835886805778E-3</v>
      </c>
      <c r="E32" s="11">
        <f>Prices!E32/Prices!E31-1</f>
        <v>1.2560355502768683E-3</v>
      </c>
      <c r="F32" s="11">
        <f>Prices!F32/Prices!F31-1</f>
        <v>7.5650118203309802E-3</v>
      </c>
      <c r="G32" s="11">
        <f>Prices!G32/Prices!G31-1</f>
        <v>-7.976934860297602E-3</v>
      </c>
      <c r="H32" s="11">
        <f>Prices!H32/Prices!H31-1</f>
        <v>-1.1998070015547091E-2</v>
      </c>
    </row>
    <row r="33" spans="1:8" x14ac:dyDescent="0.25">
      <c r="A33" s="10">
        <f>Prices!A33</f>
        <v>45995</v>
      </c>
      <c r="B33" s="11">
        <f>Prices!B33/Prices!B32-1</f>
        <v>1.8375278996383138E-3</v>
      </c>
      <c r="C33" s="11">
        <f>Prices!C33/Prices!C32-1</f>
        <v>-2.6278420277325854E-4</v>
      </c>
      <c r="D33" s="11">
        <f>Prices!D33/Prices!D32-1</f>
        <v>-2.3570139579421889E-3</v>
      </c>
      <c r="E33" s="11">
        <f>Prices!E33/Prices!E32-1</f>
        <v>-1.0033994262679258E-3</v>
      </c>
      <c r="F33" s="11">
        <f>Prices!F33/Prices!F32-1</f>
        <v>1.4143991117044896E-2</v>
      </c>
      <c r="G33" s="11">
        <f>Prices!G33/Prices!G32-1</f>
        <v>4.7352913878480063E-3</v>
      </c>
      <c r="H33" s="11">
        <f>Prices!H33/Prices!H32-1</f>
        <v>3.2159109818477027E-3</v>
      </c>
    </row>
    <row r="34" spans="1:8" x14ac:dyDescent="0.25">
      <c r="A34" s="10">
        <f>Prices!A34</f>
        <v>45996</v>
      </c>
      <c r="B34" s="11">
        <f>Prices!B34/Prices!B33-1</f>
        <v>5.8654631007826197E-3</v>
      </c>
      <c r="C34" s="11">
        <f>Prices!C34/Prices!C33-1</f>
        <v>4.8889051041627329E-3</v>
      </c>
      <c r="D34" s="11">
        <f>Prices!D34/Prices!D33-1</f>
        <v>-5.6849643766841984E-3</v>
      </c>
      <c r="E34" s="11">
        <f>Prices!E34/Prices!E33-1</f>
        <v>8.2393440908639093E-3</v>
      </c>
      <c r="F34" s="11">
        <f>Prices!F34/Prices!F33-1</f>
        <v>8.9519750262316844E-3</v>
      </c>
      <c r="G34" s="11">
        <f>Prices!G34/Prices!G33-1</f>
        <v>-1.1682814308466849E-4</v>
      </c>
      <c r="H34" s="11">
        <f>Prices!H34/Prices!H33-1</f>
        <v>7.4424776527348691E-3</v>
      </c>
    </row>
    <row r="35" spans="1:8" x14ac:dyDescent="0.25">
      <c r="A35" s="10">
        <f>Prices!A35</f>
        <v>45999</v>
      </c>
      <c r="B35" s="11">
        <f>Prices!B35/Prices!B34-1</f>
        <v>-8.626598870790092E-3</v>
      </c>
      <c r="C35" s="11">
        <f>Prices!C35/Prices!C34-1</f>
        <v>-1.8260703098955999E-2</v>
      </c>
      <c r="D35" s="11">
        <f>Prices!D35/Prices!D34-1</f>
        <v>-2.605132012965683E-2</v>
      </c>
      <c r="E35" s="11">
        <f>Prices!E35/Prices!E34-1</f>
        <v>-9.0109607007352599E-3</v>
      </c>
      <c r="F35" s="11">
        <f>Prices!F35/Prices!F34-1</f>
        <v>-2.9183294082083533E-3</v>
      </c>
      <c r="G35" s="11">
        <f>Prices!G35/Prices!G34-1</f>
        <v>-1.1998474716432228E-2</v>
      </c>
      <c r="H35" s="11">
        <f>Prices!H35/Prices!H34-1</f>
        <v>-1.2251647332949145E-2</v>
      </c>
    </row>
    <row r="36" spans="1:8" x14ac:dyDescent="0.25">
      <c r="A36" s="10">
        <f>Prices!A36</f>
        <v>46000</v>
      </c>
      <c r="B36" s="11">
        <f>Prices!B36/Prices!B35-1</f>
        <v>-4.6570662023723841E-3</v>
      </c>
      <c r="C36" s="11">
        <f>Prices!C36/Prices!C35-1</f>
        <v>3.1619769332016379E-3</v>
      </c>
      <c r="D36" s="11">
        <f>Prices!D36/Prices!D35-1</f>
        <v>1.1385994903718943E-2</v>
      </c>
      <c r="E36" s="11">
        <f>Prices!E36/Prices!E35-1</f>
        <v>-2.7347056941817716E-4</v>
      </c>
      <c r="F36" s="11">
        <f>Prices!F36/Prices!F35-1</f>
        <v>-1.1922561653455288E-2</v>
      </c>
      <c r="G36" s="11">
        <f>Prices!G36/Prices!G35-1</f>
        <v>-3.5386547611415686E-4</v>
      </c>
      <c r="H36" s="11">
        <f>Prices!H36/Prices!H35-1</f>
        <v>-7.1584386595546778E-3</v>
      </c>
    </row>
    <row r="37" spans="1:8" x14ac:dyDescent="0.25">
      <c r="A37" s="10">
        <f>Prices!A37</f>
        <v>46001</v>
      </c>
      <c r="B37" s="11">
        <f>Prices!B37/Prices!B36-1</f>
        <v>-3.15987252149319E-3</v>
      </c>
      <c r="C37" s="11">
        <f>Prices!C37/Prices!C36-1</f>
        <v>-1.1201282923510525E-2</v>
      </c>
      <c r="D37" s="11">
        <f>Prices!D37/Prices!D36-1</f>
        <v>-9.0253858910573914E-3</v>
      </c>
      <c r="E37" s="11">
        <f>Prices!E37/Prices!E36-1</f>
        <v>-4.4231611883013278E-3</v>
      </c>
      <c r="F37" s="11">
        <f>Prices!F37/Prices!F36-1</f>
        <v>-8.9350810110514489E-3</v>
      </c>
      <c r="G37" s="11">
        <f>Prices!G37/Prices!G36-1</f>
        <v>-2.7879063556923711E-4</v>
      </c>
      <c r="H37" s="11">
        <f>Prices!H37/Prices!H36-1</f>
        <v>-1.4963913245800153E-3</v>
      </c>
    </row>
    <row r="38" spans="1:8" x14ac:dyDescent="0.25">
      <c r="A38" s="10">
        <f>Prices!A38</f>
        <v>46002</v>
      </c>
      <c r="B38" s="11">
        <f>Prices!B38/Prices!B37-1</f>
        <v>5.4565571861169282E-3</v>
      </c>
      <c r="C38" s="11">
        <f>Prices!C38/Prices!C37-1</f>
        <v>9.6648321618770794E-3</v>
      </c>
      <c r="D38" s="11">
        <f>Prices!D38/Prices!D37-1</f>
        <v>8.0689754039606765E-3</v>
      </c>
      <c r="E38" s="11">
        <f>Prices!E38/Prices!E37-1</f>
        <v>4.2308057611548655E-3</v>
      </c>
      <c r="F38" s="11">
        <f>Prices!F38/Prices!F37-1</f>
        <v>8.1265099934109131E-3</v>
      </c>
      <c r="G38" s="11">
        <f>Prices!G38/Prices!G37-1</f>
        <v>2.0850915495542743E-3</v>
      </c>
      <c r="H38" s="11">
        <f>Prices!H38/Prices!H37-1</f>
        <v>1.1066131788400213E-2</v>
      </c>
    </row>
    <row r="39" spans="1:8" x14ac:dyDescent="0.25">
      <c r="A39" s="10">
        <f>Prices!A39</f>
        <v>46003</v>
      </c>
      <c r="B39" s="11">
        <f>Prices!B39/Prices!B38-1</f>
        <v>5.7300505240640565E-3</v>
      </c>
      <c r="C39" s="11">
        <f>Prices!C39/Prices!C38-1</f>
        <v>1.1837413275526787E-2</v>
      </c>
      <c r="D39" s="11">
        <f>Prices!D39/Prices!D38-1</f>
        <v>9.3974651803310216E-3</v>
      </c>
      <c r="E39" s="11">
        <f>Prices!E39/Prices!E38-1</f>
        <v>3.0417236321320651E-3</v>
      </c>
      <c r="F39" s="11">
        <f>Prices!F39/Prices!F38-1</f>
        <v>4.6657217103709403E-3</v>
      </c>
      <c r="G39" s="11">
        <f>Prices!G39/Prices!G38-1</f>
        <v>-2.3590411143241674E-3</v>
      </c>
      <c r="H39" s="11">
        <f>Prices!H39/Prices!H38-1</f>
        <v>5.7788944723617952E-3</v>
      </c>
    </row>
    <row r="40" spans="1:8" x14ac:dyDescent="0.25">
      <c r="A40" s="10">
        <f>Prices!A40</f>
        <v>46006</v>
      </c>
      <c r="B40" s="11">
        <f>Prices!B40/Prices!B39-1</f>
        <v>-7.5440694591888402E-4</v>
      </c>
      <c r="C40" s="11">
        <f>Prices!C40/Prices!C39-1</f>
        <v>-1.1694781141708965E-3</v>
      </c>
      <c r="D40" s="11">
        <f>Prices!D40/Prices!D39-1</f>
        <v>2.0644107659881783E-3</v>
      </c>
      <c r="E40" s="11">
        <f>Prices!E40/Prices!E39-1</f>
        <v>1.2098006480896206E-3</v>
      </c>
      <c r="F40" s="11">
        <f>Prices!F40/Prices!F39-1</f>
        <v>2.9131477018138341E-3</v>
      </c>
      <c r="G40" s="11">
        <f>Prices!G40/Prices!G39-1</f>
        <v>6.9296101360230011E-3</v>
      </c>
      <c r="H40" s="11">
        <f>Prices!H40/Prices!H39-1</f>
        <v>-9.0849129340044854E-3</v>
      </c>
    </row>
    <row r="41" spans="1:8" x14ac:dyDescent="0.25">
      <c r="A41" s="10">
        <f>Prices!A41</f>
        <v>46007</v>
      </c>
      <c r="B41" s="11">
        <f>Prices!B41/Prices!B40-1</f>
        <v>-6.4240240055634112E-3</v>
      </c>
      <c r="C41" s="11">
        <f>Prices!C41/Prices!C40-1</f>
        <v>-8.3370977599447338E-3</v>
      </c>
      <c r="D41" s="11">
        <f>Prices!D41/Prices!D40-1</f>
        <v>-9.2219317852498817E-3</v>
      </c>
      <c r="E41" s="11">
        <f>Prices!E41/Prices!E40-1</f>
        <v>-7.1844444668678342E-3</v>
      </c>
      <c r="F41" s="11">
        <f>Prices!F41/Prices!F40-1</f>
        <v>-8.4340095737406306E-3</v>
      </c>
      <c r="G41" s="11">
        <f>Prices!G41/Prices!G40-1</f>
        <v>-9.0215861953457654E-5</v>
      </c>
      <c r="H41" s="11">
        <f>Prices!H41/Prices!H40-1</f>
        <v>-9.3949165883744357E-4</v>
      </c>
    </row>
    <row r="42" spans="1:8" x14ac:dyDescent="0.25">
      <c r="A42" s="10">
        <f>Prices!A42</f>
        <v>46008</v>
      </c>
      <c r="B42" s="11">
        <f>Prices!B42/Prices!B41-1</f>
        <v>-1.6067223251263751E-3</v>
      </c>
      <c r="C42" s="11">
        <f>Prices!C42/Prices!C41-1</f>
        <v>-5.3918219149635682E-3</v>
      </c>
      <c r="D42" s="11">
        <f>Prices!D42/Prices!D41-1</f>
        <v>-7.3326904197185128E-3</v>
      </c>
      <c r="E42" s="11">
        <f>Prices!E42/Prices!E41-1</f>
        <v>-1.8268947363071497E-3</v>
      </c>
      <c r="F42" s="11">
        <f>Prices!F42/Prices!F41-1</f>
        <v>2.8781609195402957E-3</v>
      </c>
      <c r="G42" s="11">
        <f>Prices!G42/Prices!G41-1</f>
        <v>-4.7399498208733348E-3</v>
      </c>
      <c r="H42" s="11">
        <f>Prices!H42/Prices!H41-1</f>
        <v>-1.9225043751044391E-3</v>
      </c>
    </row>
    <row r="43" spans="1:8" x14ac:dyDescent="0.25">
      <c r="A43" s="10">
        <f>Prices!A43</f>
        <v>46009</v>
      </c>
      <c r="B43" s="11">
        <f>Prices!B43/Prices!B42-1</f>
        <v>-1.1619552608488348E-4</v>
      </c>
      <c r="C43" s="11">
        <f>Prices!C43/Prices!C42-1</f>
        <v>3.4232014932096266E-3</v>
      </c>
      <c r="D43" s="11">
        <f>Prices!D43/Prices!D42-1</f>
        <v>1.2632340542229059E-3</v>
      </c>
      <c r="E43" s="11">
        <f>Prices!E43/Prices!E42-1</f>
        <v>-2.3588607890312474E-4</v>
      </c>
      <c r="F43" s="11">
        <f>Prices!F43/Prices!F42-1</f>
        <v>1.2084758350678015E-2</v>
      </c>
      <c r="G43" s="11">
        <f>Prices!G43/Prices!G42-1</f>
        <v>-1.0429753458576219E-3</v>
      </c>
      <c r="H43" s="11">
        <f>Prices!H43/Prices!H42-1</f>
        <v>-6.0878343352400721E-3</v>
      </c>
    </row>
    <row r="44" spans="1:8" x14ac:dyDescent="0.25">
      <c r="A44" s="10">
        <f>Prices!A44</f>
        <v>46010</v>
      </c>
      <c r="B44" s="11">
        <f>Prices!B44/Prices!B43-1</f>
        <v>5.8433773442752024E-3</v>
      </c>
      <c r="C44" s="11">
        <f>Prices!C44/Prices!C43-1</f>
        <v>1.2048566799486071E-2</v>
      </c>
      <c r="D44" s="11">
        <f>Prices!D44/Prices!D43-1</f>
        <v>1.3411848346755795E-2</v>
      </c>
      <c r="E44" s="11">
        <f>Prices!E44/Prices!E43-1</f>
        <v>2.6539201549407032E-3</v>
      </c>
      <c r="F44" s="11">
        <f>Prices!F44/Prices!F43-1</f>
        <v>1.5077646644674481E-3</v>
      </c>
      <c r="G44" s="11">
        <f>Prices!G44/Prices!G43-1</f>
        <v>4.3064214078092355E-3</v>
      </c>
      <c r="H44" s="11">
        <f>Prices!H44/Prices!H43-1</f>
        <v>1.2274036578715286E-2</v>
      </c>
    </row>
    <row r="45" spans="1:8" x14ac:dyDescent="0.25">
      <c r="A45" s="10">
        <f>Prices!A45</f>
        <v>46013</v>
      </c>
      <c r="B45" s="11">
        <f>Prices!B45/Prices!B44-1</f>
        <v>7.9333292254606391E-3</v>
      </c>
      <c r="C45" s="11">
        <f>Prices!C45/Prices!C44-1</f>
        <v>8.3750413487613251E-3</v>
      </c>
      <c r="D45" s="11">
        <f>Prices!D45/Prices!D44-1</f>
        <v>1.1655889616942749E-2</v>
      </c>
      <c r="E45" s="11">
        <f>Prices!E45/Prices!E44-1</f>
        <v>3.9749988149493376E-3</v>
      </c>
      <c r="F45" s="11">
        <f>Prices!F45/Prices!F44-1</f>
        <v>2.0583279057986736E-2</v>
      </c>
      <c r="G45" s="11">
        <f>Prices!G45/Prices!G44-1</f>
        <v>5.1349592516432008E-3</v>
      </c>
      <c r="H45" s="11">
        <f>Prices!H45/Prices!H44-1</f>
        <v>8.2455775610372761E-3</v>
      </c>
    </row>
    <row r="46" spans="1:8" x14ac:dyDescent="0.25">
      <c r="A46" s="10">
        <f>Prices!A46</f>
        <v>46014</v>
      </c>
      <c r="B46" s="11">
        <f>Prices!B46/Prices!B45-1</f>
        <v>1.8148889670044355E-4</v>
      </c>
      <c r="C46" s="11">
        <f>Prices!C46/Prices!C45-1</f>
        <v>1.3976757474498669E-5</v>
      </c>
      <c r="D46" s="11">
        <f>Prices!D46/Prices!D45-1</f>
        <v>3.7372712520000739E-3</v>
      </c>
      <c r="E46" s="11">
        <f>Prices!E46/Prices!E45-1</f>
        <v>-7.5037096991747987E-5</v>
      </c>
      <c r="F46" s="11">
        <f>Prices!F46/Prices!F45-1</f>
        <v>-7.9593800648298796E-3</v>
      </c>
      <c r="G46" s="11">
        <f>Prices!G46/Prices!G45-1</f>
        <v>5.1940834667418834E-3</v>
      </c>
      <c r="H46" s="11">
        <f>Prices!H46/Prices!H45-1</f>
        <v>2.4206302245266542E-4</v>
      </c>
    </row>
    <row r="47" spans="1:8" x14ac:dyDescent="0.25">
      <c r="A47" s="10">
        <f>Prices!A47</f>
        <v>46015</v>
      </c>
      <c r="B47" s="11">
        <f>Prices!B47/Prices!B46-1</f>
        <v>-1.3389540114184806E-3</v>
      </c>
      <c r="C47" s="11">
        <f>Prices!C47/Prices!C46-1</f>
        <v>-5.9975894541083319E-3</v>
      </c>
      <c r="D47" s="11">
        <f>Prices!D47/Prices!D46-1</f>
        <v>2.8201236777130045E-3</v>
      </c>
      <c r="E47" s="11">
        <f>Prices!E47/Prices!E46-1</f>
        <v>-1.95532681108046E-3</v>
      </c>
      <c r="F47" s="11">
        <f>Prices!F47/Prices!F46-1</f>
        <v>-5.0773861034314471E-3</v>
      </c>
      <c r="G47" s="11">
        <f>Prices!G47/Prices!G46-1</f>
        <v>-4.2440059513646489E-3</v>
      </c>
      <c r="H47" s="11">
        <f>Prices!H47/Prices!H46-1</f>
        <v>-2.29456063645328E-4</v>
      </c>
    </row>
    <row r="48" spans="1:8" x14ac:dyDescent="0.25">
      <c r="A48" s="10">
        <f>Prices!A48</f>
        <v>46017</v>
      </c>
      <c r="B48" s="11">
        <f>Prices!B48/Prices!B47-1</f>
        <v>-3.8175969030797008E-3</v>
      </c>
      <c r="C48" s="11">
        <f>Prices!C48/Prices!C47-1</f>
        <v>-2.2646309801187536E-3</v>
      </c>
      <c r="D48" s="11">
        <f>Prices!D48/Prices!D47-1</f>
        <v>-7.6234146121090252E-4</v>
      </c>
      <c r="E48" s="11">
        <f>Prices!E48/Prices!E47-1</f>
        <v>-2.910434647436122E-3</v>
      </c>
      <c r="F48" s="11">
        <f>Prices!F48/Prices!F47-1</f>
        <v>-1.0327185771318859E-2</v>
      </c>
      <c r="G48" s="11">
        <f>Prices!G48/Prices!G47-1</f>
        <v>3.3204055249380637E-4</v>
      </c>
      <c r="H48" s="11">
        <f>Prices!H48/Prices!H47-1</f>
        <v>-5.2284956599542021E-3</v>
      </c>
    </row>
    <row r="49" spans="1:8" x14ac:dyDescent="0.25">
      <c r="A49" s="10">
        <f>Prices!A49</f>
        <v>46020</v>
      </c>
      <c r="B49" s="11">
        <f>Prices!B49/Prices!B48-1</f>
        <v>-3.8475864266981352E-3</v>
      </c>
      <c r="C49" s="11">
        <f>Prices!C49/Prices!C48-1</f>
        <v>-5.1919564880388291E-3</v>
      </c>
      <c r="D49" s="11">
        <f>Prices!D49/Prices!D48-1</f>
        <v>-7.199733259489749E-3</v>
      </c>
      <c r="E49" s="11">
        <f>Prices!E49/Prices!E48-1</f>
        <v>-1.3387255163624934E-3</v>
      </c>
      <c r="F49" s="11">
        <f>Prices!F49/Prices!F48-1</f>
        <v>-7.507978523448311E-3</v>
      </c>
      <c r="G49" s="11">
        <f>Prices!G49/Prices!G48-1</f>
        <v>1.0955514986290549E-3</v>
      </c>
      <c r="H49" s="11">
        <f>Prices!H49/Prices!H48-1</f>
        <v>-5.3118528038182955E-3</v>
      </c>
    </row>
    <row r="50" spans="1:8" x14ac:dyDescent="0.25">
      <c r="A50" s="10">
        <f>Prices!A50</f>
        <v>46021</v>
      </c>
      <c r="B50" s="11">
        <f>Prices!B50/Prices!B49-1</f>
        <v>-1.2527898666647719E-4</v>
      </c>
      <c r="C50" s="11">
        <f>Prices!C50/Prices!C49-1</f>
        <v>-1.4508018992922533E-3</v>
      </c>
      <c r="D50" s="11">
        <f>Prices!D50/Prices!D49-1</f>
        <v>-2.7749790809269426E-3</v>
      </c>
      <c r="E50" s="11">
        <f>Prices!E50/Prices!E49-1</f>
        <v>4.0538006714478936E-3</v>
      </c>
      <c r="F50" s="11">
        <f>Prices!F50/Prices!F49-1</f>
        <v>-7.4211066617557719E-3</v>
      </c>
      <c r="G50" s="11">
        <f>Prices!G50/Prices!G49-1</f>
        <v>-2.8862643350674455E-3</v>
      </c>
      <c r="H50" s="11">
        <f>Prices!H50/Prices!H49-1</f>
        <v>1.0769230769230864E-2</v>
      </c>
    </row>
    <row r="51" spans="1:8" x14ac:dyDescent="0.25">
      <c r="A51" s="10">
        <f>Prices!A51</f>
        <v>46022</v>
      </c>
      <c r="B51" s="11">
        <f>Prices!B51/Prices!B50-1</f>
        <v>7.3538341136942798E-3</v>
      </c>
      <c r="C51" s="11">
        <f>Prices!C51/Prices!C50-1</f>
        <v>9.5177691450698543E-3</v>
      </c>
      <c r="D51" s="11">
        <f>Prices!D51/Prices!D50-1</f>
        <v>1.1130804072161826E-2</v>
      </c>
      <c r="E51" s="11">
        <f>Prices!E51/Prices!E50-1</f>
        <v>6.9391807676870698E-3</v>
      </c>
      <c r="F51" s="11">
        <f>Prices!F51/Prices!F50-1</f>
        <v>-3.0145847478589838E-3</v>
      </c>
      <c r="G51" s="11">
        <f>Prices!G51/Prices!G50-1</f>
        <v>8.0406082515720456E-3</v>
      </c>
      <c r="H51" s="11">
        <f>Prices!H51/Prices!H50-1</f>
        <v>1.0754885773037515E-2</v>
      </c>
    </row>
    <row r="52" spans="1:8" x14ac:dyDescent="0.25">
      <c r="A52" s="10">
        <f>Prices!A52</f>
        <v>46023</v>
      </c>
      <c r="B52" s="11">
        <f>Prices!B52/Prices!B51-1</f>
        <v>6.4868960871966586E-4</v>
      </c>
      <c r="C52" s="11">
        <f>Prices!C52/Prices!C51-1</f>
        <v>4.3969942712596133E-3</v>
      </c>
      <c r="D52" s="11">
        <f>Prices!D52/Prices!D51-1</f>
        <v>-5.1089677909210707E-4</v>
      </c>
      <c r="E52" s="11">
        <f>Prices!E52/Prices!E51-1</f>
        <v>2.1768374093789067E-3</v>
      </c>
      <c r="F52" s="11">
        <f>Prices!F52/Prices!F51-1</f>
        <v>7.5876259270062363E-3</v>
      </c>
      <c r="G52" s="11">
        <f>Prices!G52/Prices!G51-1</f>
        <v>-3.1674257083963875E-2</v>
      </c>
      <c r="H52" s="11">
        <f>Prices!H52/Prices!H51-1</f>
        <v>1.0321182279989793E-2</v>
      </c>
    </row>
    <row r="53" spans="1:8" x14ac:dyDescent="0.25">
      <c r="A53" s="10">
        <f>Prices!A53</f>
        <v>46024</v>
      </c>
      <c r="B53" s="11">
        <f>Prices!B53/Prices!B52-1</f>
        <v>6.9607653782239876E-3</v>
      </c>
      <c r="C53" s="11">
        <f>Prices!C53/Prices!C52-1</f>
        <v>1.0130789154648268E-2</v>
      </c>
      <c r="D53" s="11">
        <f>Prices!D53/Prices!D52-1</f>
        <v>7.1816276849909766E-3</v>
      </c>
      <c r="E53" s="11">
        <f>Prices!E53/Prices!E52-1</f>
        <v>7.3587103332604098E-3</v>
      </c>
      <c r="F53" s="11">
        <f>Prices!F53/Prices!F52-1</f>
        <v>3.8981962982853613E-3</v>
      </c>
      <c r="G53" s="11">
        <f>Prices!G53/Prices!G52-1</f>
        <v>-1.1908374210002126E-2</v>
      </c>
      <c r="H53" s="11">
        <f>Prices!H53/Prices!H52-1</f>
        <v>1.1344584286469228E-2</v>
      </c>
    </row>
    <row r="54" spans="1:8" x14ac:dyDescent="0.25">
      <c r="A54" s="10">
        <f>Prices!A54</f>
        <v>46027</v>
      </c>
      <c r="B54" s="11">
        <f>Prices!B54/Prices!B53-1</f>
        <v>-2.9720588486642496E-3</v>
      </c>
      <c r="C54" s="11">
        <f>Prices!C54/Prices!C53-1</f>
        <v>-1.6328286556540617E-3</v>
      </c>
      <c r="D54" s="11">
        <f>Prices!D54/Prices!D53-1</f>
        <v>5.2910349623291886E-3</v>
      </c>
      <c r="E54" s="11">
        <f>Prices!E54/Prices!E53-1</f>
        <v>-1.7747018126895719E-3</v>
      </c>
      <c r="F54" s="11">
        <f>Prices!F54/Prices!F53-1</f>
        <v>-1.4330524552260804E-2</v>
      </c>
      <c r="G54" s="11">
        <f>Prices!G54/Prices!G53-1</f>
        <v>6.8257006563825495E-3</v>
      </c>
      <c r="H54" s="11">
        <f>Prices!H54/Prices!H53-1</f>
        <v>3.1419629109505909E-3</v>
      </c>
    </row>
    <row r="55" spans="1:8" x14ac:dyDescent="0.25">
      <c r="A55" s="10">
        <f>Prices!A55</f>
        <v>46028</v>
      </c>
      <c r="B55" s="11">
        <f>Prices!B55/Prices!B54-1</f>
        <v>-2.7275878751861216E-3</v>
      </c>
      <c r="C55" s="11">
        <f>Prices!C55/Prices!C54-1</f>
        <v>-1.9121629231363402E-3</v>
      </c>
      <c r="D55" s="11">
        <f>Prices!D55/Prices!D54-1</f>
        <v>-2.1504596572654577E-3</v>
      </c>
      <c r="E55" s="11">
        <f>Prices!E55/Prices!E54-1</f>
        <v>1.2357563261731208E-3</v>
      </c>
      <c r="F55" s="11">
        <f>Prices!F55/Prices!F54-1</f>
        <v>5.4605168230250634E-3</v>
      </c>
      <c r="G55" s="11">
        <f>Prices!G55/Prices!G54-1</f>
        <v>2.2613681230363447E-3</v>
      </c>
      <c r="H55" s="11">
        <f>Prices!H55/Prices!H54-1</f>
        <v>9.7597610588984196E-4</v>
      </c>
    </row>
    <row r="56" spans="1:8" x14ac:dyDescent="0.25">
      <c r="A56" s="10">
        <f>Prices!A56</f>
        <v>46029</v>
      </c>
      <c r="B56" s="11">
        <f>Prices!B56/Prices!B55-1</f>
        <v>-1.4496518161711824E-3</v>
      </c>
      <c r="C56" s="11">
        <f>Prices!C56/Prices!C55-1</f>
        <v>4.5160514844586608E-3</v>
      </c>
      <c r="D56" s="11">
        <f>Prices!D56/Prices!D55-1</f>
        <v>3.9496082536472077E-3</v>
      </c>
      <c r="E56" s="11">
        <f>Prices!E56/Prices!E55-1</f>
        <v>-2.1216466173418214E-3</v>
      </c>
      <c r="F56" s="11">
        <f>Prices!F56/Prices!F55-1</f>
        <v>1.8732193357101856E-2</v>
      </c>
      <c r="G56" s="11">
        <f>Prices!G56/Prices!G55-1</f>
        <v>-1.2723584559560797E-3</v>
      </c>
      <c r="H56" s="11">
        <f>Prices!H56/Prices!H55-1</f>
        <v>-7.9505987583995408E-3</v>
      </c>
    </row>
    <row r="57" spans="1:8" x14ac:dyDescent="0.25">
      <c r="A57" s="10">
        <f>Prices!A57</f>
        <v>46030</v>
      </c>
      <c r="B57" s="11">
        <f>Prices!B57/Prices!B56-1</f>
        <v>-1.0095349215305638E-2</v>
      </c>
      <c r="C57" s="11">
        <f>Prices!C57/Prices!C56-1</f>
        <v>-1.957111715645321E-2</v>
      </c>
      <c r="D57" s="11">
        <f>Prices!D57/Prices!D56-1</f>
        <v>-1.9904223626694972E-2</v>
      </c>
      <c r="E57" s="11">
        <f>Prices!E57/Prices!E56-1</f>
        <v>-5.073273674235268E-3</v>
      </c>
      <c r="F57" s="11">
        <f>Prices!F57/Prices!F56-1</f>
        <v>-1.9863629784330317E-2</v>
      </c>
      <c r="G57" s="11">
        <f>Prices!G57/Prices!G56-1</f>
        <v>-9.0412346851410641E-3</v>
      </c>
      <c r="H57" s="11">
        <f>Prices!H57/Prices!H56-1</f>
        <v>-9.6698080327891622E-3</v>
      </c>
    </row>
    <row r="58" spans="1:8" x14ac:dyDescent="0.25">
      <c r="A58" s="10">
        <f>Prices!A58</f>
        <v>46031</v>
      </c>
      <c r="B58" s="11">
        <f>Prices!B58/Prices!B57-1</f>
        <v>-7.4796584592019544E-3</v>
      </c>
      <c r="C58" s="11">
        <f>Prices!C58/Prices!C57-1</f>
        <v>-7.8774478994995123E-3</v>
      </c>
      <c r="D58" s="11">
        <f>Prices!D58/Prices!D57-1</f>
        <v>-1.8089829868104368E-2</v>
      </c>
      <c r="E58" s="11">
        <f>Prices!E58/Prices!E57-1</f>
        <v>-7.2872425087749937E-3</v>
      </c>
      <c r="F58" s="11">
        <f>Prices!F58/Prices!F57-1</f>
        <v>2.8190705242310266E-3</v>
      </c>
      <c r="G58" s="11">
        <f>Prices!G58/Prices!G57-1</f>
        <v>-1.0790386369402882E-2</v>
      </c>
      <c r="H58" s="11">
        <f>Prices!H58/Prices!H57-1</f>
        <v>-1.1518584407151811E-2</v>
      </c>
    </row>
    <row r="59" spans="1:8" x14ac:dyDescent="0.25">
      <c r="A59" s="10">
        <f>Prices!A59</f>
        <v>46034</v>
      </c>
      <c r="B59" s="11">
        <f>Prices!B59/Prices!B58-1</f>
        <v>4.164184509000135E-3</v>
      </c>
      <c r="C59" s="11">
        <f>Prices!C59/Prices!C58-1</f>
        <v>-5.1968136251923092E-4</v>
      </c>
      <c r="D59" s="11">
        <f>Prices!D59/Prices!D58-1</f>
        <v>-5.1699247511233226E-3</v>
      </c>
      <c r="E59" s="11">
        <f>Prices!E59/Prices!E58-1</f>
        <v>3.3577180681347851E-3</v>
      </c>
      <c r="F59" s="11">
        <f>Prices!F59/Prices!F58-1</f>
        <v>-1.0242668405772148E-3</v>
      </c>
      <c r="G59" s="11">
        <f>Prices!G59/Prices!G58-1</f>
        <v>5.861190755203971E-3</v>
      </c>
      <c r="H59" s="11">
        <f>Prices!H59/Prices!H58-1</f>
        <v>-2.7022552616542406E-3</v>
      </c>
    </row>
    <row r="60" spans="1:8" x14ac:dyDescent="0.25">
      <c r="A60" s="10">
        <f>Prices!A60</f>
        <v>46035</v>
      </c>
      <c r="B60" s="11">
        <f>Prices!B60/Prices!B59-1</f>
        <v>-2.2469731778482771E-3</v>
      </c>
      <c r="C60" s="11">
        <f>Prices!C60/Prices!C59-1</f>
        <v>-1.9977527374904769E-3</v>
      </c>
      <c r="D60" s="11">
        <f>Prices!D60/Prices!D59-1</f>
        <v>5.9616245863214345E-3</v>
      </c>
      <c r="E60" s="11">
        <f>Prices!E60/Prices!E59-1</f>
        <v>2.1580979133901668E-3</v>
      </c>
      <c r="F60" s="11">
        <f>Prices!F60/Prices!F59-1</f>
        <v>6.536231597928488E-3</v>
      </c>
      <c r="G60" s="11">
        <f>Prices!G60/Prices!G59-1</f>
        <v>-3.1917414755761042E-3</v>
      </c>
      <c r="H60" s="11">
        <f>Prices!H60/Prices!H59-1</f>
        <v>-3.4503378046712996E-3</v>
      </c>
    </row>
    <row r="61" spans="1:8" x14ac:dyDescent="0.25">
      <c r="A61" s="10">
        <f>Prices!A61</f>
        <v>46036</v>
      </c>
      <c r="B61" s="11">
        <f>Prices!B61/Prices!B60-1</f>
        <v>-2.5920729977498835E-3</v>
      </c>
      <c r="C61" s="11">
        <f>Prices!C61/Prices!C60-1</f>
        <v>2.8977579709317247E-3</v>
      </c>
      <c r="D61" s="11">
        <f>Prices!D61/Prices!D60-1</f>
        <v>6.6519039304340222E-3</v>
      </c>
      <c r="E61" s="11">
        <f>Prices!E61/Prices!E60-1</f>
        <v>2.2659066647889858E-5</v>
      </c>
      <c r="F61" s="11">
        <f>Prices!F61/Prices!F60-1</f>
        <v>-1.0823413723257125E-2</v>
      </c>
      <c r="G61" s="11">
        <f>Prices!G61/Prices!G60-1</f>
        <v>-6.0577646372996785E-3</v>
      </c>
      <c r="H61" s="11">
        <f>Prices!H61/Prices!H60-1</f>
        <v>-6.9227765617891901E-3</v>
      </c>
    </row>
    <row r="62" spans="1:8" x14ac:dyDescent="0.25">
      <c r="A62" s="10">
        <f>Prices!A62</f>
        <v>46038</v>
      </c>
      <c r="B62" s="11">
        <f>Prices!B62/Prices!B61-1</f>
        <v>1.1201764229162858E-3</v>
      </c>
      <c r="C62" s="11">
        <f>Prices!C62/Prices!C61-1</f>
        <v>1.6278933587638988E-3</v>
      </c>
      <c r="D62" s="11">
        <f>Prices!D62/Prices!D61-1</f>
        <v>-2.7884910845822342E-3</v>
      </c>
      <c r="E62" s="11">
        <f>Prices!E62/Prices!E61-1</f>
        <v>8.6438184529578077E-3</v>
      </c>
      <c r="F62" s="11">
        <f>Prices!F62/Prices!F61-1</f>
        <v>3.3417762349065683E-2</v>
      </c>
      <c r="G62" s="11">
        <f>Prices!G62/Prices!G61-1</f>
        <v>-2.2225985554544803E-3</v>
      </c>
      <c r="H62" s="11">
        <f>Prices!H62/Prices!H61-1</f>
        <v>-4.53072215598882E-3</v>
      </c>
    </row>
    <row r="63" spans="1:8" x14ac:dyDescent="0.25">
      <c r="A63" s="10">
        <f>Prices!A63</f>
        <v>46041</v>
      </c>
      <c r="B63" s="11">
        <f>Prices!B63/Prices!B62-1</f>
        <v>-4.2363398957357967E-3</v>
      </c>
      <c r="C63" s="11">
        <f>Prices!C63/Prices!C62-1</f>
        <v>-3.6772689158446337E-3</v>
      </c>
      <c r="D63" s="11">
        <f>Prices!D63/Prices!D62-1</f>
        <v>-9.8834831790718392E-3</v>
      </c>
      <c r="E63" s="11">
        <f>Prices!E63/Prices!E62-1</f>
        <v>-3.3912886480855775E-3</v>
      </c>
      <c r="F63" s="11">
        <f>Prices!F63/Prices!F62-1</f>
        <v>-4.7113272690292307E-3</v>
      </c>
      <c r="G63" s="11">
        <f>Prices!G63/Prices!G62-1</f>
        <v>6.6634702977417248E-3</v>
      </c>
      <c r="H63" s="11">
        <f>Prices!H63/Prices!H62-1</f>
        <v>1.3117724328486347E-3</v>
      </c>
    </row>
    <row r="64" spans="1:8" x14ac:dyDescent="0.25">
      <c r="A64" s="10">
        <f>Prices!A64</f>
        <v>46042</v>
      </c>
      <c r="B64" s="11">
        <f>Prices!B64/Prices!B63-1</f>
        <v>-1.3796877137441155E-2</v>
      </c>
      <c r="C64" s="11">
        <f>Prices!C64/Prices!C63-1</f>
        <v>-2.6192146714916764E-2</v>
      </c>
      <c r="D64" s="11">
        <f>Prices!D64/Prices!D63-1</f>
        <v>-2.8483424177025984E-2</v>
      </c>
      <c r="E64" s="11">
        <f>Prices!E64/Prices!E63-1</f>
        <v>-8.1338957963045244E-3</v>
      </c>
      <c r="F64" s="11">
        <f>Prices!F64/Prices!F63-1</f>
        <v>-2.0601503759398399E-2</v>
      </c>
      <c r="G64" s="11">
        <f>Prices!G64/Prices!G63-1</f>
        <v>-1.48018811220052E-2</v>
      </c>
      <c r="H64" s="11">
        <f>Prices!H64/Prices!H63-1</f>
        <v>-2.4766171656874558E-2</v>
      </c>
    </row>
    <row r="65" spans="1:8" x14ac:dyDescent="0.25">
      <c r="A65" s="10">
        <f>Prices!A65</f>
        <v>46043</v>
      </c>
      <c r="B65" s="11">
        <f>Prices!B65/Prices!B64-1</f>
        <v>-2.9723570791637677E-3</v>
      </c>
      <c r="C65" s="11">
        <f>Prices!C65/Prices!C64-1</f>
        <v>-1.1391856982870818E-2</v>
      </c>
      <c r="D65" s="11">
        <f>Prices!D65/Prices!D64-1</f>
        <v>-8.9724897536381798E-3</v>
      </c>
      <c r="E65" s="11">
        <f>Prices!E65/Prices!E64-1</f>
        <v>-1.0165947862272318E-2</v>
      </c>
      <c r="F65" s="11">
        <f>Prices!F65/Prices!F64-1</f>
        <v>-2.8542520481719125E-3</v>
      </c>
      <c r="G65" s="11">
        <f>Prices!G65/Prices!G64-1</f>
        <v>-6.0042929244097376E-3</v>
      </c>
      <c r="H65" s="11">
        <f>Prices!H65/Prices!H64-1</f>
        <v>-2.8517780474318632E-3</v>
      </c>
    </row>
    <row r="66" spans="1:8" x14ac:dyDescent="0.25">
      <c r="A66" s="10">
        <f>Prices!A66</f>
        <v>46044</v>
      </c>
      <c r="B66" s="11">
        <f>Prices!B66/Prices!B65-1</f>
        <v>5.2628440822817257E-3</v>
      </c>
      <c r="C66" s="11">
        <f>Prices!C66/Prices!C65-1</f>
        <v>1.3368185407928612E-2</v>
      </c>
      <c r="D66" s="11">
        <f>Prices!D66/Prices!D65-1</f>
        <v>7.6157619991299441E-3</v>
      </c>
      <c r="E66" s="11">
        <f>Prices!E66/Prices!E65-1</f>
        <v>6.7992850376612513E-3</v>
      </c>
      <c r="F66" s="11">
        <f>Prices!F66/Prices!F65-1</f>
        <v>8.1450715013304809E-3</v>
      </c>
      <c r="G66" s="11">
        <f>Prices!G66/Prices!G65-1</f>
        <v>1.1203735226885891E-2</v>
      </c>
      <c r="H66" s="11">
        <f>Prices!H66/Prices!H65-1</f>
        <v>8.8924035911988053E-3</v>
      </c>
    </row>
    <row r="67" spans="1:8" x14ac:dyDescent="0.25">
      <c r="A67" s="10">
        <f>Prices!A67</f>
        <v>46045</v>
      </c>
      <c r="B67" s="11">
        <f>Prices!B67/Prices!B66-1</f>
        <v>-9.5393813340503009E-3</v>
      </c>
      <c r="C67" s="11">
        <f>Prices!C67/Prices!C66-1</f>
        <v>-1.796918096004041E-2</v>
      </c>
      <c r="D67" s="11">
        <f>Prices!D67/Prices!D66-1</f>
        <v>-1.945764439580866E-2</v>
      </c>
      <c r="E67" s="11">
        <f>Prices!E67/Prices!E66-1</f>
        <v>-1.2280384661512378E-2</v>
      </c>
      <c r="F67" s="11">
        <f>Prices!F67/Prices!F66-1</f>
        <v>-1.6513605775193563E-3</v>
      </c>
      <c r="G67" s="11">
        <f>Prices!G67/Prices!G66-1</f>
        <v>-6.0861819525033223E-3</v>
      </c>
      <c r="H67" s="11">
        <f>Prices!H67/Prices!H66-1</f>
        <v>-1.127435430207091E-2</v>
      </c>
    </row>
    <row r="68" spans="1:8" x14ac:dyDescent="0.25">
      <c r="A68" s="10">
        <f>Prices!A68</f>
        <v>46049</v>
      </c>
      <c r="B68" s="11">
        <f>Prices!B68/Prices!B67-1</f>
        <v>5.0601529423741631E-3</v>
      </c>
      <c r="C68" s="11">
        <f>Prices!C68/Prices!C67-1</f>
        <v>5.9147109185038182E-3</v>
      </c>
      <c r="D68" s="11">
        <f>Prices!D68/Prices!D67-1</f>
        <v>4.072709483114334E-3</v>
      </c>
      <c r="E68" s="11">
        <f>Prices!E68/Prices!E67-1</f>
        <v>1.2524562576637699E-2</v>
      </c>
      <c r="F68" s="11">
        <f>Prices!F68/Prices!F67-1</f>
        <v>8.5672816663833196E-3</v>
      </c>
      <c r="G68" s="11">
        <f>Prices!G68/Prices!G67-1</f>
        <v>-6.0450562840616007E-3</v>
      </c>
      <c r="H68" s="11">
        <f>Prices!H68/Prices!H67-1</f>
        <v>-9.3472936497721593E-3</v>
      </c>
    </row>
    <row r="69" spans="1:8" x14ac:dyDescent="0.25">
      <c r="A69" s="10">
        <f>Prices!A69</f>
        <v>46050</v>
      </c>
      <c r="B69" s="11">
        <f>Prices!B69/Prices!B68-1</f>
        <v>6.6473621074540912E-3</v>
      </c>
      <c r="C69" s="11">
        <f>Prices!C69/Prices!C68-1</f>
        <v>1.6612549829386314E-2</v>
      </c>
      <c r="D69" s="11">
        <f>Prices!D69/Prices!D68-1</f>
        <v>2.2631833781483479E-2</v>
      </c>
      <c r="E69" s="11">
        <f>Prices!E69/Prices!E68-1</f>
        <v>6.6438140407683033E-3</v>
      </c>
      <c r="F69" s="11">
        <f>Prices!F69/Prices!F68-1</f>
        <v>4.1292741552814149E-3</v>
      </c>
      <c r="G69" s="11">
        <f>Prices!G69/Prices!G68-1</f>
        <v>-7.0944843937896795E-3</v>
      </c>
      <c r="H69" s="11">
        <f>Prices!H69/Prices!H68-1</f>
        <v>6.914212548015275E-3</v>
      </c>
    </row>
    <row r="70" spans="1:8" x14ac:dyDescent="0.25">
      <c r="A70" s="10">
        <f>Prices!A70</f>
        <v>46051</v>
      </c>
      <c r="B70" s="11">
        <f>Prices!B70/Prices!B69-1</f>
        <v>3.004804135305017E-3</v>
      </c>
      <c r="C70" s="11">
        <f>Prices!C70/Prices!C69-1</f>
        <v>1.7522664814009214E-3</v>
      </c>
      <c r="D70" s="11">
        <f>Prices!D70/Prices!D69-1</f>
        <v>2.0278781129119405E-3</v>
      </c>
      <c r="E70" s="11">
        <f>Prices!E70/Prices!E69-1</f>
        <v>6.0244501567146003E-3</v>
      </c>
      <c r="F70" s="11">
        <f>Prices!F70/Prices!F69-1</f>
        <v>-7.5945085067016249E-3</v>
      </c>
      <c r="G70" s="11">
        <f>Prices!G70/Prices!G69-1</f>
        <v>-9.0525826485791105E-3</v>
      </c>
      <c r="H70" s="11">
        <f>Prices!H70/Prices!H69-1</f>
        <v>-6.8143737657828662E-3</v>
      </c>
    </row>
    <row r="71" spans="1:8" x14ac:dyDescent="0.25">
      <c r="A71" s="10">
        <f>Prices!A71</f>
        <v>46052</v>
      </c>
      <c r="B71" s="11">
        <f>Prices!B71/Prices!B70-1</f>
        <v>-3.8652341368037302E-3</v>
      </c>
      <c r="C71" s="11">
        <f>Prices!C71/Prices!C70-1</f>
        <v>-1.8619429118054143E-3</v>
      </c>
      <c r="D71" s="11">
        <f>Prices!D71/Prices!D70-1</f>
        <v>3.2154531946506637E-3</v>
      </c>
      <c r="E71" s="11">
        <f>Prices!E71/Prices!E70-1</f>
        <v>-5.7940703344099287E-3</v>
      </c>
      <c r="F71" s="11">
        <f>Prices!F71/Prices!F70-1</f>
        <v>-1.0280696048137861E-2</v>
      </c>
      <c r="G71" s="11">
        <f>Prices!G71/Prices!G70-1</f>
        <v>1.3682633367574359E-2</v>
      </c>
      <c r="H71" s="11">
        <f>Prices!H71/Prices!H70-1</f>
        <v>7.3412563922967689E-3</v>
      </c>
    </row>
    <row r="72" spans="1:8" x14ac:dyDescent="0.25">
      <c r="A72" s="10">
        <f>Prices!A72</f>
        <v>46054</v>
      </c>
      <c r="B72" s="11">
        <f>Prices!B72/Prices!B71-1</f>
        <v>-1.955715986753892E-2</v>
      </c>
      <c r="C72" s="11">
        <f>Prices!C72/Prices!C71-1</f>
        <v>-2.243975903614448E-2</v>
      </c>
      <c r="D72" s="11">
        <f>Prices!D72/Prices!D71-1</f>
        <v>-2.7308920499315548E-2</v>
      </c>
      <c r="E72" s="11">
        <f>Prices!E72/Prices!E71-1</f>
        <v>-2.0017463381001188E-2</v>
      </c>
      <c r="F72" s="11">
        <f>Prices!F72/Prices!F71-1</f>
        <v>5.699840809335166E-3</v>
      </c>
      <c r="G72" s="11">
        <f>Prices!G72/Prices!G71-1</f>
        <v>-2.2891641543916541E-2</v>
      </c>
      <c r="H72" s="11">
        <f>Prices!H72/Prices!H71-1</f>
        <v>-2.0923090725915583E-2</v>
      </c>
    </row>
    <row r="73" spans="1:8" x14ac:dyDescent="0.25">
      <c r="A73" s="10">
        <f>Prices!A73</f>
        <v>46055</v>
      </c>
      <c r="B73" s="11">
        <f>Prices!B73/Prices!B72-1</f>
        <v>1.05919530159575E-2</v>
      </c>
      <c r="C73" s="11">
        <f>Prices!C73/Prices!C72-1</f>
        <v>9.5726950602932348E-3</v>
      </c>
      <c r="D73" s="11">
        <f>Prices!D73/Prices!D72-1</f>
        <v>6.4075428717607075E-3</v>
      </c>
      <c r="E73" s="11">
        <f>Prices!E73/Prices!E72-1</f>
        <v>3.4544620420013938E-3</v>
      </c>
      <c r="F73" s="11">
        <f>Prices!F73/Prices!F72-1</f>
        <v>-4.6741493139743628E-3</v>
      </c>
      <c r="G73" s="11">
        <f>Prices!G73/Prices!G72-1</f>
        <v>1.1598072050324815E-2</v>
      </c>
      <c r="H73" s="11">
        <f>Prices!H73/Prices!H72-1</f>
        <v>2.1324403938046688E-2</v>
      </c>
    </row>
    <row r="74" spans="1:8" x14ac:dyDescent="0.25">
      <c r="A74" s="10">
        <f>Prices!A74</f>
        <v>46056</v>
      </c>
      <c r="B74" s="11">
        <f>Prices!B74/Prices!B73-1</f>
        <v>2.5475917156932981E-2</v>
      </c>
      <c r="C74" s="11">
        <f>Prices!C74/Prices!C73-1</f>
        <v>2.8430175696578353E-2</v>
      </c>
      <c r="D74" s="11">
        <f>Prices!D74/Prices!D73-1</f>
        <v>2.8178305246817414E-2</v>
      </c>
      <c r="E74" s="11">
        <f>Prices!E74/Prices!E73-1</f>
        <v>2.4263464064552487E-2</v>
      </c>
      <c r="F74" s="11">
        <f>Prices!F74/Prices!F73-1</f>
        <v>1.4119816200755642E-2</v>
      </c>
      <c r="G74" s="11">
        <f>Prices!G74/Prices!G73-1</f>
        <v>3.6238325510833391E-3</v>
      </c>
      <c r="H74" s="11">
        <f>Prices!H74/Prices!H73-1</f>
        <v>2.8081266133690219E-2</v>
      </c>
    </row>
    <row r="75" spans="1:8" x14ac:dyDescent="0.25">
      <c r="A75" s="10">
        <f>Prices!A75</f>
        <v>46057</v>
      </c>
      <c r="B75" s="11">
        <f>Prices!B75/Prices!B74-1</f>
        <v>1.8831952517825989E-3</v>
      </c>
      <c r="C75" s="11">
        <f>Prices!C75/Prices!C74-1</f>
        <v>6.3483124280230285E-3</v>
      </c>
      <c r="D75" s="11">
        <f>Prices!D75/Prices!D74-1</f>
        <v>1.2722975816633619E-2</v>
      </c>
      <c r="E75" s="11">
        <f>Prices!E75/Prices!E74-1</f>
        <v>3.2785765797875843E-3</v>
      </c>
      <c r="F75" s="11">
        <f>Prices!F75/Prices!F74-1</f>
        <v>-5.8689388592850555E-2</v>
      </c>
      <c r="G75" s="11">
        <f>Prices!G75/Prices!G74-1</f>
        <v>2.2851339342389032E-3</v>
      </c>
      <c r="H75" s="11">
        <f>Prices!H75/Prices!H74-1</f>
        <v>1.1821689217935916E-2</v>
      </c>
    </row>
    <row r="76" spans="1:8" x14ac:dyDescent="0.25">
      <c r="A76" s="10">
        <f>Prices!A76</f>
        <v>46058</v>
      </c>
      <c r="B76" s="11">
        <f>Prices!B76/Prices!B75-1</f>
        <v>-5.16759776536313E-3</v>
      </c>
      <c r="C76" s="11">
        <f>Prices!C76/Prices!C75-1</f>
        <v>-2.7897110764095734E-3</v>
      </c>
      <c r="D76" s="11">
        <f>Prices!D76/Prices!D75-1</f>
        <v>-1.2856652969177595E-2</v>
      </c>
      <c r="E76" s="11">
        <f>Prices!E76/Prices!E75-1</f>
        <v>-2.8968353111773482E-3</v>
      </c>
      <c r="F76" s="11">
        <f>Prices!F76/Prices!F75-1</f>
        <v>-5.5673787647214645E-3</v>
      </c>
      <c r="G76" s="11">
        <f>Prices!G76/Prices!G75-1</f>
        <v>-3.7527431256166865E-3</v>
      </c>
      <c r="H76" s="11">
        <f>Prices!H76/Prices!H75-1</f>
        <v>-5.7824865051356866E-3</v>
      </c>
    </row>
    <row r="77" spans="1:8" x14ac:dyDescent="0.25">
      <c r="A77" s="10">
        <f>Prices!A77</f>
        <v>46059</v>
      </c>
      <c r="B77" s="11">
        <f>Prices!B77/Prices!B76-1</f>
        <v>1.9849626405852305E-3</v>
      </c>
      <c r="C77" s="11">
        <f>Prices!C77/Prices!C76-1</f>
        <v>-2.4194727229653878E-4</v>
      </c>
      <c r="D77" s="11">
        <f>Prices!D77/Prices!D76-1</f>
        <v>-2.6642879432874356E-3</v>
      </c>
      <c r="E77" s="11">
        <f>Prices!E77/Prices!E76-1</f>
        <v>9.4732837581457119E-4</v>
      </c>
      <c r="F77" s="11">
        <f>Prices!F77/Prices!F76-1</f>
        <v>-1.4726104146549956E-2</v>
      </c>
      <c r="G77" s="11">
        <f>Prices!G77/Prices!G76-1</f>
        <v>2.2689977558387975E-2</v>
      </c>
      <c r="H77" s="11">
        <f>Prices!H77/Prices!H76-1</f>
        <v>-5.2395669540385992E-3</v>
      </c>
    </row>
    <row r="78" spans="1:8" x14ac:dyDescent="0.25">
      <c r="A78" s="10">
        <f>Prices!A78</f>
        <v>46062</v>
      </c>
      <c r="B78" s="11">
        <f>Prices!B78/Prices!B77-1</f>
        <v>6.7565200807979675E-3</v>
      </c>
      <c r="C78" s="11">
        <f>Prices!C78/Prices!C77-1</f>
        <v>1.5771553223635326E-2</v>
      </c>
      <c r="D78" s="11">
        <f>Prices!D78/Prices!D77-1</f>
        <v>2.6404111307571698E-2</v>
      </c>
      <c r="E78" s="11">
        <f>Prices!E78/Prices!E77-1</f>
        <v>9.1283263376664703E-3</v>
      </c>
      <c r="F78" s="11">
        <f>Prices!F78/Prices!F77-1</f>
        <v>1.5725456003123917E-4</v>
      </c>
      <c r="G78" s="11">
        <f>Prices!G78/Prices!G77-1</f>
        <v>3.1715743672029451E-3</v>
      </c>
      <c r="H78" s="11">
        <f>Prices!H78/Prices!H77-1</f>
        <v>9.8802487686027174E-3</v>
      </c>
    </row>
    <row r="79" spans="1:8" x14ac:dyDescent="0.25">
      <c r="A79" s="10">
        <f>Prices!A79</f>
        <v>46063</v>
      </c>
      <c r="B79" s="11">
        <f>Prices!B79/Prices!B78-1</f>
        <v>2.6230027873028749E-3</v>
      </c>
      <c r="C79" s="11">
        <f>Prices!C79/Prices!C78-1</f>
        <v>4.8766444715231394E-3</v>
      </c>
      <c r="D79" s="11">
        <f>Prices!D79/Prices!D78-1</f>
        <v>3.755917151254673E-3</v>
      </c>
      <c r="E79" s="11">
        <f>Prices!E79/Prices!E78-1</f>
        <v>-7.0793572042548991E-4</v>
      </c>
      <c r="F79" s="11">
        <f>Prices!F79/Prices!F78-1</f>
        <v>2.9635016207305576E-3</v>
      </c>
      <c r="G79" s="11">
        <f>Prices!G79/Prices!G78-1</f>
        <v>1.5975852733953744E-3</v>
      </c>
      <c r="H79" s="11">
        <f>Prices!H79/Prices!H78-1</f>
        <v>1.3736239023152796E-2</v>
      </c>
    </row>
    <row r="80" spans="1:8" x14ac:dyDescent="0.25">
      <c r="A80" s="10">
        <f>Prices!A80</f>
        <v>46064</v>
      </c>
      <c r="B80" s="11">
        <f>Prices!B80/Prices!B79-1</f>
        <v>7.2102918240291025E-4</v>
      </c>
      <c r="C80" s="11">
        <f>Prices!C80/Prices!C79-1</f>
        <v>3.0706715468120649E-4</v>
      </c>
      <c r="D80" s="11">
        <f>Prices!D80/Prices!D79-1</f>
        <v>2.1775006876323388E-4</v>
      </c>
      <c r="E80" s="11">
        <f>Prices!E80/Prices!E79-1</f>
        <v>1.9620165472467033E-3</v>
      </c>
      <c r="F80" s="11">
        <f>Prices!F80/Prices!F79-1</f>
        <v>-1.755351014215234E-2</v>
      </c>
      <c r="G80" s="11">
        <f>Prices!G80/Prices!G79-1</f>
        <v>4.1530429911884603E-4</v>
      </c>
      <c r="H80" s="11">
        <f>Prices!H80/Prices!H79-1</f>
        <v>1.2973322164326451E-2</v>
      </c>
    </row>
    <row r="81" spans="1:8" x14ac:dyDescent="0.25">
      <c r="A81" s="10">
        <f>Prices!A81</f>
        <v>46065</v>
      </c>
      <c r="B81" s="11">
        <f>Prices!B81/Prices!B80-1</f>
        <v>-5.6504141004127817E-3</v>
      </c>
      <c r="C81" s="11">
        <f>Prices!C81/Prices!C80-1</f>
        <v>-4.6696091074660551E-3</v>
      </c>
      <c r="D81" s="11">
        <f>Prices!D81/Prices!D80-1</f>
        <v>-6.3534803781152283E-3</v>
      </c>
      <c r="E81" s="11">
        <f>Prices!E81/Prices!E80-1</f>
        <v>-9.218812633393636E-5</v>
      </c>
      <c r="F81" s="11">
        <f>Prices!F81/Prices!F80-1</f>
        <v>-5.5134398912670357E-2</v>
      </c>
      <c r="G81" s="11">
        <f>Prices!G81/Prices!G80-1</f>
        <v>-5.1071768922056338E-3</v>
      </c>
      <c r="H81" s="11">
        <f>Prices!H81/Prices!H80-1</f>
        <v>-1.2141407982845243E-3</v>
      </c>
    </row>
    <row r="82" spans="1:8" x14ac:dyDescent="0.25">
      <c r="A82" s="10">
        <f>Prices!A82</f>
        <v>46066</v>
      </c>
      <c r="B82" s="11">
        <f>Prices!B82/Prices!B81-1</f>
        <v>-1.3023497318577881E-2</v>
      </c>
      <c r="C82" s="11">
        <f>Prices!C82/Prices!C81-1</f>
        <v>-1.7080130343793742E-2</v>
      </c>
      <c r="D82" s="11">
        <f>Prices!D82/Prices!D81-1</f>
        <v>-1.7942700976124271E-2</v>
      </c>
      <c r="E82" s="11">
        <f>Prices!E82/Prices!E81-1</f>
        <v>-9.106063162920508E-3</v>
      </c>
      <c r="F82" s="11">
        <f>Prices!F82/Prices!F81-1</f>
        <v>-1.4435980482626731E-2</v>
      </c>
      <c r="G82" s="11">
        <f>Prices!G82/Prices!G81-1</f>
        <v>-1.8957035409529532E-2</v>
      </c>
      <c r="H82" s="11">
        <f>Prices!H82/Prices!H81-1</f>
        <v>-9.4635674579577334E-3</v>
      </c>
    </row>
    <row r="83" spans="1:8" x14ac:dyDescent="0.25">
      <c r="A83" s="10">
        <f>Prices!A83</f>
        <v>46069</v>
      </c>
      <c r="B83" s="11">
        <f>Prices!B83/Prices!B82-1</f>
        <v>8.3094173396516258E-3</v>
      </c>
      <c r="C83" s="11">
        <f>Prices!C83/Prices!C82-1</f>
        <v>4.7949123456374476E-3</v>
      </c>
      <c r="D83" s="11">
        <f>Prices!D83/Prices!D82-1</f>
        <v>1.0567783524826346E-3</v>
      </c>
      <c r="E83" s="11">
        <f>Prices!E83/Prices!E82-1</f>
        <v>1.2668091678137872E-2</v>
      </c>
      <c r="F83" s="11">
        <f>Prices!F83/Prices!F82-1</f>
        <v>1.7303367348500132E-3</v>
      </c>
      <c r="G83" s="11">
        <f>Prices!G83/Prices!G82-1</f>
        <v>8.1862946849984297E-3</v>
      </c>
      <c r="H83" s="11">
        <f>Prices!H83/Prices!H82-1</f>
        <v>-7.2996320078768662E-3</v>
      </c>
    </row>
    <row r="84" spans="1:8" x14ac:dyDescent="0.25">
      <c r="A84" s="10">
        <f>Prices!A84</f>
        <v>46070</v>
      </c>
      <c r="B84" s="11">
        <f>Prices!B84/Prices!B83-1</f>
        <v>1.6606477110123752E-3</v>
      </c>
      <c r="C84" s="11">
        <f>Prices!C84/Prices!C83-1</f>
        <v>2.6572677193039684E-3</v>
      </c>
      <c r="D84" s="11">
        <f>Prices!D84/Prices!D83-1</f>
        <v>5.6184717522240746E-3</v>
      </c>
      <c r="E84" s="11">
        <f>Prices!E84/Prices!E83-1</f>
        <v>3.6899642488568141E-3</v>
      </c>
      <c r="F84" s="11">
        <f>Prices!F84/Prices!F83-1</f>
        <v>1.0293832406023107E-2</v>
      </c>
      <c r="G84" s="11">
        <f>Prices!G84/Prices!G83-1</f>
        <v>8.952850658189071E-3</v>
      </c>
      <c r="H84" s="11">
        <f>Prices!H84/Prices!H83-1</f>
        <v>5.221526890774264E-3</v>
      </c>
    </row>
    <row r="85" spans="1:8" x14ac:dyDescent="0.25">
      <c r="A85" s="10">
        <f>Prices!A85</f>
        <v>46071</v>
      </c>
      <c r="B85" s="11">
        <f>Prices!B85/Prices!B84-1</f>
        <v>3.6520326214557475E-3</v>
      </c>
      <c r="C85" s="11">
        <f>Prices!C85/Prices!C84-1</f>
        <v>5.0349271981255939E-3</v>
      </c>
      <c r="D85" s="11">
        <f>Prices!D85/Prices!D84-1</f>
        <v>5.397540051438332E-3</v>
      </c>
      <c r="E85" s="11">
        <f>Prices!E85/Prices!E84-1</f>
        <v>6.1594795174420014E-3</v>
      </c>
      <c r="F85" s="11">
        <f>Prices!F85/Prices!F84-1</f>
        <v>-1.2297789421331307E-2</v>
      </c>
      <c r="G85" s="11">
        <f>Prices!G85/Prices!G84-1</f>
        <v>1.2132495659378462E-2</v>
      </c>
      <c r="H85" s="11">
        <f>Prices!H85/Prices!H84-1</f>
        <v>5.4322074354338223E-3</v>
      </c>
    </row>
    <row r="86" spans="1:8" x14ac:dyDescent="0.25">
      <c r="A86" s="10">
        <f>Prices!A86</f>
        <v>46072</v>
      </c>
      <c r="B86" s="11">
        <f>Prices!B86/Prices!B85-1</f>
        <v>-1.4136684308474035E-2</v>
      </c>
      <c r="C86" s="11">
        <f>Prices!C86/Prices!C85-1</f>
        <v>-1.5877354477661476E-2</v>
      </c>
      <c r="D86" s="11">
        <f>Prices!D86/Prices!D85-1</f>
        <v>-1.2697768174369628E-2</v>
      </c>
      <c r="E86" s="11">
        <f>Prices!E86/Prices!E85-1</f>
        <v>-1.318016987593984E-2</v>
      </c>
      <c r="F86" s="11">
        <f>Prices!F86/Prices!F85-1</f>
        <v>-1.0680078240985824E-2</v>
      </c>
      <c r="G86" s="11">
        <f>Prices!G86/Prices!G85-1</f>
        <v>-1.7610410922309305E-2</v>
      </c>
      <c r="H86" s="11">
        <f>Prices!H86/Prices!H85-1</f>
        <v>-2.0954828506474232E-2</v>
      </c>
    </row>
    <row r="87" spans="1:8" x14ac:dyDescent="0.25">
      <c r="A87" s="10">
        <f>Prices!A87</f>
        <v>46073</v>
      </c>
      <c r="B87" s="11">
        <f>Prices!B87/Prices!B86-1</f>
        <v>4.5925352641100758E-3</v>
      </c>
      <c r="C87" s="11">
        <f>Prices!C87/Prices!C86-1</f>
        <v>4.8338909276326447E-3</v>
      </c>
      <c r="D87" s="11">
        <f>Prices!D87/Prices!D86-1</f>
        <v>-1.0693082104655804E-3</v>
      </c>
      <c r="E87" s="11">
        <f>Prices!E87/Prices!E86-1</f>
        <v>7.1197432315517339E-3</v>
      </c>
      <c r="F87" s="11">
        <f>Prices!F87/Prices!F86-1</f>
        <v>-9.7572974745818719E-3</v>
      </c>
      <c r="G87" s="11">
        <f>Prices!G87/Prices!G86-1</f>
        <v>5.6153804318268552E-3</v>
      </c>
      <c r="H87" s="11">
        <f>Prices!H87/Prices!H86-1</f>
        <v>4.0672099228382663E-3</v>
      </c>
    </row>
    <row r="88" spans="1:8" x14ac:dyDescent="0.25">
      <c r="A88" s="10">
        <f>Prices!A88</f>
        <v>46076</v>
      </c>
      <c r="B88" s="11">
        <f>Prices!B88/Prices!B87-1</f>
        <v>5.5433347998239402E-3</v>
      </c>
      <c r="C88" s="11">
        <f>Prices!C88/Prices!C87-1</f>
        <v>-4.3401589039208099E-3</v>
      </c>
      <c r="D88" s="11">
        <f>Prices!D88/Prices!D87-1</f>
        <v>2.9290413271261251E-3</v>
      </c>
      <c r="E88" s="11">
        <f>Prices!E88/Prices!E87-1</f>
        <v>1.5080428954423741E-3</v>
      </c>
      <c r="F88" s="11">
        <f>Prices!F88/Prices!F87-1</f>
        <v>-1.4171643901318753E-2</v>
      </c>
      <c r="G88" s="11">
        <f>Prices!G88/Prices!G87-1</f>
        <v>7.0239720934006655E-3</v>
      </c>
      <c r="H88" s="11">
        <f>Prices!H88/Prices!H87-1</f>
        <v>8.2666590057025591E-3</v>
      </c>
    </row>
    <row r="89" spans="1:8" x14ac:dyDescent="0.25">
      <c r="A89" s="10">
        <f>Prices!A89</f>
        <v>46077</v>
      </c>
      <c r="B89" s="11">
        <f>Prices!B89/Prices!B88-1</f>
        <v>-1.1214171819702079E-2</v>
      </c>
      <c r="C89" s="11">
        <f>Prices!C89/Prices!C88-1</f>
        <v>-3.1946320730597E-3</v>
      </c>
      <c r="D89" s="11">
        <f>Prices!D89/Prices!D88-1</f>
        <v>-5.4715149880218972E-3</v>
      </c>
      <c r="E89" s="11">
        <f>Prices!E89/Prices!E88-1</f>
        <v>-3.5412169413646666E-3</v>
      </c>
      <c r="F89" s="11">
        <f>Prices!F89/Prices!F88-1</f>
        <v>-4.7447742508042623E-2</v>
      </c>
      <c r="G89" s="11">
        <f>Prices!G89/Prices!G88-1</f>
        <v>1.8969490576152825E-3</v>
      </c>
      <c r="H89" s="11">
        <f>Prices!H89/Prices!H88-1</f>
        <v>-4.5232752786978914E-3</v>
      </c>
    </row>
    <row r="90" spans="1:8" x14ac:dyDescent="0.25">
      <c r="A90" s="10">
        <f>Prices!A90</f>
        <v>46078</v>
      </c>
      <c r="B90" s="11">
        <f>Prices!B90/Prices!B89-1</f>
        <v>2.275350889786143E-3</v>
      </c>
      <c r="C90" s="11">
        <f>Prices!C90/Prices!C89-1</f>
        <v>5.7520060068041445E-3</v>
      </c>
      <c r="D90" s="11">
        <f>Prices!D90/Prices!D89-1</f>
        <v>9.4376616063187591E-3</v>
      </c>
      <c r="E90" s="11">
        <f>Prices!E90/Prices!E89-1</f>
        <v>-6.470392629986943E-5</v>
      </c>
      <c r="F90" s="11">
        <f>Prices!F90/Prices!F89-1</f>
        <v>1.5733608398356136E-2</v>
      </c>
      <c r="G90" s="11">
        <f>Prices!G90/Prices!G89-1</f>
        <v>-2.4877836327000802E-3</v>
      </c>
      <c r="H90" s="11">
        <f>Prices!H90/Prices!H89-1</f>
        <v>1.8479427549195071E-2</v>
      </c>
    </row>
    <row r="91" spans="1:8" x14ac:dyDescent="0.25">
      <c r="A91" s="10">
        <f>Prices!A91</f>
        <v>46079</v>
      </c>
      <c r="B91" s="11">
        <f>Prices!B91/Prices!B90-1</f>
        <v>5.5135877563028401E-4</v>
      </c>
      <c r="C91" s="11">
        <f>Prices!C91/Prices!C90-1</f>
        <v>6.5994906247002216E-3</v>
      </c>
      <c r="D91" s="11">
        <f>Prices!D91/Prices!D90-1</f>
        <v>-6.1336433257119793E-5</v>
      </c>
      <c r="E91" s="11">
        <f>Prices!E91/Prices!E90-1</f>
        <v>2.3647129457999849E-3</v>
      </c>
      <c r="F91" s="11">
        <f>Prices!F91/Prices!F90-1</f>
        <v>9.123265637720479E-4</v>
      </c>
      <c r="G91" s="11">
        <f>Prices!G91/Prices!G90-1</f>
        <v>-1.5794938326811891E-3</v>
      </c>
      <c r="H91" s="11">
        <f>Prices!H91/Prices!H90-1</f>
        <v>7.9707726626034869E-3</v>
      </c>
    </row>
    <row r="92" spans="1:8" x14ac:dyDescent="0.25">
      <c r="A92" s="10">
        <f>Prices!A92</f>
        <v>46080</v>
      </c>
      <c r="B92" s="11">
        <f>Prices!B92/Prices!B91-1</f>
        <v>-1.2468353561560175E-2</v>
      </c>
      <c r="C92" s="11">
        <f>Prices!C92/Prices!C91-1</f>
        <v>-1.1414232714557326E-2</v>
      </c>
      <c r="D92" s="11">
        <f>Prices!D92/Prices!D91-1</f>
        <v>-1.1026630407795501E-2</v>
      </c>
      <c r="E92" s="11">
        <f>Prices!E92/Prices!E91-1</f>
        <v>-1.0765235496676517E-2</v>
      </c>
      <c r="F92" s="11">
        <f>Prices!F92/Prices!F91-1</f>
        <v>1.6249811809831982E-3</v>
      </c>
      <c r="G92" s="11">
        <f>Prices!G92/Prices!G91-1</f>
        <v>-1.6930972838936631E-2</v>
      </c>
      <c r="H92" s="11">
        <f>Prices!H92/Prices!H91-1</f>
        <v>-1.8629719726487748E-2</v>
      </c>
    </row>
    <row r="93" spans="1:8" x14ac:dyDescent="0.25">
      <c r="A93" s="10">
        <f>Prices!A93</f>
        <v>46083</v>
      </c>
      <c r="B93" s="11">
        <f>Prices!B93/Prices!B92-1</f>
        <v>-1.2429181072059148E-2</v>
      </c>
      <c r="C93" s="11">
        <f>Prices!C93/Prices!C92-1</f>
        <v>-1.5818159673588683E-2</v>
      </c>
      <c r="D93" s="11">
        <f>Prices!D93/Prices!D92-1</f>
        <v>-1.7514427990005244E-2</v>
      </c>
      <c r="E93" s="11">
        <f>Prices!E93/Prices!E92-1</f>
        <v>-1.138875580300347E-2</v>
      </c>
      <c r="F93" s="11">
        <f>Prices!F93/Prices!F92-1</f>
        <v>-1.0812365110925537E-2</v>
      </c>
      <c r="G93" s="11">
        <f>Prices!G93/Prices!G92-1</f>
        <v>-7.6365506372427783E-3</v>
      </c>
      <c r="H93" s="11">
        <f>Prices!H93/Prices!H92-1</f>
        <v>-2.1973553607480434E-2</v>
      </c>
    </row>
    <row r="94" spans="1:8" x14ac:dyDescent="0.25">
      <c r="A94" s="10">
        <f>Prices!A94</f>
        <v>46085</v>
      </c>
      <c r="B94" s="11">
        <f>Prices!B94/Prices!B93-1</f>
        <v>-1.5491218827541564E-2</v>
      </c>
      <c r="C94" s="11">
        <f>Prices!C94/Prices!C93-1</f>
        <v>-2.157681697475955E-2</v>
      </c>
      <c r="D94" s="11">
        <f>Prices!D94/Prices!D93-1</f>
        <v>-2.109737620547858E-2</v>
      </c>
      <c r="E94" s="11">
        <f>Prices!E94/Prices!E93-1</f>
        <v>-1.8121763746947073E-2</v>
      </c>
      <c r="F94" s="11">
        <f>Prices!F94/Prices!F93-1</f>
        <v>1.0669591169674142E-3</v>
      </c>
      <c r="G94" s="11">
        <f>Prices!G94/Prices!G93-1</f>
        <v>-1.8800373977988949E-2</v>
      </c>
      <c r="H94" s="11">
        <f>Prices!H94/Prices!H93-1</f>
        <v>-2.4435278012788553E-2</v>
      </c>
    </row>
    <row r="95" spans="1:8" x14ac:dyDescent="0.25">
      <c r="A95" s="10">
        <f>Prices!A95</f>
        <v>46086</v>
      </c>
      <c r="B95" s="11">
        <f>Prices!B95/Prices!B94-1</f>
        <v>1.1658258613999051E-2</v>
      </c>
      <c r="C95" s="11">
        <f>Prices!C95/Prices!C94-1</f>
        <v>1.5237553172894547E-2</v>
      </c>
      <c r="D95" s="11">
        <f>Prices!D95/Prices!D94-1</f>
        <v>1.5803212234744901E-2</v>
      </c>
      <c r="E95" s="11">
        <f>Prices!E95/Prices!E94-1</f>
        <v>5.1161385578308849E-3</v>
      </c>
      <c r="F95" s="11">
        <f>Prices!F95/Prices!F94-1</f>
        <v>-5.8884186733322297E-3</v>
      </c>
      <c r="G95" s="11">
        <f>Prices!G95/Prices!G94-1</f>
        <v>4.082534263768256E-3</v>
      </c>
      <c r="H95" s="11">
        <f>Prices!H95/Prices!H94-1</f>
        <v>1.8597059978449515E-2</v>
      </c>
    </row>
    <row r="96" spans="1:8" x14ac:dyDescent="0.25">
      <c r="A96" s="10">
        <f>Prices!A96</f>
        <v>46087</v>
      </c>
      <c r="B96" s="11">
        <f>Prices!B96/Prices!B95-1</f>
        <v>-1.2737271813259343E-2</v>
      </c>
      <c r="C96" s="11">
        <f>Prices!C96/Prices!C95-1</f>
        <v>-6.9074647164730774E-3</v>
      </c>
      <c r="D96" s="11">
        <f>Prices!D96/Prices!D95-1</f>
        <v>-2.4125087672622891E-3</v>
      </c>
      <c r="E96" s="11">
        <f>Prices!E96/Prices!E95-1</f>
        <v>-2.1549092934908254E-2</v>
      </c>
      <c r="F96" s="11">
        <f>Prices!F96/Prices!F95-1</f>
        <v>3.8503923417021468E-4</v>
      </c>
      <c r="G96" s="11">
        <f>Prices!G96/Prices!G95-1</f>
        <v>-6.0399033615465836E-4</v>
      </c>
      <c r="H96" s="11">
        <f>Prices!H96/Prices!H95-1</f>
        <v>-1.0611397752020579E-2</v>
      </c>
    </row>
    <row r="97" spans="1:8" x14ac:dyDescent="0.25">
      <c r="A97" s="10">
        <f>Prices!A97</f>
        <v>46090</v>
      </c>
      <c r="B97" s="11">
        <f>Prices!B97/Prices!B96-1</f>
        <v>-1.7275755660938863E-2</v>
      </c>
      <c r="C97" s="11">
        <f>Prices!C97/Prices!C96-1</f>
        <v>-1.9651231370881761E-2</v>
      </c>
      <c r="D97" s="11">
        <f>Prices!D97/Prices!D96-1</f>
        <v>-2.222572413918511E-2</v>
      </c>
      <c r="E97" s="11">
        <f>Prices!E97/Prices!E96-1</f>
        <v>-3.051835955921478E-2</v>
      </c>
      <c r="F97" s="11">
        <f>Prices!F97/Prices!F96-1</f>
        <v>7.8471318981754301E-4</v>
      </c>
      <c r="G97" s="11">
        <f>Prices!G97/Prices!G96-1</f>
        <v>-1.5573157016325556E-2</v>
      </c>
      <c r="H97" s="11">
        <f>Prices!H97/Prices!H96-1</f>
        <v>-4.1011729772052474E-2</v>
      </c>
    </row>
    <row r="98" spans="1:8" x14ac:dyDescent="0.25">
      <c r="A98" s="10">
        <f>Prices!A98</f>
        <v>46091</v>
      </c>
      <c r="B98" s="11">
        <f>Prices!B98/Prices!B97-1</f>
        <v>9.7198898787043131E-3</v>
      </c>
      <c r="C98" s="11">
        <f>Prices!C98/Prices!C97-1</f>
        <v>1.6211532822066888E-2</v>
      </c>
      <c r="D98" s="11">
        <f>Prices!D98/Prices!D97-1</f>
        <v>2.1175041221903834E-2</v>
      </c>
      <c r="E98" s="11">
        <f>Prices!E98/Prices!E97-1</f>
        <v>1.6619123952602566E-2</v>
      </c>
      <c r="F98" s="11">
        <f>Prices!F98/Prices!F97-1</f>
        <v>-4.5769435432936323E-3</v>
      </c>
      <c r="G98" s="11">
        <f>Prices!G98/Prices!G97-1</f>
        <v>8.3579983899952914E-3</v>
      </c>
      <c r="H98" s="11">
        <f>Prices!H98/Prices!H97-1</f>
        <v>3.0986734550439987E-2</v>
      </c>
    </row>
    <row r="99" spans="1:8" x14ac:dyDescent="0.25">
      <c r="A99" s="10">
        <f>Prices!A99</f>
        <v>46092</v>
      </c>
      <c r="B99" s="11">
        <f>Prices!B99/Prices!B98-1</f>
        <v>-1.6270567481122433E-2</v>
      </c>
      <c r="C99" s="11">
        <f>Prices!C99/Prices!C98-1</f>
        <v>-1.25319945817991E-2</v>
      </c>
      <c r="D99" s="11">
        <f>Prices!D99/Prices!D98-1</f>
        <v>-3.5784093530333294E-3</v>
      </c>
      <c r="E99" s="11">
        <f>Prices!E99/Prices!E98-1</f>
        <v>-2.1335082211312306E-2</v>
      </c>
      <c r="F99" s="11">
        <f>Prices!F99/Prices!F98-1</f>
        <v>-1.2400079936051189E-2</v>
      </c>
      <c r="G99" s="11">
        <f>Prices!G99/Prices!G98-1</f>
        <v>-1.0963933024955019E-2</v>
      </c>
      <c r="H99" s="11">
        <f>Prices!H99/Prices!H98-1</f>
        <v>-3.1547726886447913E-2</v>
      </c>
    </row>
    <row r="100" spans="1:8" x14ac:dyDescent="0.25">
      <c r="A100" s="10">
        <f>Prices!A100</f>
        <v>46093</v>
      </c>
      <c r="B100" s="11">
        <f>Prices!B100/Prices!B99-1</f>
        <v>-9.5404295078738155E-3</v>
      </c>
      <c r="C100" s="11">
        <f>Prices!C100/Prices!C99-1</f>
        <v>-3.6724399630896354E-3</v>
      </c>
      <c r="D100" s="11">
        <f>Prices!D100/Prices!D99-1</f>
        <v>-6.676880994952672E-3</v>
      </c>
      <c r="E100" s="11">
        <f>Prices!E100/Prices!E99-1</f>
        <v>-1.1389458292029864E-2</v>
      </c>
      <c r="F100" s="11">
        <f>Prices!F100/Prices!F99-1</f>
        <v>-2.4366225207997916E-3</v>
      </c>
      <c r="G100" s="11">
        <f>Prices!G100/Prices!G99-1</f>
        <v>-1.7744706959072265E-2</v>
      </c>
      <c r="H100" s="11">
        <f>Prices!H100/Prices!H99-1</f>
        <v>-3.1937051608423972E-2</v>
      </c>
    </row>
    <row r="101" spans="1:8" x14ac:dyDescent="0.25">
      <c r="A101" s="10">
        <f>Prices!A101</f>
        <v>46094</v>
      </c>
      <c r="B101" s="11">
        <f>Prices!B101/Prices!B100-1</f>
        <v>-2.0645835404403456E-2</v>
      </c>
      <c r="C101" s="11">
        <f>Prices!C101/Prices!C100-1</f>
        <v>-2.6534231051263291E-2</v>
      </c>
      <c r="D101" s="11">
        <f>Prices!D101/Prices!D100-1</f>
        <v>-2.5145275294767067E-2</v>
      </c>
      <c r="E101" s="11">
        <f>Prices!E101/Prices!E100-1</f>
        <v>-2.4375260317653247E-2</v>
      </c>
      <c r="F101" s="11">
        <f>Prices!F101/Prices!F100-1</f>
        <v>-1.7180846837922981E-2</v>
      </c>
      <c r="G101" s="11">
        <f>Prices!G101/Prices!G100-1</f>
        <v>-5.4991631933744012E-3</v>
      </c>
      <c r="H101" s="11">
        <f>Prices!H101/Prices!H100-1</f>
        <v>-3.5974978085903331E-2</v>
      </c>
    </row>
    <row r="102" spans="1:8" x14ac:dyDescent="0.25">
      <c r="A102" s="10">
        <f>Prices!A102</f>
        <v>46097</v>
      </c>
      <c r="B102" s="11">
        <f>Prices!B102/Prices!B101-1</f>
        <v>1.1131220546755971E-2</v>
      </c>
      <c r="C102" s="11">
        <f>Prices!C102/Prices!C101-1</f>
        <v>-2.6688653076728519E-3</v>
      </c>
      <c r="D102" s="11">
        <f>Prices!D102/Prices!D101-1</f>
        <v>-5.34121828848233E-3</v>
      </c>
      <c r="E102" s="11">
        <f>Prices!E102/Prices!E101-1</f>
        <v>1.2194498105858154E-2</v>
      </c>
      <c r="F102" s="11">
        <f>Prices!F102/Prices!F101-1</f>
        <v>-9.8722965128783535E-4</v>
      </c>
      <c r="G102" s="11">
        <f>Prices!G102/Prices!G101-1</f>
        <v>1.136587712040793E-2</v>
      </c>
      <c r="H102" s="11">
        <f>Prices!H102/Prices!H101-1</f>
        <v>1.6697595794189724E-2</v>
      </c>
    </row>
    <row r="103" spans="1:8" x14ac:dyDescent="0.25">
      <c r="A103" s="10">
        <f>Prices!A103</f>
        <v>46098</v>
      </c>
      <c r="B103" s="11">
        <f>Prices!B103/Prices!B102-1</f>
        <v>7.3626157684290039E-3</v>
      </c>
      <c r="C103" s="11">
        <f>Prices!C103/Prices!C102-1</f>
        <v>1.0243532219657903E-2</v>
      </c>
      <c r="D103" s="11">
        <f>Prices!D103/Prices!D102-1</f>
        <v>6.4862574199811007E-3</v>
      </c>
      <c r="E103" s="11">
        <f>Prices!E103/Prices!E102-1</f>
        <v>8.5015823308229876E-3</v>
      </c>
      <c r="F103" s="11">
        <f>Prices!F103/Prices!F102-1</f>
        <v>-9.6978398935354537E-3</v>
      </c>
      <c r="G103" s="11">
        <f>Prices!G103/Prices!G102-1</f>
        <v>-7.5182307812131643E-3</v>
      </c>
      <c r="H103" s="11">
        <f>Prices!H103/Prices!H102-1</f>
        <v>2.1057680972068171E-2</v>
      </c>
    </row>
    <row r="104" spans="1:8" x14ac:dyDescent="0.25">
      <c r="A104" s="10">
        <f>Prices!A104</f>
        <v>46099</v>
      </c>
      <c r="B104" s="11">
        <f>Prices!B104/Prices!B103-1</f>
        <v>8.3392879482127036E-3</v>
      </c>
      <c r="C104" s="11">
        <f>Prices!C104/Prices!C103-1</f>
        <v>2.0216803445075815E-2</v>
      </c>
      <c r="D104" s="11">
        <f>Prices!D104/Prices!D103-1</f>
        <v>1.6731708236713549E-2</v>
      </c>
      <c r="E104" s="11">
        <f>Prices!E104/Prices!E103-1</f>
        <v>8.2012172898899838E-3</v>
      </c>
      <c r="F104" s="11">
        <f>Prices!F104/Prices!F103-1</f>
        <v>2.7759910155801704E-2</v>
      </c>
      <c r="G104" s="11">
        <f>Prices!G104/Prices!G103-1</f>
        <v>-5.2905708307648958E-4</v>
      </c>
      <c r="H104" s="11">
        <f>Prices!H104/Prices!H103-1</f>
        <v>1.9180160129951274E-2</v>
      </c>
    </row>
    <row r="105" spans="1:8" x14ac:dyDescent="0.25">
      <c r="A105" s="10">
        <f>Prices!A105</f>
        <v>46100</v>
      </c>
      <c r="B105" s="11">
        <f>Prices!B105/Prices!B104-1</f>
        <v>-3.2620763905828021E-2</v>
      </c>
      <c r="C105" s="11">
        <f>Prices!C105/Prices!C104-1</f>
        <v>-3.1933821106291727E-2</v>
      </c>
      <c r="D105" s="11">
        <f>Prices!D105/Prices!D104-1</f>
        <v>-2.9352592688738244E-2</v>
      </c>
      <c r="E105" s="11">
        <f>Prices!E105/Prices!E104-1</f>
        <v>-3.3890906724770797E-2</v>
      </c>
      <c r="F105" s="11">
        <f>Prices!F105/Prices!F104-1</f>
        <v>-3.3143545347826264E-2</v>
      </c>
      <c r="G105" s="11">
        <f>Prices!G105/Prices!G104-1</f>
        <v>-2.5313546454793223E-2</v>
      </c>
      <c r="H105" s="11">
        <f>Prices!H105/Prices!H104-1</f>
        <v>-4.2539020307552744E-2</v>
      </c>
    </row>
    <row r="106" spans="1:8" x14ac:dyDescent="0.25">
      <c r="A106" s="10">
        <f>Prices!A106</f>
        <v>46101</v>
      </c>
      <c r="B106" s="11">
        <f>Prices!B106/Prices!B105-1</f>
        <v>4.8843260303927938E-3</v>
      </c>
      <c r="C106" s="11">
        <f>Prices!C106/Prices!C105-1</f>
        <v>6.665161866906022E-3</v>
      </c>
      <c r="D106" s="11">
        <f>Prices!D106/Prices!D105-1</f>
        <v>9.1376538198262303E-4</v>
      </c>
      <c r="E106" s="11">
        <f>Prices!E106/Prices!E105-1</f>
        <v>-4.4807393687673613E-4</v>
      </c>
      <c r="F106" s="11">
        <f>Prices!F106/Prices!F105-1</f>
        <v>2.1693795574465602E-2</v>
      </c>
      <c r="G106" s="11">
        <f>Prices!G106/Prices!G105-1</f>
        <v>3.1069983216662767E-3</v>
      </c>
      <c r="H106" s="11">
        <f>Prices!H106/Prices!H105-1</f>
        <v>8.4047670533131669E-3</v>
      </c>
    </row>
    <row r="107" spans="1:8" x14ac:dyDescent="0.25">
      <c r="A107" s="10">
        <f>Prices!A107</f>
        <v>46104</v>
      </c>
      <c r="B107" s="11">
        <f>Prices!B107/Prices!B106-1</f>
        <v>-2.6037768500291936E-2</v>
      </c>
      <c r="C107" s="11">
        <f>Prices!C107/Prices!C106-1</f>
        <v>-3.8974214071515134E-2</v>
      </c>
      <c r="D107" s="11">
        <f>Prices!D107/Prices!D106-1</f>
        <v>-3.9437354471772323E-2</v>
      </c>
      <c r="E107" s="11">
        <f>Prices!E107/Prices!E106-1</f>
        <v>-3.7233947972047932E-2</v>
      </c>
      <c r="F107" s="11">
        <f>Prices!F107/Prices!F106-1</f>
        <v>-1.7996821874272095E-3</v>
      </c>
      <c r="G107" s="11">
        <f>Prices!G107/Prices!G106-1</f>
        <v>-2.4900255384507353E-2</v>
      </c>
      <c r="H107" s="11">
        <f>Prices!H107/Prices!H106-1</f>
        <v>-3.1605161050174191E-2</v>
      </c>
    </row>
    <row r="108" spans="1:8" x14ac:dyDescent="0.25">
      <c r="A108" s="10">
        <f>Prices!A108</f>
        <v>46105</v>
      </c>
      <c r="B108" s="11">
        <f>Prices!B108/Prices!B107-1</f>
        <v>1.7756683464629885E-2</v>
      </c>
      <c r="C108" s="11">
        <f>Prices!C108/Prices!C107-1</f>
        <v>2.5977117677130179E-2</v>
      </c>
      <c r="D108" s="11">
        <f>Prices!D108/Prices!D107-1</f>
        <v>2.6260538986800253E-2</v>
      </c>
      <c r="E108" s="11">
        <f>Prices!E108/Prices!E107-1</f>
        <v>2.2705114434437679E-2</v>
      </c>
      <c r="F108" s="11">
        <f>Prices!F108/Prices!F107-1</f>
        <v>1.7217865958990775E-2</v>
      </c>
      <c r="G108" s="11">
        <f>Prices!G108/Prices!G107-1</f>
        <v>1.2462625757984069E-2</v>
      </c>
      <c r="H108" s="11">
        <f>Prices!H108/Prices!H107-1</f>
        <v>2.4253439037382973E-2</v>
      </c>
    </row>
    <row r="109" spans="1:8" x14ac:dyDescent="0.25">
      <c r="A109" s="10">
        <f>Prices!A109</f>
        <v>46106</v>
      </c>
      <c r="B109" s="11">
        <f>Prices!B109/Prices!B108-1</f>
        <v>1.7198111066496713E-2</v>
      </c>
      <c r="C109" s="11">
        <f>Prices!C109/Prices!C108-1</f>
        <v>2.300090594782489E-2</v>
      </c>
      <c r="D109" s="11">
        <f>Prices!D109/Prices!D108-1</f>
        <v>2.5901569518302248E-2</v>
      </c>
      <c r="E109" s="11">
        <f>Prices!E109/Prices!E108-1</f>
        <v>2.0956874404175263E-2</v>
      </c>
      <c r="F109" s="11">
        <f>Prices!F109/Prices!F108-1</f>
        <v>7.5550863607065644E-4</v>
      </c>
      <c r="G109" s="11">
        <f>Prices!G109/Prices!G108-1</f>
        <v>1.8855463354615409E-2</v>
      </c>
      <c r="H109" s="11">
        <f>Prices!H109/Prices!H108-1</f>
        <v>2.2163755213591374E-2</v>
      </c>
    </row>
    <row r="110" spans="1:8" x14ac:dyDescent="0.25">
      <c r="A110" s="10">
        <f>Prices!A110</f>
        <v>46108</v>
      </c>
      <c r="B110" s="11">
        <f>Prices!B110/Prices!B109-1</f>
        <v>-2.0889067189554966E-2</v>
      </c>
      <c r="C110" s="11">
        <f>Prices!C110/Prices!C109-1</f>
        <v>-2.2288570341607472E-2</v>
      </c>
      <c r="D110" s="11">
        <f>Prices!D110/Prices!D109-1</f>
        <v>-1.7396856550635165E-2</v>
      </c>
      <c r="E110" s="11">
        <f>Prices!E110/Prices!E109-1</f>
        <v>-2.6690573675106744E-2</v>
      </c>
      <c r="F110" s="11">
        <f>Prices!F110/Prices!F109-1</f>
        <v>-4.3695422849688859E-3</v>
      </c>
      <c r="G110" s="11">
        <f>Prices!G110/Prices!G109-1</f>
        <v>-1.8106796578499673E-2</v>
      </c>
      <c r="H110" s="11">
        <f>Prices!H110/Prices!H109-1</f>
        <v>-2.8199899435722542E-2</v>
      </c>
    </row>
    <row r="111" spans="1:8" x14ac:dyDescent="0.25">
      <c r="A111" s="10">
        <f>Prices!A111</f>
        <v>46111</v>
      </c>
      <c r="B111" s="11">
        <f>Prices!B111/Prices!B110-1</f>
        <v>-2.1393889463443561E-2</v>
      </c>
      <c r="C111" s="11">
        <f>Prices!C111/Prices!C110-1</f>
        <v>-2.6762640994643094E-2</v>
      </c>
      <c r="D111" s="11">
        <f>Prices!D111/Prices!D110-1</f>
        <v>-2.6645326504481481E-2</v>
      </c>
      <c r="E111" s="11">
        <f>Prices!E111/Prices!E110-1</f>
        <v>-3.8245151565004853E-2</v>
      </c>
      <c r="F111" s="11">
        <f>Prices!F111/Prices!F110-1</f>
        <v>-1.6216088133195083E-2</v>
      </c>
      <c r="G111" s="11">
        <f>Prices!G111/Prices!G110-1</f>
        <v>-1.9138565323775669E-2</v>
      </c>
      <c r="H111" s="11">
        <f>Prices!H111/Prices!H110-1</f>
        <v>-2.3913896012434432E-2</v>
      </c>
    </row>
    <row r="112" spans="1:8" x14ac:dyDescent="0.25">
      <c r="A112" s="10">
        <f>Prices!A112</f>
        <v>46113</v>
      </c>
      <c r="B112" s="11">
        <f>Prices!B112/Prices!B111-1</f>
        <v>1.5583438566323604E-2</v>
      </c>
      <c r="C112" s="11">
        <f>Prices!C112/Prices!C111-1</f>
        <v>2.2206077872744645E-2</v>
      </c>
      <c r="D112" s="11">
        <f>Prices!D112/Prices!D111-1</f>
        <v>3.3281153395861462E-2</v>
      </c>
      <c r="E112" s="11">
        <f>Prices!E112/Prices!E111-1</f>
        <v>2.3337480494914464E-2</v>
      </c>
      <c r="F112" s="11">
        <f>Prices!F112/Prices!F111-1</f>
        <v>2.0867024973677539E-2</v>
      </c>
      <c r="G112" s="11">
        <f>Prices!G112/Prices!G111-1</f>
        <v>1.3116330853022662E-2</v>
      </c>
      <c r="H112" s="11">
        <f>Prices!H112/Prices!H111-1</f>
        <v>1.9741602719439921E-2</v>
      </c>
    </row>
    <row r="113" spans="1:8" x14ac:dyDescent="0.25">
      <c r="A113" s="10">
        <f>Prices!A113</f>
        <v>46114</v>
      </c>
      <c r="B113" s="11">
        <f>Prices!B113/Prices!B112-1</f>
        <v>1.4859299628737777E-3</v>
      </c>
      <c r="C113" s="11">
        <f>Prices!C113/Prices!C112-1</f>
        <v>-2.6403241225474439E-3</v>
      </c>
      <c r="D113" s="11">
        <f>Prices!D113/Prices!D112-1</f>
        <v>-3.7747138728690954E-3</v>
      </c>
      <c r="E113" s="11">
        <f>Prices!E113/Prices!E112-1</f>
        <v>1.9456292827897403E-3</v>
      </c>
      <c r="F113" s="11">
        <f>Prices!F113/Prices!F112-1</f>
        <v>2.6033863571634397E-2</v>
      </c>
      <c r="G113" s="11">
        <f>Prices!G113/Prices!G112-1</f>
        <v>2.0851418470846372E-3</v>
      </c>
      <c r="H113" s="11">
        <f>Prices!H113/Prices!H112-1</f>
        <v>-6.1554075378987827E-3</v>
      </c>
    </row>
    <row r="114" spans="1:8" x14ac:dyDescent="0.25">
      <c r="A114" s="10">
        <f>Prices!A114</f>
        <v>46118</v>
      </c>
      <c r="B114" s="11">
        <f>Prices!B114/Prices!B113-1</f>
        <v>1.123360527625028E-2</v>
      </c>
      <c r="C114" s="11">
        <f>Prices!C114/Prices!C113-1</f>
        <v>1.5194575707867752E-2</v>
      </c>
      <c r="D114" s="11">
        <f>Prices!D114/Prices!D113-1</f>
        <v>1.294207852784246E-2</v>
      </c>
      <c r="E114" s="11">
        <f>Prices!E114/Prices!E113-1</f>
        <v>2.0569848929411494E-2</v>
      </c>
      <c r="F114" s="11">
        <f>Prices!F114/Prices!F113-1</f>
        <v>6.4090245372674381E-3</v>
      </c>
      <c r="G114" s="11">
        <f>Prices!G114/Prices!G113-1</f>
        <v>7.9576658234583597E-3</v>
      </c>
      <c r="H114" s="11">
        <f>Prices!H114/Prices!H113-1</f>
        <v>1.08241506207023E-2</v>
      </c>
    </row>
    <row r="115" spans="1:8" x14ac:dyDescent="0.25">
      <c r="A115" s="10">
        <f>Prices!A115</f>
        <v>46119</v>
      </c>
      <c r="B115" s="11">
        <f>Prices!B115/Prices!B114-1</f>
        <v>6.7658615697756552E-3</v>
      </c>
      <c r="C115" s="11">
        <f>Prices!C115/Prices!C114-1</f>
        <v>1.9800835525525251E-3</v>
      </c>
      <c r="D115" s="11">
        <f>Prices!D115/Prices!D114-1</f>
        <v>-6.1502360744458695E-4</v>
      </c>
      <c r="E115" s="11">
        <f>Prices!E115/Prices!E114-1</f>
        <v>2.036719883061977E-3</v>
      </c>
      <c r="F115" s="11">
        <f>Prices!F115/Prices!F114-1</f>
        <v>2.5028927865572204E-2</v>
      </c>
      <c r="G115" s="11">
        <f>Prices!G115/Prices!G114-1</f>
        <v>8.1555706485292312E-3</v>
      </c>
      <c r="H115" s="11">
        <f>Prices!H115/Prices!H114-1</f>
        <v>9.4043629673423723E-4</v>
      </c>
    </row>
    <row r="116" spans="1:8" x14ac:dyDescent="0.25">
      <c r="A116" s="10">
        <f>Prices!A116</f>
        <v>46120</v>
      </c>
      <c r="B116" s="11">
        <f>Prices!B116/Prices!B115-1</f>
        <v>3.7783827380192925E-2</v>
      </c>
      <c r="C116" s="11">
        <f>Prices!C116/Prices!C115-1</f>
        <v>4.027340383933864E-2</v>
      </c>
      <c r="D116" s="11">
        <f>Prices!D116/Prices!D115-1</f>
        <v>4.3851344101291989E-2</v>
      </c>
      <c r="E116" s="11">
        <f>Prices!E116/Prices!E115-1</f>
        <v>5.6674175420292627E-2</v>
      </c>
      <c r="F116" s="11">
        <f>Prices!F116/Prices!F115-1</f>
        <v>5.1730149808857373E-3</v>
      </c>
      <c r="G116" s="11">
        <f>Prices!G116/Prices!G115-1</f>
        <v>1.5413973150333993E-2</v>
      </c>
      <c r="H116" s="11">
        <f>Prices!H116/Prices!H115-1</f>
        <v>6.6862099100245098E-2</v>
      </c>
    </row>
    <row r="117" spans="1:8" x14ac:dyDescent="0.25">
      <c r="A117" s="10">
        <f>Prices!A117</f>
        <v>46121</v>
      </c>
      <c r="B117" s="11">
        <f>Prices!B117/Prices!B116-1</f>
        <v>-9.2614392839209803E-3</v>
      </c>
      <c r="C117" s="11">
        <f>Prices!C117/Prices!C116-1</f>
        <v>3.1558376394158483E-3</v>
      </c>
      <c r="D117" s="11">
        <f>Prices!D117/Prices!D116-1</f>
        <v>1.6900420545349348E-3</v>
      </c>
      <c r="E117" s="11">
        <f>Prices!E117/Prices!E116-1</f>
        <v>-1.5837311211602811E-2</v>
      </c>
      <c r="F117" s="11">
        <f>Prices!F117/Prices!F116-1</f>
        <v>2.2302618656901974E-3</v>
      </c>
      <c r="G117" s="11">
        <f>Prices!G117/Prices!G116-1</f>
        <v>-1.332166421230907E-3</v>
      </c>
      <c r="H117" s="11">
        <f>Prices!H117/Prices!H116-1</f>
        <v>-3.8860975389330976E-3</v>
      </c>
    </row>
    <row r="118" spans="1:8" x14ac:dyDescent="0.25">
      <c r="A118" s="10">
        <f>Prices!A118</f>
        <v>46122</v>
      </c>
      <c r="B118" s="11">
        <f>Prices!B118/Prices!B117-1</f>
        <v>1.1587753574117565E-2</v>
      </c>
      <c r="C118" s="11">
        <f>Prices!C118/Prices!C117-1</f>
        <v>1.5184608296952673E-2</v>
      </c>
      <c r="D118" s="11">
        <f>Prices!D118/Prices!D117-1</f>
        <v>1.6545937462272065E-2</v>
      </c>
      <c r="E118" s="11">
        <f>Prices!E118/Prices!E117-1</f>
        <v>1.9901790714260903E-2</v>
      </c>
      <c r="F118" s="11">
        <f>Prices!F118/Prices!F117-1</f>
        <v>-1.9142627749224039E-2</v>
      </c>
      <c r="G118" s="11">
        <f>Prices!G118/Prices!G117-1</f>
        <v>1.1615068628294756E-2</v>
      </c>
      <c r="H118" s="11">
        <f>Prices!H118/Prices!H117-1</f>
        <v>2.8530725545230284E-2</v>
      </c>
    </row>
    <row r="119" spans="1:8" x14ac:dyDescent="0.25">
      <c r="A119" s="10">
        <f>Prices!A119</f>
        <v>46125</v>
      </c>
      <c r="B119" s="11">
        <f>Prices!B119/Prices!B118-1</f>
        <v>-8.6463539371157694E-3</v>
      </c>
      <c r="C119" s="11">
        <f>Prices!C119/Prices!C118-1</f>
        <v>-5.7162417158578283E-3</v>
      </c>
      <c r="D119" s="11">
        <f>Prices!D119/Prices!D118-1</f>
        <v>-4.6377396808806592E-3</v>
      </c>
      <c r="E119" s="11">
        <f>Prices!E119/Prices!E118-1</f>
        <v>-5.5032170658748658E-3</v>
      </c>
      <c r="F119" s="11">
        <f>Prices!F119/Prices!F118-1</f>
        <v>-1.1627232473751747E-2</v>
      </c>
      <c r="G119" s="11">
        <f>Prices!G119/Prices!G118-1</f>
        <v>-1.2940394094291707E-2</v>
      </c>
      <c r="H119" s="11">
        <f>Prices!H119/Prices!H118-1</f>
        <v>-2.0883303491999183E-2</v>
      </c>
    </row>
    <row r="120" spans="1:8" x14ac:dyDescent="0.25">
      <c r="A120" s="10">
        <f>Prices!A120</f>
        <v>46127</v>
      </c>
      <c r="B120" s="11">
        <f>Prices!B120/Prices!B119-1</f>
        <v>1.6300620946077649E-2</v>
      </c>
      <c r="C120" s="11">
        <f>Prices!C120/Prices!C119-1</f>
        <v>2.1985349475686533E-2</v>
      </c>
      <c r="D120" s="11">
        <f>Prices!D120/Prices!D119-1</f>
        <v>2.3529411764706021E-2</v>
      </c>
      <c r="E120" s="11">
        <f>Prices!E120/Prices!E119-1</f>
        <v>1.2533034319724523E-2</v>
      </c>
      <c r="F120" s="11">
        <f>Prices!F120/Prices!F119-1</f>
        <v>2.8365036615824124E-2</v>
      </c>
      <c r="G120" s="11">
        <f>Prices!G120/Prices!G119-1</f>
        <v>1.5135462388375931E-2</v>
      </c>
      <c r="H120" s="11">
        <f>Prices!H120/Prices!H119-1</f>
        <v>1.5279159502464168E-2</v>
      </c>
    </row>
    <row r="121" spans="1:8" x14ac:dyDescent="0.25">
      <c r="A121" s="10">
        <f>Prices!A121</f>
        <v>46128</v>
      </c>
      <c r="B121" s="11">
        <f>Prices!B121/Prices!B120-1</f>
        <v>-1.4258417831481962E-3</v>
      </c>
      <c r="C121" s="11">
        <f>Prices!C121/Prices!C120-1</f>
        <v>6.2778857645962027E-3</v>
      </c>
      <c r="D121" s="11">
        <f>Prices!D121/Prices!D120-1</f>
        <v>8.8858968081879652E-3</v>
      </c>
      <c r="E121" s="11">
        <f>Prices!E121/Prices!E120-1</f>
        <v>-3.8284642006182201E-3</v>
      </c>
      <c r="F121" s="11">
        <f>Prices!F121/Prices!F120-1</f>
        <v>8.8063475455575357E-3</v>
      </c>
      <c r="G121" s="11">
        <f>Prices!G121/Prices!G120-1</f>
        <v>1.8119543428922746E-3</v>
      </c>
      <c r="H121" s="11">
        <f>Prices!H121/Prices!H120-1</f>
        <v>-3.7892089672281193E-3</v>
      </c>
    </row>
    <row r="122" spans="1:8" x14ac:dyDescent="0.25">
      <c r="A122" s="10">
        <f>Prices!A122</f>
        <v>46129</v>
      </c>
      <c r="B122" s="11">
        <f>Prices!B122/Prices!B121-1</f>
        <v>6.4802091189932742E-3</v>
      </c>
      <c r="C122" s="11">
        <f>Prices!C122/Prices!C121-1</f>
        <v>1.2704840079970525E-2</v>
      </c>
      <c r="D122" s="11">
        <f>Prices!D122/Prices!D121-1</f>
        <v>1.4839229642639618E-2</v>
      </c>
      <c r="E122" s="11">
        <f>Prices!E122/Prices!E121-1</f>
        <v>8.545743709704956E-3</v>
      </c>
      <c r="F122" s="11">
        <f>Prices!F122/Prices!F121-1</f>
        <v>-2.4043372357984705E-4</v>
      </c>
      <c r="G122" s="11">
        <f>Prices!G122/Prices!G121-1</f>
        <v>2.6455261596720847E-2</v>
      </c>
      <c r="H122" s="11">
        <f>Prices!H122/Prices!H121-1</f>
        <v>1.980460717703858E-3</v>
      </c>
    </row>
    <row r="123" spans="1:8" x14ac:dyDescent="0.25">
      <c r="A123" s="10">
        <f>Prices!A123</f>
        <v>46132</v>
      </c>
      <c r="B123" s="11">
        <f>Prices!B123/Prices!B122-1</f>
        <v>4.6399806188412995E-4</v>
      </c>
      <c r="C123" s="11">
        <f>Prices!C123/Prices!C122-1</f>
        <v>-1.7938769445492442E-3</v>
      </c>
      <c r="D123" s="11">
        <f>Prices!D123/Prices!D122-1</f>
        <v>-4.486015359478901E-3</v>
      </c>
      <c r="E123" s="11">
        <f>Prices!E123/Prices!E122-1</f>
        <v>2.9434798826843966E-4</v>
      </c>
      <c r="F123" s="11">
        <f>Prices!F123/Prices!F122-1</f>
        <v>-7.0449876374770737E-3</v>
      </c>
      <c r="G123" s="11">
        <f>Prices!G123/Prices!G122-1</f>
        <v>-2.054060040980521E-3</v>
      </c>
      <c r="H123" s="11">
        <f>Prices!H123/Prices!H122-1</f>
        <v>3.3024399470398258E-3</v>
      </c>
    </row>
    <row r="124" spans="1:8" x14ac:dyDescent="0.25">
      <c r="A124" s="10">
        <f>Prices!A124</f>
        <v>46133</v>
      </c>
      <c r="B124" s="11">
        <f>Prices!B124/Prices!B123-1</f>
        <v>8.690798424779933E-3</v>
      </c>
      <c r="C124" s="11">
        <f>Prices!C124/Prices!C123-1</f>
        <v>4.9497622960072984E-3</v>
      </c>
      <c r="D124" s="11">
        <f>Prices!D124/Prices!D123-1</f>
        <v>8.8409037622447784E-3</v>
      </c>
      <c r="E124" s="11">
        <f>Prices!E124/Prices!E123-1</f>
        <v>1.3946045012269703E-2</v>
      </c>
      <c r="F124" s="11">
        <f>Prices!F124/Prices!F123-1</f>
        <v>4.5384390112630513E-3</v>
      </c>
      <c r="G124" s="11">
        <f>Prices!G124/Prices!G123-1</f>
        <v>2.5513689127901307E-2</v>
      </c>
      <c r="H124" s="11">
        <f>Prices!H124/Prices!H123-1</f>
        <v>3.879754018316639E-3</v>
      </c>
    </row>
    <row r="125" spans="1:8" x14ac:dyDescent="0.25">
      <c r="A125" s="10">
        <f>Prices!A125</f>
        <v>46134</v>
      </c>
      <c r="B125" s="11">
        <f>Prices!B125/Prices!B124-1</f>
        <v>-8.0767884898643727E-3</v>
      </c>
      <c r="C125" s="11">
        <f>Prices!C125/Prices!C124-1</f>
        <v>1.9122368177983962E-3</v>
      </c>
      <c r="D125" s="11">
        <f>Prices!D125/Prices!D124-1</f>
        <v>1.1271717257602676E-2</v>
      </c>
      <c r="E125" s="11">
        <f>Prices!E125/Prices!E124-1</f>
        <v>-4.3052772764153868E-3</v>
      </c>
      <c r="F125" s="11">
        <f>Prices!F125/Prices!F124-1</f>
        <v>-3.885549858016768E-2</v>
      </c>
      <c r="G125" s="11">
        <f>Prices!G125/Prices!G124-1</f>
        <v>7.4557114212683295E-3</v>
      </c>
      <c r="H125" s="11">
        <f>Prices!H125/Prices!H124-1</f>
        <v>-6.5708426603368064E-3</v>
      </c>
    </row>
    <row r="126" spans="1:8" x14ac:dyDescent="0.25">
      <c r="A126" s="10">
        <f>Prices!A126</f>
        <v>46135</v>
      </c>
      <c r="B126" s="11">
        <f>Prices!B126/Prices!B125-1</f>
        <v>-8.4112379553779038E-3</v>
      </c>
      <c r="C126" s="11">
        <f>Prices!C126/Prices!C125-1</f>
        <v>-4.1327805241055948E-3</v>
      </c>
      <c r="D126" s="11">
        <f>Prices!D126/Prices!D125-1</f>
        <v>-6.7039043516522456E-3</v>
      </c>
      <c r="E126" s="11">
        <f>Prices!E126/Prices!E125-1</f>
        <v>-1.4344995881798384E-2</v>
      </c>
      <c r="F126" s="11">
        <f>Prices!F126/Prices!F125-1</f>
        <v>-1.21965815469115E-2</v>
      </c>
      <c r="G126" s="11">
        <f>Prices!G126/Prices!G125-1</f>
        <v>-1.1426004414148982E-3</v>
      </c>
      <c r="H126" s="11">
        <f>Prices!H126/Prices!H125-1</f>
        <v>-2.3521516809860032E-2</v>
      </c>
    </row>
    <row r="127" spans="1:8" x14ac:dyDescent="0.25">
      <c r="A127" s="10">
        <f>Prices!A127</f>
        <v>46136</v>
      </c>
      <c r="B127" s="11">
        <f>Prices!B127/Prices!B126-1</f>
        <v>-1.1380442269386726E-2</v>
      </c>
      <c r="C127" s="11">
        <f>Prices!C127/Prices!C126-1</f>
        <v>-9.6409175217837539E-3</v>
      </c>
      <c r="D127" s="11">
        <f>Prices!D127/Prices!D126-1</f>
        <v>-8.6649831412326517E-3</v>
      </c>
      <c r="E127" s="11">
        <f>Prices!E127/Prices!E126-1</f>
        <v>-3.8229286919456706E-3</v>
      </c>
      <c r="F127" s="11">
        <f>Prices!F127/Prices!F126-1</f>
        <v>-5.2904133871990444E-2</v>
      </c>
      <c r="G127" s="11">
        <f>Prices!G127/Prices!G126-1</f>
        <v>-7.3180747157340909E-3</v>
      </c>
      <c r="H127" s="11">
        <f>Prices!H127/Prices!H126-1</f>
        <v>-6.7852455271584233E-3</v>
      </c>
    </row>
    <row r="128" spans="1:8" x14ac:dyDescent="0.25">
      <c r="A128" s="10">
        <f>Prices!A128</f>
        <v>46139</v>
      </c>
      <c r="B128" s="11">
        <f>Prices!B128/Prices!B127-1</f>
        <v>8.1492345577758307E-3</v>
      </c>
      <c r="C128" s="11">
        <f>Prices!C128/Prices!C127-1</f>
        <v>1.4712470610427353E-2</v>
      </c>
      <c r="D128" s="11">
        <f>Prices!D128/Prices!D127-1</f>
        <v>1.8981397149232748E-2</v>
      </c>
      <c r="E128" s="11">
        <f>Prices!E128/Prices!E127-1</f>
        <v>3.1119767872027637E-3</v>
      </c>
      <c r="F128" s="11">
        <f>Prices!F128/Prices!F127-1</f>
        <v>2.2030731915907875E-2</v>
      </c>
      <c r="G128" s="11">
        <f>Prices!G128/Prices!G127-1</f>
        <v>5.5203998719621783E-3</v>
      </c>
      <c r="H128" s="11">
        <f>Prices!H128/Prices!H127-1</f>
        <v>1.5604503982988405E-2</v>
      </c>
    </row>
    <row r="129" spans="1:8" x14ac:dyDescent="0.25">
      <c r="A129" s="10">
        <f>Prices!A129</f>
        <v>46140</v>
      </c>
      <c r="B129" s="11">
        <f>Prices!B129/Prices!B128-1</f>
        <v>-4.0261157944107007E-3</v>
      </c>
      <c r="C129" s="11">
        <f>Prices!C129/Prices!C128-1</f>
        <v>2.8390819001682388E-3</v>
      </c>
      <c r="D129" s="11">
        <f>Prices!D129/Prices!D128-1</f>
        <v>4.2149307427381544E-3</v>
      </c>
      <c r="E129" s="11">
        <f>Prices!E129/Prices!E128-1</f>
        <v>-1.5355207476143939E-2</v>
      </c>
      <c r="F129" s="11">
        <f>Prices!F129/Prices!F128-1</f>
        <v>-6.8331895820008537E-3</v>
      </c>
      <c r="G129" s="11">
        <f>Prices!G129/Prices!G128-1</f>
        <v>-3.2078595006513888E-3</v>
      </c>
      <c r="H129" s="11">
        <f>Prices!H129/Prices!H128-1</f>
        <v>-1.0087072004728914E-2</v>
      </c>
    </row>
    <row r="130" spans="1:8" x14ac:dyDescent="0.25">
      <c r="A130" s="10">
        <f>Prices!A130</f>
        <v>46141</v>
      </c>
      <c r="B130" s="11">
        <f>Prices!B130/Prices!B129-1</f>
        <v>7.5826085506986995E-3</v>
      </c>
      <c r="C130" s="11">
        <f>Prices!C130/Prices!C129-1</f>
        <v>-7.0341645233151784E-4</v>
      </c>
      <c r="D130" s="11">
        <f>Prices!D130/Prices!D129-1</f>
        <v>6.511423501204483E-3</v>
      </c>
      <c r="E130" s="11">
        <f>Prices!E130/Prices!E129-1</f>
        <v>5.8663889307641881E-5</v>
      </c>
      <c r="F130" s="11">
        <f>Prices!F130/Prices!F129-1</f>
        <v>9.8515533548113599E-3</v>
      </c>
      <c r="G130" s="11">
        <f>Prices!G130/Prices!G129-1</f>
        <v>1.747252261326282E-2</v>
      </c>
      <c r="H130" s="11">
        <f>Prices!H130/Prices!H129-1</f>
        <v>1.1453896515557282E-2</v>
      </c>
    </row>
    <row r="131" spans="1:8" x14ac:dyDescent="0.25">
      <c r="A131" s="10">
        <f>Prices!A131</f>
        <v>46142</v>
      </c>
      <c r="B131" s="11">
        <f>Prices!B131/Prices!B130-1</f>
        <v>-7.4490283381554168E-3</v>
      </c>
      <c r="C131" s="11">
        <f>Prices!C131/Prices!C130-1</f>
        <v>-9.8059025885728346E-3</v>
      </c>
      <c r="D131" s="11">
        <f>Prices!D131/Prices!D130-1</f>
        <v>-4.7531800709108563E-3</v>
      </c>
      <c r="E131" s="11">
        <f>Prices!E131/Prices!E130-1</f>
        <v>-9.7511714040242614E-3</v>
      </c>
      <c r="F131" s="11">
        <f>Prices!F131/Prices!F130-1</f>
        <v>3.7168492607333459E-3</v>
      </c>
      <c r="G131" s="11">
        <f>Prices!G131/Prices!G130-1</f>
        <v>-1.3515079637949734E-2</v>
      </c>
      <c r="H131" s="11">
        <f>Prices!H131/Prices!H130-1</f>
        <v>-6.4460481297260452E-3</v>
      </c>
    </row>
    <row r="132" spans="1:8" x14ac:dyDescent="0.25">
      <c r="A132" s="10">
        <f>Prices!A132</f>
        <v>46146</v>
      </c>
      <c r="B132" s="11">
        <f>Prices!B132/Prices!B131-1</f>
        <v>5.0734345797800451E-3</v>
      </c>
      <c r="C132" s="11">
        <f>Prices!C132/Prices!C131-1</f>
        <v>6.2708194467326894E-3</v>
      </c>
      <c r="D132" s="11">
        <f>Prices!D132/Prices!D131-1</f>
        <v>6.9611237758333555E-3</v>
      </c>
      <c r="E132" s="11">
        <f>Prices!E132/Prices!E131-1</f>
        <v>2.7614062940006789E-4</v>
      </c>
      <c r="F132" s="11">
        <f>Prices!F132/Prices!F131-1</f>
        <v>-9.4638191177323083E-3</v>
      </c>
      <c r="G132" s="11">
        <f>Prices!G132/Prices!G131-1</f>
        <v>3.7965934433870085E-3</v>
      </c>
      <c r="H132" s="11">
        <f>Prices!H132/Prices!H131-1</f>
        <v>4.248078525789456E-3</v>
      </c>
    </row>
    <row r="133" spans="1:8" x14ac:dyDescent="0.25">
      <c r="A133" s="10">
        <f>Prices!A133</f>
        <v>46147</v>
      </c>
      <c r="B133" s="11">
        <f>Prices!B133/Prices!B132-1</f>
        <v>-3.5863395703855661E-3</v>
      </c>
      <c r="C133" s="11">
        <f>Prices!C133/Prices!C132-1</f>
        <v>1.7411973952683457E-3</v>
      </c>
      <c r="D133" s="11">
        <f>Prices!D133/Prices!D132-1</f>
        <v>2.7519647042604234E-3</v>
      </c>
      <c r="E133" s="11">
        <f>Prices!E133/Prices!E132-1</f>
        <v>-6.0397058957514238E-3</v>
      </c>
      <c r="F133" s="11">
        <f>Prices!F133/Prices!F132-1</f>
        <v>1.0730462476054026E-3</v>
      </c>
      <c r="G133" s="11">
        <f>Prices!G133/Prices!G132-1</f>
        <v>6.3892248273709207E-3</v>
      </c>
      <c r="H133" s="11">
        <f>Prices!H133/Prices!H132-1</f>
        <v>6.3163475835359417E-3</v>
      </c>
    </row>
    <row r="134" spans="1:8" x14ac:dyDescent="0.25">
      <c r="A134" s="10">
        <f>Prices!A134</f>
        <v>46148</v>
      </c>
      <c r="B134" s="11">
        <f>Prices!B134/Prices!B133-1</f>
        <v>1.2405961852135494E-2</v>
      </c>
      <c r="C134" s="11">
        <f>Prices!C134/Prices!C133-1</f>
        <v>1.7625633664926976E-2</v>
      </c>
      <c r="D134" s="11">
        <f>Prices!D134/Prices!D133-1</f>
        <v>1.9342881027806902E-2</v>
      </c>
      <c r="E134" s="11">
        <f>Prices!E134/Prices!E133-1</f>
        <v>2.6289231039992034E-2</v>
      </c>
      <c r="F134" s="11">
        <f>Prices!F134/Prices!F133-1</f>
        <v>5.5192340065894907E-3</v>
      </c>
      <c r="G134" s="11">
        <f>Prices!G134/Prices!G133-1</f>
        <v>-2.5778416100462609E-3</v>
      </c>
      <c r="H134" s="11">
        <f>Prices!H134/Prices!H133-1</f>
        <v>2.408741567113748E-2</v>
      </c>
    </row>
    <row r="135" spans="1:8" x14ac:dyDescent="0.25">
      <c r="A135" s="10">
        <f>Prices!A135</f>
        <v>46149</v>
      </c>
      <c r="B135" s="11">
        <f>Prices!B135/Prices!B134-1</f>
        <v>-1.7672963858783586E-4</v>
      </c>
      <c r="C135" s="11">
        <f>Prices!C135/Prices!C134-1</f>
        <v>1.1030269034531415E-2</v>
      </c>
      <c r="D135" s="11">
        <f>Prices!D135/Prices!D134-1</f>
        <v>8.7163660496061279E-3</v>
      </c>
      <c r="E135" s="11">
        <f>Prices!E135/Prices!E134-1</f>
        <v>1.185222499399341E-3</v>
      </c>
      <c r="F135" s="11">
        <f>Prices!F135/Prices!F134-1</f>
        <v>-7.6687981221780221E-3</v>
      </c>
      <c r="G135" s="11">
        <f>Prices!G135/Prices!G134-1</f>
        <v>-7.6194288634693352E-3</v>
      </c>
      <c r="H135" s="11">
        <f>Prices!H135/Prices!H134-1</f>
        <v>1.9272639152965843E-2</v>
      </c>
    </row>
    <row r="136" spans="1:8" x14ac:dyDescent="0.25">
      <c r="A136" s="10">
        <f>Prices!A136</f>
        <v>46150</v>
      </c>
      <c r="B136" s="11">
        <f>Prices!B136/Prices!B135-1</f>
        <v>-6.1866307115858721E-3</v>
      </c>
      <c r="C136" s="11">
        <f>Prices!C136/Prices!C135-1</f>
        <v>-1.4878276345636765E-3</v>
      </c>
      <c r="D136" s="11">
        <f>Prices!D136/Prices!D135-1</f>
        <v>2.2117444432259159E-3</v>
      </c>
      <c r="E136" s="11">
        <f>Prices!E136/Prices!E135-1</f>
        <v>-1.314690779590133E-2</v>
      </c>
      <c r="F136" s="11">
        <f>Prices!F136/Prices!F135-1</f>
        <v>1.2074990961833176E-2</v>
      </c>
      <c r="G136" s="11">
        <f>Prices!G136/Prices!G135-1</f>
        <v>1.9082231788902781E-3</v>
      </c>
      <c r="H136" s="11">
        <f>Prices!H136/Prices!H135-1</f>
        <v>-2.9297785840867174E-3</v>
      </c>
    </row>
    <row r="137" spans="1:8" x14ac:dyDescent="0.25">
      <c r="A137" s="10">
        <f>Prices!A137</f>
        <v>46153</v>
      </c>
      <c r="B137" s="11">
        <f>Prices!B137/Prices!B136-1</f>
        <v>-1.4903117328441629E-2</v>
      </c>
      <c r="C137" s="11">
        <f>Prices!C137/Prices!C136-1</f>
        <v>-1.0539339599327402E-2</v>
      </c>
      <c r="D137" s="11">
        <f>Prices!D137/Prices!D136-1</f>
        <v>-1.1271815125153517E-2</v>
      </c>
      <c r="E137" s="11">
        <f>Prices!E137/Prices!E136-1</f>
        <v>-1.5741119912928037E-2</v>
      </c>
      <c r="F137" s="11">
        <f>Prices!F137/Prices!F136-1</f>
        <v>-2.2028155214294243E-3</v>
      </c>
      <c r="G137" s="11">
        <f>Prices!G137/Prices!G136-1</f>
        <v>7.7688460478553267E-4</v>
      </c>
      <c r="H137" s="11">
        <f>Prices!H137/Prices!H136-1</f>
        <v>-1.8578605531578418E-2</v>
      </c>
    </row>
    <row r="138" spans="1:8" x14ac:dyDescent="0.25">
      <c r="A138" s="10">
        <f>Prices!A138</f>
        <v>46154</v>
      </c>
      <c r="B138" s="11">
        <f>Prices!B138/Prices!B137-1</f>
        <v>-1.8319732447088732E-2</v>
      </c>
      <c r="C138" s="11">
        <f>Prices!C138/Prices!C137-1</f>
        <v>-2.5363868465385964E-2</v>
      </c>
      <c r="D138" s="11">
        <f>Prices!D138/Prices!D137-1</f>
        <v>-3.1674745490073319E-2</v>
      </c>
      <c r="E138" s="11">
        <f>Prices!E138/Prices!E137-1</f>
        <v>-1.6250948293439316E-2</v>
      </c>
      <c r="F138" s="11">
        <f>Prices!F138/Prices!F137-1</f>
        <v>-3.7319145091367134E-2</v>
      </c>
      <c r="G138" s="11">
        <f>Prices!G138/Prices!G137-1</f>
        <v>-1.4680997116529149E-2</v>
      </c>
      <c r="H138" s="11">
        <f>Prices!H138/Prices!H137-1</f>
        <v>-2.2830743008365406E-2</v>
      </c>
    </row>
    <row r="139" spans="1:8" x14ac:dyDescent="0.25">
      <c r="A139" s="10">
        <f>Prices!A139</f>
        <v>46155</v>
      </c>
      <c r="B139" s="11">
        <f>Prices!B139/Prices!B138-1</f>
        <v>1.4136285771111368E-3</v>
      </c>
      <c r="C139" s="11">
        <f>Prices!C139/Prices!C138-1</f>
        <v>7.7045925233629742E-3</v>
      </c>
      <c r="D139" s="11">
        <f>Prices!D139/Prices!D138-1</f>
        <v>3.0687329282568232E-3</v>
      </c>
      <c r="E139" s="11">
        <f>Prices!E139/Prices!E138-1</f>
        <v>-1.8494936065964751E-3</v>
      </c>
      <c r="F139" s="11">
        <f>Prices!F139/Prices!F138-1</f>
        <v>-1.1271511498181286E-2</v>
      </c>
      <c r="G139" s="11">
        <f>Prices!G139/Prices!G138-1</f>
        <v>2.9918400757920072E-3</v>
      </c>
      <c r="H139" s="11">
        <f>Prices!H139/Prices!H138-1</f>
        <v>-9.7025544513551498E-3</v>
      </c>
    </row>
    <row r="140" spans="1:8" x14ac:dyDescent="0.25">
      <c r="A140" s="10">
        <f>Prices!A140</f>
        <v>46156</v>
      </c>
      <c r="B140" s="11">
        <f>Prices!B140/Prices!B139-1</f>
        <v>1.1831236171975679E-2</v>
      </c>
      <c r="C140" s="11">
        <f>Prices!C140/Prices!C139-1</f>
        <v>1.1220043663513257E-2</v>
      </c>
      <c r="D140" s="11">
        <f>Prices!D140/Prices!D139-1</f>
        <v>-1.3893481456372925E-4</v>
      </c>
      <c r="E140" s="11">
        <f>Prices!E140/Prices!E139-1</f>
        <v>1.2586016763272312E-2</v>
      </c>
      <c r="F140" s="11">
        <f>Prices!F140/Prices!F139-1</f>
        <v>-1.992717607592609E-2</v>
      </c>
      <c r="G140" s="11">
        <f>Prices!G140/Prices!G139-1</f>
        <v>3.4443338928977774E-3</v>
      </c>
      <c r="H140" s="11">
        <f>Prices!H140/Prices!H139-1</f>
        <v>6.2092128108710565E-3</v>
      </c>
    </row>
    <row r="141" spans="1:8" x14ac:dyDescent="0.25">
      <c r="A141" s="10">
        <f>Prices!A141</f>
        <v>46157</v>
      </c>
      <c r="B141" s="11">
        <f>Prices!B141/Prices!B140-1</f>
        <v>-1.946001620964366E-3</v>
      </c>
      <c r="C141" s="11">
        <f>Prices!C141/Prices!C140-1</f>
        <v>-4.4798051272441075E-3</v>
      </c>
      <c r="D141" s="11">
        <f>Prices!D141/Prices!D140-1</f>
        <v>-6.0556205552051434E-3</v>
      </c>
      <c r="E141" s="11">
        <f>Prices!E141/Prices!E140-1</f>
        <v>-7.7333848153344764E-3</v>
      </c>
      <c r="F141" s="11">
        <f>Prices!F141/Prices!F140-1</f>
        <v>1.3031631539801358E-2</v>
      </c>
      <c r="G141" s="11">
        <f>Prices!G141/Prices!G140-1</f>
        <v>5.3604678298080355E-3</v>
      </c>
      <c r="H141" s="11">
        <f>Prices!H141/Prices!H140-1</f>
        <v>8.0615131844119503E-4</v>
      </c>
    </row>
    <row r="142" spans="1:8" x14ac:dyDescent="0.25">
      <c r="A142" s="10">
        <f>Prices!A142</f>
        <v>46160</v>
      </c>
      <c r="B142" s="11">
        <f>Prices!B142/Prices!B141-1</f>
        <v>2.7280225008996517E-4</v>
      </c>
      <c r="C142" s="11">
        <f>Prices!C142/Prices!C141-1</f>
        <v>-1.5412645303600758E-3</v>
      </c>
      <c r="D142" s="11">
        <f>Prices!D142/Prices!D141-1</f>
        <v>-1.262959524901297E-2</v>
      </c>
      <c r="E142" s="11">
        <f>Prices!E142/Prices!E141-1</f>
        <v>-3.2274971211321279E-3</v>
      </c>
      <c r="F142" s="11">
        <f>Prices!F142/Prices!F141-1</f>
        <v>2.4277606803069451E-2</v>
      </c>
      <c r="G142" s="11">
        <f>Prices!G142/Prices!G141-1</f>
        <v>-2.9627032389937247E-3</v>
      </c>
      <c r="H142" s="11">
        <f>Prices!H142/Prices!H141-1</f>
        <v>-1.7122670277361252E-2</v>
      </c>
    </row>
    <row r="143" spans="1:8" x14ac:dyDescent="0.25">
      <c r="A143" s="10">
        <f>Prices!A143</f>
        <v>46161</v>
      </c>
      <c r="B143" s="11">
        <f>Prices!B143/Prices!B142-1</f>
        <v>-1.3509542303472566E-3</v>
      </c>
      <c r="C143" s="11">
        <f>Prices!C143/Prices!C142-1</f>
        <v>9.0650827300418069E-3</v>
      </c>
      <c r="D143" s="11">
        <f>Prices!D143/Prices!D142-1</f>
        <v>1.171223469777849E-2</v>
      </c>
      <c r="E143" s="11">
        <f>Prices!E143/Prices!E142-1</f>
        <v>-2.3880680650764097E-3</v>
      </c>
      <c r="F143" s="11">
        <f>Prices!F143/Prices!F142-1</f>
        <v>3.2342601920408054E-2</v>
      </c>
      <c r="G143" s="11">
        <f>Prices!G143/Prices!G142-1</f>
        <v>-3.2907597431042213E-4</v>
      </c>
      <c r="H143" s="11">
        <f>Prices!H143/Prices!H142-1</f>
        <v>2.9073964947334829E-3</v>
      </c>
    </row>
    <row r="144" spans="1:8" x14ac:dyDescent="0.25">
      <c r="A144" s="10">
        <f>Prices!A144</f>
        <v>46162</v>
      </c>
      <c r="B144" s="11">
        <f>Prices!B144/Prices!B143-1</f>
        <v>1.7359640951817301E-3</v>
      </c>
      <c r="C144" s="11">
        <f>Prices!C144/Prices!C143-1</f>
        <v>4.9375635016879471E-3</v>
      </c>
      <c r="D144" s="11">
        <f>Prices!D144/Prices!D143-1</f>
        <v>4.114523708893536E-4</v>
      </c>
      <c r="E144" s="11">
        <f>Prices!E144/Prices!E143-1</f>
        <v>2.8656138508100781E-3</v>
      </c>
      <c r="F144" s="11">
        <f>Prices!F144/Prices!F143-1</f>
        <v>-4.1916882762385033E-3</v>
      </c>
      <c r="G144" s="11">
        <f>Prices!G144/Prices!G143-1</f>
        <v>-7.1300336947153209E-3</v>
      </c>
      <c r="H144" s="11">
        <f>Prices!H144/Prices!H143-1</f>
        <v>8.3875511697044658E-3</v>
      </c>
    </row>
    <row r="145" spans="1:8" x14ac:dyDescent="0.25">
      <c r="A145" s="10">
        <f>Prices!A145</f>
        <v>46163</v>
      </c>
      <c r="B145" s="11">
        <f>Prices!B145/Prices!B144-1</f>
        <v>-1.8174901728729154E-4</v>
      </c>
      <c r="C145" s="11">
        <f>Prices!C145/Prices!C144-1</f>
        <v>-3.7016925051336358E-4</v>
      </c>
      <c r="D145" s="11">
        <f>Prices!D145/Prices!D144-1</f>
        <v>6.2755653044892501E-3</v>
      </c>
      <c r="E145" s="11">
        <f>Prices!E145/Prices!E144-1</f>
        <v>-2.292661615840963E-3</v>
      </c>
      <c r="F145" s="11">
        <f>Prices!F145/Prices!F144-1</f>
        <v>-5.6210093146686901E-3</v>
      </c>
      <c r="G145" s="11">
        <f>Prices!G145/Prices!G144-1</f>
        <v>-5.0870388386508036E-3</v>
      </c>
      <c r="H145" s="11">
        <f>Prices!H145/Prices!H144-1</f>
        <v>2.7745245394925622E-3</v>
      </c>
    </row>
    <row r="146" spans="1:8" x14ac:dyDescent="0.25">
      <c r="A146" s="10">
        <f>Prices!A146</f>
        <v>46164</v>
      </c>
      <c r="B146" s="11">
        <f>Prices!B146/Prices!B145-1</f>
        <v>2.7309583296342144E-3</v>
      </c>
      <c r="C146" s="11">
        <f>Prices!C146/Prices!C145-1</f>
        <v>1.4469678926471996E-3</v>
      </c>
      <c r="D146" s="11">
        <f>Prices!D146/Prices!D145-1</f>
        <v>-1.4930726434058128E-3</v>
      </c>
      <c r="E146" s="11">
        <f>Prices!E146/Prices!E145-1</f>
        <v>1.1526139889295184E-2</v>
      </c>
      <c r="F146" s="11">
        <f>Prices!F146/Prices!F145-1</f>
        <v>-3.7438277666937969E-3</v>
      </c>
      <c r="G146" s="11">
        <f>Prices!G146/Prices!G145-1</f>
        <v>-2.7355807538465005E-4</v>
      </c>
      <c r="H146" s="11">
        <f>Prices!H146/Prices!H145-1</f>
        <v>1.1871662898648161E-3</v>
      </c>
    </row>
    <row r="147" spans="1:8" x14ac:dyDescent="0.25">
      <c r="A147" s="10">
        <f>Prices!A147</f>
        <v>46167</v>
      </c>
      <c r="B147" s="11">
        <f>Prices!B147/Prices!B146-1</f>
        <v>1.3170709085006838E-2</v>
      </c>
      <c r="C147" s="11">
        <f>Prices!C147/Prices!C146-1</f>
        <v>9.4039189239818466E-3</v>
      </c>
      <c r="D147" s="11">
        <f>Prices!D147/Prices!D146-1</f>
        <v>1.3727848876711191E-2</v>
      </c>
      <c r="E147" s="11">
        <f>Prices!E147/Prices!E146-1</f>
        <v>2.2908000780681448E-2</v>
      </c>
      <c r="F147" s="11">
        <f>Prices!F147/Prices!F146-1</f>
        <v>2.3311756699968544E-3</v>
      </c>
      <c r="G147" s="11">
        <f>Prices!G147/Prices!G146-1</f>
        <v>-1.8318480869575771E-3</v>
      </c>
      <c r="H147" s="11">
        <f>Prices!H147/Prices!H146-1</f>
        <v>1.7140649803398578E-2</v>
      </c>
    </row>
    <row r="148" spans="1:8" x14ac:dyDescent="0.25">
      <c r="A148" s="10">
        <f>Prices!A148</f>
        <v>46168</v>
      </c>
      <c r="B148" s="11">
        <f>Prices!B148/Prices!B147-1</f>
        <v>-4.9101811357498137E-3</v>
      </c>
      <c r="C148" s="11">
        <f>Prices!C148/Prices!C147-1</f>
        <v>5.3625662857088585E-3</v>
      </c>
      <c r="D148" s="11">
        <f>Prices!D148/Prices!D147-1</f>
        <v>3.5434303702197578E-3</v>
      </c>
      <c r="E148" s="11">
        <f>Prices!E148/Prices!E147-1</f>
        <v>-3.6306158121230947E-3</v>
      </c>
      <c r="F148" s="11">
        <f>Prices!F148/Prices!F147-1</f>
        <v>-4.6584092050161452E-5</v>
      </c>
      <c r="G148" s="11">
        <f>Prices!G148/Prices!G147-1</f>
        <v>1.3876220524244864E-3</v>
      </c>
      <c r="H148" s="11">
        <f>Prices!H148/Prices!H147-1</f>
        <v>6.5941000753877432E-4</v>
      </c>
    </row>
    <row r="149" spans="1:8" x14ac:dyDescent="0.25">
      <c r="A149" s="10">
        <f>Prices!A149</f>
        <v>46169</v>
      </c>
      <c r="B149" s="11">
        <f>Prices!B149/Prices!B148-1</f>
        <v>-2.7390157106588209E-4</v>
      </c>
      <c r="C149" s="11">
        <f>Prices!C149/Prices!C148-1</f>
        <v>4.1726258409056083E-3</v>
      </c>
      <c r="D149" s="11">
        <f>Prices!D149/Prices!D148-1</f>
        <v>1.4835333274940687E-3</v>
      </c>
      <c r="E149" s="11">
        <f>Prices!E149/Prices!E148-1</f>
        <v>-4.3390346124455581E-3</v>
      </c>
      <c r="F149" s="11">
        <f>Prices!F149/Prices!F148-1</f>
        <v>-2.4776989837292929E-3</v>
      </c>
      <c r="G149" s="11">
        <f>Prices!G149/Prices!G148-1</f>
        <v>-1.7012643509959346E-3</v>
      </c>
      <c r="H149" s="11">
        <f>Prices!H149/Prices!H148-1</f>
        <v>1.4489907667906587E-2</v>
      </c>
    </row>
    <row r="150" spans="1:8" x14ac:dyDescent="0.25">
      <c r="A150" s="10">
        <f>Prices!A150</f>
        <v>46171</v>
      </c>
      <c r="B150" s="11">
        <f>Prices!B150/Prices!B149-1</f>
        <v>-1.5033159535954743E-2</v>
      </c>
      <c r="C150" s="11">
        <f>Prices!C150/Prices!C149-1</f>
        <v>-1.3348231305402747E-2</v>
      </c>
      <c r="D150" s="11">
        <f>Prices!D150/Prices!D149-1</f>
        <v>-8.4999152741563888E-3</v>
      </c>
      <c r="E150" s="11">
        <f>Prices!E150/Prices!E149-1</f>
        <v>-1.1205229897263358E-2</v>
      </c>
      <c r="F150" s="11">
        <f>Prices!F150/Prices!F149-1</f>
        <v>6.0003390217493457E-3</v>
      </c>
      <c r="G150" s="11">
        <f>Prices!G150/Prices!G149-1</f>
        <v>-1.5128066547139274E-2</v>
      </c>
      <c r="H150" s="11">
        <f>Prices!H150/Prices!H149-1</f>
        <v>-1.9570655370344192E-2</v>
      </c>
    </row>
    <row r="151" spans="1:8" x14ac:dyDescent="0.25">
      <c r="A151" s="10">
        <f>Prices!A151</f>
        <v>46174</v>
      </c>
      <c r="B151" s="11">
        <f>Prices!B151/Prices!B150-1</f>
        <v>-7.0134089244195952E-3</v>
      </c>
      <c r="C151" s="11">
        <f>Prices!C151/Prices!C150-1</f>
        <v>-1.4513850411024709E-2</v>
      </c>
      <c r="D151" s="11">
        <f>Prices!D151/Prices!D150-1</f>
        <v>-8.7657397402253201E-3</v>
      </c>
      <c r="E151" s="11">
        <f>Prices!E151/Prices!E150-1</f>
        <v>-1.0990206345226294E-2</v>
      </c>
      <c r="F151" s="11">
        <f>Prices!F151/Prices!F150-1</f>
        <v>2.6619532567748072E-2</v>
      </c>
      <c r="G151" s="11">
        <f>Prices!G151/Prices!G150-1</f>
        <v>-2.2996617280925724E-2</v>
      </c>
      <c r="H151" s="11">
        <f>Prices!H151/Prices!H150-1</f>
        <v>-1.6954300651708776E-2</v>
      </c>
    </row>
    <row r="152" spans="1:8" x14ac:dyDescent="0.25">
      <c r="A152" s="10">
        <f>Prices!A152</f>
        <v>46175</v>
      </c>
      <c r="B152" s="11">
        <f>Prices!B152/Prices!B151-1</f>
        <v>4.3173128736753164E-3</v>
      </c>
      <c r="C152" s="11">
        <f>Prices!C152/Prices!C151-1</f>
        <v>1.874960441704987E-3</v>
      </c>
      <c r="D152" s="11">
        <f>Prices!D152/Prices!D151-1</f>
        <v>4.032302917718722E-3</v>
      </c>
      <c r="E152" s="11">
        <f>Prices!E152/Prices!E151-1</f>
        <v>1.3338155326594325E-3</v>
      </c>
      <c r="F152" s="11">
        <f>Prices!F152/Prices!F151-1</f>
        <v>4.2282087140022018E-2</v>
      </c>
      <c r="G152" s="11">
        <f>Prices!G152/Prices!G151-1</f>
        <v>7.5672000945123941E-3</v>
      </c>
      <c r="H152" s="11">
        <f>Prices!H152/Prices!H151-1</f>
        <v>7.2435781074389194E-3</v>
      </c>
    </row>
    <row r="153" spans="1:8" x14ac:dyDescent="0.25">
      <c r="A153" s="10">
        <f>Prices!A153</f>
        <v>46176</v>
      </c>
      <c r="B153" s="11">
        <f>Prices!B153/Prices!B152-1</f>
        <v>-3.3193448179683616E-3</v>
      </c>
      <c r="C153" s="11">
        <f>Prices!C153/Prices!C152-1</f>
        <v>-4.1810245807489821E-3</v>
      </c>
      <c r="D153" s="11">
        <f>Prices!D153/Prices!D152-1</f>
        <v>-1.1217407200190266E-3</v>
      </c>
      <c r="E153" s="11">
        <f>Prices!E153/Prices!E152-1</f>
        <v>8.7741426221710217E-3</v>
      </c>
      <c r="F153" s="11">
        <f>Prices!F153/Prices!F152-1</f>
        <v>-5.5664911437803943E-2</v>
      </c>
      <c r="G153" s="11">
        <f>Prices!G153/Prices!G152-1</f>
        <v>-1.0055993483197967E-2</v>
      </c>
      <c r="H153" s="11">
        <f>Prices!H153/Prices!H152-1</f>
        <v>5.1189729844747234E-4</v>
      </c>
    </row>
    <row r="154" spans="1:8" x14ac:dyDescent="0.25">
      <c r="A154" s="10">
        <f>Prices!A154</f>
        <v>46177</v>
      </c>
      <c r="B154" s="11">
        <f>Prices!B154/Prices!B153-1</f>
        <v>4.6783675701544958E-4</v>
      </c>
      <c r="C154" s="11">
        <f>Prices!C154/Prices!C153-1</f>
        <v>4.6047601471150834E-3</v>
      </c>
      <c r="D154" s="11">
        <f>Prices!D154/Prices!D153-1</f>
        <v>4.9356562343161325E-3</v>
      </c>
      <c r="E154" s="11">
        <f>Prices!E154/Prices!E153-1</f>
        <v>2.2496606592667945E-3</v>
      </c>
      <c r="F154" s="11">
        <f>Prices!F154/Prices!F153-1</f>
        <v>-2.8535500919705248E-3</v>
      </c>
      <c r="G154" s="11">
        <f>Prices!G154/Prices!G153-1</f>
        <v>1.9127690058693414E-3</v>
      </c>
      <c r="H154" s="11">
        <f>Prices!H154/Prices!H153-1</f>
        <v>1.9756407897963957E-3</v>
      </c>
    </row>
    <row r="155" spans="1:8" x14ac:dyDescent="0.25">
      <c r="A155" s="10">
        <f>Prices!A155</f>
        <v>46178</v>
      </c>
      <c r="B155" s="11">
        <f>Prices!B155/Prices!B154-1</f>
        <v>-2.1288362290772245E-3</v>
      </c>
      <c r="C155" s="11">
        <f>Prices!C155/Prices!C154-1</f>
        <v>-3.4732103535293213E-3</v>
      </c>
      <c r="D155" s="11">
        <f>Prices!D155/Prices!D154-1</f>
        <v>-5.9323273209888061E-4</v>
      </c>
      <c r="E155" s="11">
        <f>Prices!E155/Prices!E154-1</f>
        <v>3.469111739831332E-3</v>
      </c>
      <c r="F155" s="11">
        <f>Prices!F155/Prices!F154-1</f>
        <v>-9.9076469423834412E-3</v>
      </c>
      <c r="G155" s="11">
        <f>Prices!G155/Prices!G154-1</f>
        <v>1.7929732868757764E-3</v>
      </c>
      <c r="H155" s="11">
        <f>Prices!H155/Prices!H154-1</f>
        <v>8.2618233002551555E-4</v>
      </c>
    </row>
    <row r="156" spans="1:8" x14ac:dyDescent="0.25">
      <c r="A156" s="10">
        <f>Prices!A156</f>
        <v>46181</v>
      </c>
      <c r="B156" s="11">
        <f>Prices!B156/Prices!B155-1</f>
        <v>-1.0429371712736502E-2</v>
      </c>
      <c r="C156" s="11">
        <f>Prices!C156/Prices!C155-1</f>
        <v>-1.3978296400784185E-2</v>
      </c>
      <c r="D156" s="11">
        <f>Prices!D156/Prices!D155-1</f>
        <v>-1.9152084725266749E-2</v>
      </c>
      <c r="E156" s="11">
        <f>Prices!E156/Prices!E155-1</f>
        <v>-7.9363258939835202E-3</v>
      </c>
      <c r="F156" s="11">
        <f>Prices!F156/Prices!F155-1</f>
        <v>-1.2297356456155262E-2</v>
      </c>
      <c r="G156" s="11">
        <f>Prices!G156/Prices!G155-1</f>
        <v>-4.2192476779127075E-3</v>
      </c>
      <c r="H156" s="11">
        <f>Prices!H156/Prices!H155-1</f>
        <v>-1.8503054542258202E-2</v>
      </c>
    </row>
    <row r="157" spans="1:8" x14ac:dyDescent="0.25">
      <c r="A157" s="10">
        <f>Prices!A157</f>
        <v>46182</v>
      </c>
      <c r="B157" s="11">
        <f>Prices!B157/Prices!B156-1</f>
        <v>5.1507157375771939E-3</v>
      </c>
      <c r="C157" s="11">
        <f>Prices!C157/Prices!C156-1</f>
        <v>1.3517923601529924E-2</v>
      </c>
      <c r="D157" s="11">
        <f>Prices!D157/Prices!D156-1</f>
        <v>1.6897055470643352E-2</v>
      </c>
      <c r="E157" s="11">
        <f>Prices!E157/Prices!E156-1</f>
        <v>2.0915123349749098E-2</v>
      </c>
      <c r="F157" s="11">
        <f>Prices!F157/Prices!F156-1</f>
        <v>-4.7917273775849312E-3</v>
      </c>
      <c r="G157" s="11">
        <f>Prices!G157/Prices!G156-1</f>
        <v>7.2507232531473509E-3</v>
      </c>
      <c r="H157" s="11">
        <f>Prices!H157/Prices!H156-1</f>
        <v>1.3388859036360445E-2</v>
      </c>
    </row>
    <row r="158" spans="1:8" x14ac:dyDescent="0.25">
      <c r="A158" s="10">
        <f>Prices!A158</f>
        <v>46183</v>
      </c>
      <c r="B158" s="11">
        <f>Prices!B158/Prices!B157-1</f>
        <v>-1.1681388514805935E-3</v>
      </c>
      <c r="C158" s="11">
        <f>Prices!C158/Prices!C157-1</f>
        <v>-1.4909714084306414E-2</v>
      </c>
      <c r="D158" s="11">
        <f>Prices!D158/Prices!D157-1</f>
        <v>-1.3347284040833407E-2</v>
      </c>
      <c r="E158" s="11">
        <f>Prices!E158/Prices!E157-1</f>
        <v>-1.7066917899427603E-3</v>
      </c>
      <c r="F158" s="11">
        <f>Prices!F158/Prices!F157-1</f>
        <v>-8.2882566957436232E-3</v>
      </c>
      <c r="G158" s="11">
        <f>Prices!G158/Prices!G157-1</f>
        <v>1.051862432246109E-2</v>
      </c>
      <c r="H158" s="11">
        <f>Prices!H158/Prices!H157-1</f>
        <v>-7.3811797207755658E-3</v>
      </c>
    </row>
    <row r="159" spans="1:8" x14ac:dyDescent="0.25">
      <c r="A159" s="10">
        <f>Prices!A159</f>
        <v>46184</v>
      </c>
      <c r="B159" s="11">
        <f>Prices!B159/Prices!B158-1</f>
        <v>-2.2980880854794883E-3</v>
      </c>
      <c r="C159" s="11">
        <f>Prices!C159/Prices!C158-1</f>
        <v>-8.1056408438693328E-3</v>
      </c>
      <c r="D159" s="11">
        <f>Prices!D159/Prices!D158-1</f>
        <v>-6.7274512554356125E-3</v>
      </c>
      <c r="E159" s="11">
        <f>Prices!E159/Prices!E158-1</f>
        <v>1.3874697596927277E-3</v>
      </c>
      <c r="F159" s="11">
        <f>Prices!F159/Prices!F158-1</f>
        <v>-1.622707293873038E-2</v>
      </c>
      <c r="G159" s="11">
        <f>Prices!G159/Prices!G158-1</f>
        <v>-8.889433584574169E-3</v>
      </c>
      <c r="H159" s="11">
        <f>Prices!H159/Prices!H158-1</f>
        <v>-1.6722440392435978E-3</v>
      </c>
    </row>
    <row r="160" spans="1:8" x14ac:dyDescent="0.25">
      <c r="A160" s="10">
        <f>Prices!A160</f>
        <v>46185</v>
      </c>
      <c r="B160" s="11">
        <f>Prices!B160/Prices!B159-1</f>
        <v>1.9916586073501108E-2</v>
      </c>
      <c r="C160" s="11">
        <f>Prices!C160/Prices!C159-1</f>
        <v>2.4318420103362159E-2</v>
      </c>
      <c r="D160" s="11">
        <f>Prices!D160/Prices!D159-1</f>
        <v>2.7953520951724764E-2</v>
      </c>
      <c r="E160" s="11">
        <f>Prices!E160/Prices!E159-1</f>
        <v>2.9687323011956979E-2</v>
      </c>
      <c r="F160" s="11">
        <f>Prices!F160/Prices!F159-1</f>
        <v>-9.0758779339350504E-4</v>
      </c>
      <c r="G160" s="11">
        <f>Prices!G160/Prices!G159-1</f>
        <v>6.3023218429654193E-3</v>
      </c>
      <c r="H160" s="11">
        <f>Prices!H160/Prices!H159-1</f>
        <v>1.9522806010775273E-2</v>
      </c>
    </row>
    <row r="161" spans="1:8" x14ac:dyDescent="0.25">
      <c r="A161" s="10">
        <f>Prices!A161</f>
        <v>46188</v>
      </c>
      <c r="B161" s="11">
        <f>Prices!B161/Prices!B160-1</f>
        <v>9.7786469908436313E-3</v>
      </c>
      <c r="C161" s="11">
        <f>Prices!C161/Prices!C160-1</f>
        <v>1.2861188682878E-2</v>
      </c>
      <c r="D161" s="11">
        <f>Prices!D161/Prices!D160-1</f>
        <v>1.1130680397528181E-2</v>
      </c>
      <c r="E161" s="11">
        <f>Prices!E161/Prices!E160-1</f>
        <v>6.7588022839120132E-3</v>
      </c>
      <c r="F161" s="11">
        <f>Prices!F161/Prices!F160-1</f>
        <v>9.7892663446750294E-3</v>
      </c>
      <c r="G161" s="11">
        <f>Prices!G161/Prices!G160-1</f>
        <v>4.41963151987812E-3</v>
      </c>
      <c r="H161" s="11">
        <f>Prices!H161/Prices!H160-1</f>
        <v>2.6000376513899637E-2</v>
      </c>
    </row>
    <row r="162" spans="1:8" x14ac:dyDescent="0.25">
      <c r="A162" s="10">
        <f>Prices!A162</f>
        <v>46189</v>
      </c>
      <c r="B162" s="11">
        <f>Prices!B162/Prices!B161-1</f>
        <v>5.6699323800299961E-3</v>
      </c>
      <c r="C162" s="11">
        <f>Prices!C162/Prices!C161-1</f>
        <v>4.1007544315849742E-3</v>
      </c>
      <c r="D162" s="11">
        <f>Prices!D162/Prices!D161-1</f>
        <v>4.2255434782607626E-3</v>
      </c>
      <c r="E162" s="11">
        <f>Prices!E162/Prices!E161-1</f>
        <v>1.7194416666084233E-3</v>
      </c>
      <c r="F162" s="11">
        <f>Prices!F162/Prices!F161-1</f>
        <v>1.7822882764443992E-2</v>
      </c>
      <c r="G162" s="11">
        <f>Prices!G162/Prices!G161-1</f>
        <v>1.2213671972171491E-2</v>
      </c>
      <c r="H162" s="11">
        <f>Prices!H162/Prices!H161-1</f>
        <v>-3.1859883236030617E-3</v>
      </c>
    </row>
    <row r="163" spans="1:8" x14ac:dyDescent="0.25">
      <c r="A163" s="10">
        <f>Prices!A163</f>
        <v>46190</v>
      </c>
      <c r="B163" s="11">
        <f>Prices!B163/Prices!B162-1</f>
        <v>4.0247361828158468E-3</v>
      </c>
      <c r="C163" s="11">
        <f>Prices!C163/Prices!C162-1</f>
        <v>5.1988566722300789E-3</v>
      </c>
      <c r="D163" s="11">
        <f>Prices!D163/Prices!D162-1</f>
        <v>7.8716293921068381E-3</v>
      </c>
      <c r="E163" s="11">
        <f>Prices!E163/Prices!E162-1</f>
        <v>5.0246827285476137E-3</v>
      </c>
      <c r="F163" s="11">
        <f>Prices!F163/Prices!F162-1</f>
        <v>8.4517346270840399E-3</v>
      </c>
      <c r="G163" s="11">
        <f>Prices!G163/Prices!G162-1</f>
        <v>-1.7394404783007689E-3</v>
      </c>
      <c r="H163" s="11">
        <f>Prices!H163/Prices!H162-1</f>
        <v>-6.2157071645181361E-3</v>
      </c>
    </row>
    <row r="164" spans="1:8" x14ac:dyDescent="0.25">
      <c r="A164" s="10">
        <f>Prices!A164</f>
        <v>46191</v>
      </c>
      <c r="B164" s="11">
        <f>Prices!B164/Prices!B163-1</f>
        <v>3.4169652532414219E-3</v>
      </c>
      <c r="C164" s="11">
        <f>Prices!C164/Prices!C163-1</f>
        <v>4.1192240920684409E-3</v>
      </c>
      <c r="D164" s="11">
        <f>Prices!D164/Prices!D163-1</f>
        <v>4.424588685080888E-3</v>
      </c>
      <c r="E164" s="11">
        <f>Prices!E164/Prices!E163-1</f>
        <v>6.5772279437110726E-3</v>
      </c>
      <c r="F164" s="11">
        <f>Prices!F164/Prices!F163-1</f>
        <v>-1.1909245371760302E-2</v>
      </c>
      <c r="G164" s="11">
        <f>Prices!G164/Prices!G163-1</f>
        <v>1.9866393709748742E-3</v>
      </c>
      <c r="H164" s="11">
        <f>Prices!H164/Prices!H163-1</f>
        <v>8.2321773360671813E-4</v>
      </c>
    </row>
    <row r="165" spans="1:8" x14ac:dyDescent="0.25">
      <c r="A165" s="10">
        <f>Prices!A165</f>
        <v>46192</v>
      </c>
      <c r="B165" s="11">
        <f>Prices!B165/Prices!B164-1</f>
        <v>-6.4093015557763477E-3</v>
      </c>
      <c r="C165" s="11">
        <f>Prices!C165/Prices!C164-1</f>
        <v>2.2130756621794312E-3</v>
      </c>
      <c r="D165" s="11">
        <f>Prices!D165/Prices!D164-1</f>
        <v>4.2153151997263993E-3</v>
      </c>
      <c r="E165" s="11">
        <f>Prices!E165/Prices!E164-1</f>
        <v>-4.7969594816075212E-3</v>
      </c>
      <c r="F165" s="11">
        <f>Prices!F165/Prices!F164-1</f>
        <v>-3.6520184287117008E-2</v>
      </c>
      <c r="G165" s="11">
        <f>Prices!G165/Prices!G164-1</f>
        <v>-1.9293316819221085E-3</v>
      </c>
      <c r="H165" s="11">
        <f>Prices!H165/Prices!H164-1</f>
        <v>-6.0961475189185155E-3</v>
      </c>
    </row>
    <row r="166" spans="1:8" x14ac:dyDescent="0.25">
      <c r="A166" s="10">
        <f>Prices!A166</f>
        <v>46195</v>
      </c>
      <c r="B166" s="11">
        <f>Prices!B166/Prices!B165-1</f>
        <v>3.7396254544395102E-3</v>
      </c>
      <c r="C166" s="11">
        <f>Prices!C166/Prices!C165-1</f>
        <v>3.3878622397318647E-3</v>
      </c>
      <c r="D166" s="11">
        <f>Prices!D166/Prices!D165-1</f>
        <v>5.9916579937129288E-3</v>
      </c>
      <c r="E166" s="11">
        <f>Prices!E166/Prices!E165-1</f>
        <v>4.3312256493155399E-3</v>
      </c>
      <c r="F166" s="11">
        <f>Prices!F166/Prices!F165-1</f>
        <v>7.3541073801768331E-3</v>
      </c>
      <c r="G166" s="11">
        <f>Prices!G166/Prices!G165-1</f>
        <v>-4.1082594983322673E-3</v>
      </c>
      <c r="H166" s="11">
        <f>Prices!H166/Prices!H165-1</f>
        <v>4.5178655060404971E-3</v>
      </c>
    </row>
    <row r="167" spans="1:8" x14ac:dyDescent="0.25">
      <c r="A167" s="10">
        <f>Prices!A167</f>
        <v>46196</v>
      </c>
      <c r="B167" s="11">
        <f>Prices!B167/Prices!B166-1</f>
        <v>-1.1567072841857318E-2</v>
      </c>
      <c r="C167" s="11">
        <f>Prices!C167/Prices!C166-1</f>
        <v>-1.0501505680776568E-2</v>
      </c>
      <c r="D167" s="11">
        <f>Prices!D167/Prices!D166-1</f>
        <v>-4.8208710377307673E-3</v>
      </c>
      <c r="E167" s="11">
        <f>Prices!E167/Prices!E166-1</f>
        <v>-1.2977340357224199E-2</v>
      </c>
      <c r="F167" s="11">
        <f>Prices!F167/Prices!F166-1</f>
        <v>-2.231387459711065E-2</v>
      </c>
      <c r="G167" s="11">
        <f>Prices!G167/Prices!G166-1</f>
        <v>-5.9983669367501546E-3</v>
      </c>
      <c r="H167" s="11">
        <f>Prices!H167/Prices!H166-1</f>
        <v>-7.7499349335011791E-3</v>
      </c>
    </row>
    <row r="168" spans="1:8" x14ac:dyDescent="0.25">
      <c r="A168" s="10">
        <f>Prices!A168</f>
        <v>46197</v>
      </c>
      <c r="B168" s="11">
        <f>Prices!B168/Prices!B167-1</f>
        <v>8.2920236231380784E-3</v>
      </c>
      <c r="C168" s="11">
        <f>Prices!C168/Prices!C167-1</f>
        <v>1.0455877886945686E-3</v>
      </c>
      <c r="D168" s="11">
        <f>Prices!D168/Prices!D167-1</f>
        <v>3.9030304319387366E-3</v>
      </c>
      <c r="E168" s="11">
        <f>Prices!E168/Prices!E167-1</f>
        <v>1.6903403501868919E-2</v>
      </c>
      <c r="F168" s="11">
        <f>Prices!F168/Prices!F167-1</f>
        <v>2.0533428599458503E-2</v>
      </c>
      <c r="G168" s="11">
        <f>Prices!G168/Prices!G167-1</f>
        <v>5.3099275261137002E-4</v>
      </c>
      <c r="H168" s="11">
        <f>Prices!H168/Prices!H167-1</f>
        <v>-4.232634498896104E-3</v>
      </c>
    </row>
    <row r="169" spans="1:8" x14ac:dyDescent="0.25">
      <c r="A169" s="10">
        <f>Prices!A169</f>
        <v>46198</v>
      </c>
      <c r="B169" s="11">
        <f>Prices!B169/Prices!B168-1</f>
        <v>1.4299600568652426E-3</v>
      </c>
      <c r="C169" s="11">
        <f>Prices!C169/Prices!C168-1</f>
        <v>-5.4679107270028116E-3</v>
      </c>
      <c r="D169" s="11">
        <f>Prices!D169/Prices!D168-1</f>
        <v>-4.7115094309641004E-3</v>
      </c>
      <c r="E169" s="11">
        <f>Prices!E169/Prices!E168-1</f>
        <v>4.5915458806367049E-4</v>
      </c>
      <c r="F169" s="11">
        <f>Prices!F169/Prices!F168-1</f>
        <v>-8.5556123874095391E-3</v>
      </c>
      <c r="G169" s="11">
        <f>Prices!G169/Prices!G168-1</f>
        <v>6.8075648210963458E-3</v>
      </c>
      <c r="H169" s="11">
        <f>Prices!H169/Prices!H168-1</f>
        <v>2.2490605226204163E-2</v>
      </c>
    </row>
    <row r="170" spans="1:8" x14ac:dyDescent="0.25">
      <c r="A170" s="10">
        <f>Prices!A170</f>
        <v>46202</v>
      </c>
      <c r="B170" s="11">
        <f>Prices!B170/Prices!B169-1</f>
        <v>-4.5622713668107551E-3</v>
      </c>
      <c r="C170" s="11">
        <f>Prices!C170/Prices!C169-1</f>
        <v>-3.6928255293670054E-3</v>
      </c>
      <c r="D170" s="11">
        <f>Prices!D170/Prices!D169-1</f>
        <v>-6.2399050576492643E-3</v>
      </c>
      <c r="E170" s="11">
        <f>Prices!E170/Prices!E169-1</f>
        <v>-7.7298522355465638E-3</v>
      </c>
      <c r="F170" s="11">
        <f>Prices!F170/Prices!F169-1</f>
        <v>-1.0696703541968056E-2</v>
      </c>
      <c r="G170" s="11">
        <f>Prices!G170/Prices!G169-1</f>
        <v>-5.900534710664318E-3</v>
      </c>
      <c r="H170" s="11">
        <f>Prices!H170/Prices!H169-1</f>
        <v>-2.0763406881596946E-2</v>
      </c>
    </row>
    <row r="171" spans="1:8" x14ac:dyDescent="0.25">
      <c r="A171" s="10">
        <f>Prices!A171</f>
        <v>46203</v>
      </c>
      <c r="B171" s="11">
        <f>Prices!B171/Prices!B170-1</f>
        <v>-3.3616954637991636E-3</v>
      </c>
      <c r="C171" s="11">
        <f>Prices!C171/Prices!C170-1</f>
        <v>3.7422462898324405E-3</v>
      </c>
      <c r="D171" s="11">
        <f>Prices!D171/Prices!D170-1</f>
        <v>1.0175064665213673E-2</v>
      </c>
      <c r="E171" s="11">
        <f>Prices!E171/Prices!E170-1</f>
        <v>-3.1951925733642028E-3</v>
      </c>
      <c r="F171" s="11">
        <f>Prices!F171/Prices!F170-1</f>
        <v>-2.7348040756698833E-2</v>
      </c>
      <c r="G171" s="11">
        <f>Prices!G171/Prices!G170-1</f>
        <v>-6.787420118813059E-3</v>
      </c>
      <c r="H171" s="11">
        <f>Prices!H171/Prices!H170-1</f>
        <v>2.3544909454302765E-3</v>
      </c>
    </row>
    <row r="172" spans="1:8" x14ac:dyDescent="0.25">
      <c r="A172" s="10">
        <f>Prices!A172</f>
        <v>46204</v>
      </c>
      <c r="B172" s="11">
        <f>Prices!B172/Prices!B171-1</f>
        <v>5.8703371987052222E-3</v>
      </c>
      <c r="C172" s="11">
        <f>Prices!C172/Prices!C171-1</f>
        <v>3.4159847372960961E-3</v>
      </c>
      <c r="D172" s="11">
        <f>Prices!D172/Prices!D171-1</f>
        <v>3.6022711007204222E-3</v>
      </c>
      <c r="E172" s="11">
        <f>Prices!E172/Prices!E171-1</f>
        <v>8.51799266286557E-3</v>
      </c>
      <c r="F172" s="11">
        <f>Prices!F172/Prices!F171-1</f>
        <v>-2.01243010679093E-2</v>
      </c>
      <c r="G172" s="11">
        <f>Prices!G172/Prices!G171-1</f>
        <v>2.0752466481672061E-2</v>
      </c>
      <c r="H172" s="11">
        <f>Prices!H172/Prices!H171-1</f>
        <v>1.1457790466695483E-2</v>
      </c>
    </row>
    <row r="173" spans="1:8" x14ac:dyDescent="0.25">
      <c r="A173" s="10">
        <f>Prices!A173</f>
        <v>46205</v>
      </c>
      <c r="B173" s="11">
        <f>Prices!B173/Prices!B172-1</f>
        <v>7.0753587146468178E-3</v>
      </c>
      <c r="C173" s="11">
        <f>Prices!C173/Prices!C172-1</f>
        <v>4.8235089213144455E-3</v>
      </c>
      <c r="D173" s="11">
        <f>Prices!D173/Prices!D172-1</f>
        <v>1.2505909603534926E-2</v>
      </c>
      <c r="E173" s="11">
        <f>Prices!E173/Prices!E172-1</f>
        <v>-2.412418440878028E-5</v>
      </c>
      <c r="F173" s="11">
        <f>Prices!F173/Prices!F172-1</f>
        <v>4.6381811267452555E-2</v>
      </c>
      <c r="G173" s="11">
        <f>Prices!G173/Prices!G172-1</f>
        <v>5.5795594175893637E-3</v>
      </c>
      <c r="H173" s="11">
        <f>Prices!H173/Prices!H172-1</f>
        <v>1.2134472355805226E-2</v>
      </c>
    </row>
    <row r="174" spans="1:8" x14ac:dyDescent="0.25">
      <c r="A174" s="10">
        <f>Prices!A174</f>
        <v>46206</v>
      </c>
      <c r="B174" s="11">
        <f>Prices!B174/Prices!B173-1</f>
        <v>3.9357702155469187E-3</v>
      </c>
      <c r="C174" s="11">
        <f>Prices!C174/Prices!C173-1</f>
        <v>-1.8874011160703308E-3</v>
      </c>
      <c r="D174" s="11">
        <f>Prices!D174/Prices!D173-1</f>
        <v>3.8084704556595739E-4</v>
      </c>
      <c r="E174" s="11">
        <f>Prices!E174/Prices!E173-1</f>
        <v>-1.6051585643351851E-3</v>
      </c>
      <c r="F174" s="11">
        <f>Prices!F174/Prices!F173-1</f>
        <v>1.7591289465437754E-2</v>
      </c>
      <c r="G174" s="11">
        <f>Prices!G174/Prices!G173-1</f>
        <v>2.3360427435936693E-4</v>
      </c>
      <c r="H174" s="11">
        <f>Prices!H174/Prices!H173-1</f>
        <v>-4.4303937553951123E-3</v>
      </c>
    </row>
    <row r="175" spans="1:8" x14ac:dyDescent="0.25">
      <c r="A175" s="10">
        <f>Prices!A175</f>
        <v>46209</v>
      </c>
      <c r="B175" s="11">
        <f>Prices!B175/Prices!B174-1</f>
        <v>6.5716693070081433E-3</v>
      </c>
      <c r="C175" s="11">
        <f>Prices!C175/Prices!C174-1</f>
        <v>4.521605459372191E-3</v>
      </c>
      <c r="D175" s="11">
        <f>Prices!D175/Prices!D174-1</f>
        <v>7.5097391930158963E-3</v>
      </c>
      <c r="E175" s="11">
        <f>Prices!E175/Prices!E174-1</f>
        <v>6.0926672247296754E-3</v>
      </c>
      <c r="F175" s="11">
        <f>Prices!F175/Prices!F174-1</f>
        <v>-5.9385409301953018E-3</v>
      </c>
      <c r="G175" s="11">
        <f>Prices!G175/Prices!G174-1</f>
        <v>1.9951533443520741E-3</v>
      </c>
      <c r="H175" s="11">
        <f>Prices!H175/Prices!H174-1</f>
        <v>1.3555974670317772E-2</v>
      </c>
    </row>
    <row r="176" spans="1:8" x14ac:dyDescent="0.25">
      <c r="A176" s="10">
        <f>Prices!A176</f>
        <v>46210</v>
      </c>
      <c r="B176" s="11">
        <f>Prices!B176/Prices!B175-1</f>
        <v>-1.2955197121612416E-3</v>
      </c>
      <c r="C176" s="11">
        <f>Prices!C176/Prices!C175-1</f>
        <v>-2.9805591349655325E-3</v>
      </c>
      <c r="D176" s="11">
        <f>Prices!D176/Prices!D175-1</f>
        <v>-5.47126936554998E-3</v>
      </c>
      <c r="E176" s="11">
        <f>Prices!E176/Prices!E175-1</f>
        <v>-1.5576885137628116E-3</v>
      </c>
      <c r="F176" s="11">
        <f>Prices!F176/Prices!F175-1</f>
        <v>2.4295683639183219E-2</v>
      </c>
      <c r="G176" s="11">
        <f>Prices!G176/Prices!G175-1</f>
        <v>5.8769213299370016E-4</v>
      </c>
      <c r="H176" s="11">
        <f>Prices!H176/Prices!H175-1</f>
        <v>-3.8202892086880436E-4</v>
      </c>
    </row>
    <row r="177" spans="1:8" x14ac:dyDescent="0.25">
      <c r="A177" s="10">
        <f>Prices!A177</f>
        <v>46211</v>
      </c>
      <c r="B177" s="11">
        <f>Prices!B177/Prices!B176-1</f>
        <v>-2.1175308520535951E-2</v>
      </c>
      <c r="C177" s="11">
        <f>Prices!C177/Prices!C176-1</f>
        <v>-1.5453887193286442E-2</v>
      </c>
      <c r="D177" s="11">
        <f>Prices!D177/Prices!D176-1</f>
        <v>-2.2385418509998312E-2</v>
      </c>
      <c r="E177" s="11">
        <f>Prices!E177/Prices!E176-1</f>
        <v>-2.5052963280510321E-2</v>
      </c>
      <c r="F177" s="11">
        <f>Prices!F177/Prices!F176-1</f>
        <v>-1.3742365104163934E-2</v>
      </c>
      <c r="G177" s="11">
        <f>Prices!G177/Prices!G176-1</f>
        <v>-2.4856722185886304E-2</v>
      </c>
      <c r="H177" s="11">
        <f>Prices!H177/Prices!H176-1</f>
        <v>-2.2312432570812057E-2</v>
      </c>
    </row>
    <row r="178" spans="1:8" x14ac:dyDescent="0.25">
      <c r="A178" s="10">
        <f>Prices!A178</f>
        <v>46212</v>
      </c>
      <c r="B178" s="11">
        <f>Prices!B178/Prices!B177-1</f>
        <v>3.3812005250806187E-3</v>
      </c>
      <c r="C178" s="11">
        <f>Prices!C178/Prices!C177-1</f>
        <v>1.376487518906111E-2</v>
      </c>
      <c r="D178" s="11">
        <f>Prices!D178/Prices!D177-1</f>
        <v>1.7970750613576891E-2</v>
      </c>
      <c r="E178" s="11">
        <f>Prices!E178/Prices!E177-1</f>
        <v>8.9853126222625423E-3</v>
      </c>
      <c r="F178" s="11">
        <f>Prices!F178/Prices!F177-1</f>
        <v>-3.0466118917663598E-3</v>
      </c>
      <c r="G178" s="11">
        <f>Prices!G178/Prices!G177-1</f>
        <v>7.61065307672526E-3</v>
      </c>
      <c r="H178" s="11">
        <f>Prices!H178/Prices!H177-1</f>
        <v>-2.134034578467503E-3</v>
      </c>
    </row>
    <row r="179" spans="1:8" x14ac:dyDescent="0.25">
      <c r="A179" s="10">
        <f>Prices!A179</f>
        <v>46213</v>
      </c>
      <c r="B179" s="11">
        <f>Prices!B179/Prices!B178-1</f>
        <v>1.0186622598360895E-2</v>
      </c>
      <c r="C179" s="11">
        <f>Prices!C179/Prices!C178-1</f>
        <v>1.399379251160382E-2</v>
      </c>
      <c r="D179" s="11">
        <f>Prices!D179/Prices!D178-1</f>
        <v>1.5462178721134423E-2</v>
      </c>
      <c r="E179" s="11">
        <f>Prices!E179/Prices!E178-1</f>
        <v>1.3858795562460724E-2</v>
      </c>
      <c r="F179" s="11">
        <f>Prices!F179/Prices!F178-1</f>
        <v>1.9624152523092242E-2</v>
      </c>
      <c r="G179" s="11">
        <f>Prices!G179/Prices!G178-1</f>
        <v>-8.0141600380145839E-4</v>
      </c>
      <c r="H179" s="11">
        <f>Prices!H179/Prices!H178-1</f>
        <v>6.9124899021042463E-3</v>
      </c>
    </row>
    <row r="180" spans="1:8" x14ac:dyDescent="0.25">
      <c r="A180" s="10">
        <f>Prices!A180</f>
        <v>46216</v>
      </c>
      <c r="B180" s="11">
        <f>Prices!B180/Prices!B179-1</f>
        <v>1.6937319524590322E-4</v>
      </c>
      <c r="C180" s="11">
        <f>Prices!C180/Prices!C179-1</f>
        <v>6.5834560129873765E-5</v>
      </c>
      <c r="D180" s="11">
        <f>Prices!D180/Prices!D179-1</f>
        <v>3.3219169263265513E-4</v>
      </c>
      <c r="E180" s="11">
        <f>Prices!E180/Prices!E179-1</f>
        <v>1.4738336385515804E-3</v>
      </c>
      <c r="F180" s="11">
        <f>Prices!F180/Prices!F179-1</f>
        <v>3.5897445051561228E-2</v>
      </c>
      <c r="G180" s="11">
        <f>Prices!G180/Prices!G179-1</f>
        <v>-1.015400339886352E-2</v>
      </c>
      <c r="H180" s="11">
        <f>Prices!H180/Prices!H179-1</f>
        <v>4.4954068668967562E-3</v>
      </c>
    </row>
    <row r="181" spans="1:8" x14ac:dyDescent="0.25">
      <c r="A181" s="10">
        <f>Prices!A181</f>
        <v>46217</v>
      </c>
      <c r="B181" s="11">
        <f>Prices!B181/Prices!B180-1</f>
        <v>-6.5651976374375698E-3</v>
      </c>
      <c r="C181" s="11">
        <f>Prices!C181/Prices!C180-1</f>
        <v>-4.3551056892384699E-3</v>
      </c>
      <c r="D181" s="11">
        <f>Prices!D181/Prices!D180-1</f>
        <v>-1.0070560857130428E-2</v>
      </c>
      <c r="E181" s="11">
        <f>Prices!E181/Prices!E180-1</f>
        <v>-1.1510980716978425E-2</v>
      </c>
      <c r="F181" s="11">
        <f>Prices!F181/Prices!F180-1</f>
        <v>-1.0032447782849618E-2</v>
      </c>
      <c r="G181" s="11">
        <f>Prices!G181/Prices!G180-1</f>
        <v>-5.8379550050298157E-3</v>
      </c>
      <c r="H181" s="11">
        <f>Prices!H181/Prices!H180-1</f>
        <v>-1.6085095343105427E-2</v>
      </c>
    </row>
    <row r="182" spans="1:8" x14ac:dyDescent="0.25">
      <c r="A182" s="10">
        <f>Prices!A182</f>
        <v>46218</v>
      </c>
      <c r="B182" s="11">
        <f>Prices!B182/Prices!B181-1</f>
        <v>1.0996983625095602E-3</v>
      </c>
      <c r="C182" s="11">
        <f>Prices!C182/Prices!C181-1</f>
        <v>2.8167936985392661E-3</v>
      </c>
      <c r="D182" s="11">
        <f>Prices!D182/Prices!D181-1</f>
        <v>6.6571836472524293E-3</v>
      </c>
      <c r="E182" s="11">
        <f>Prices!E182/Prices!E181-1</f>
        <v>5.1433722632054923E-3</v>
      </c>
      <c r="F182" s="11">
        <f>Prices!F182/Prices!F181-1</f>
        <v>-6.7015378723922492E-3</v>
      </c>
      <c r="G182" s="11">
        <f>Prices!G182/Prices!G181-1</f>
        <v>-4.9139669386573104E-3</v>
      </c>
      <c r="H182" s="11">
        <f>Prices!H182/Prices!H181-1</f>
        <v>3.6764290422826029E-3</v>
      </c>
    </row>
    <row r="183" spans="1:8" x14ac:dyDescent="0.25">
      <c r="A183" s="10">
        <f>Prices!A183</f>
        <v>46219</v>
      </c>
      <c r="B183" s="11">
        <f>Prices!B183/Prices!B182-1</f>
        <v>-2.3880225097083763E-4</v>
      </c>
      <c r="C183" s="11">
        <f>Prices!C183/Prices!C182-1</f>
        <v>-4.074308265229587E-3</v>
      </c>
      <c r="D183" s="11">
        <f>Prices!D183/Prices!D182-1</f>
        <v>-9.8680726517463846E-4</v>
      </c>
      <c r="E183" s="11">
        <f>Prices!E183/Prices!E182-1</f>
        <v>-3.0402793732799971E-3</v>
      </c>
      <c r="F183" s="11">
        <f>Prices!F183/Prices!F182-1</f>
        <v>6.67139815471951E-3</v>
      </c>
      <c r="G183" s="11">
        <f>Prices!G183/Prices!G182-1</f>
        <v>2.5162312447577495E-3</v>
      </c>
      <c r="H183" s="11">
        <f>Prices!H183/Prices!H182-1</f>
        <v>4.59559168477508E-3</v>
      </c>
    </row>
    <row r="184" spans="1:8" x14ac:dyDescent="0.25">
      <c r="A184" s="10">
        <f>Prices!A184</f>
        <v>46220</v>
      </c>
      <c r="B184" s="11">
        <f>Prices!B184/Prices!B183-1</f>
        <v>1.0864982189404904E-2</v>
      </c>
      <c r="C184" s="11">
        <f>Prices!C184/Prices!C183-1</f>
        <v>-4.1268689156799265E-3</v>
      </c>
      <c r="D184" s="11">
        <f>Prices!D184/Prices!D183-1</f>
        <v>-2.0660676191092131E-3</v>
      </c>
      <c r="E184" s="11">
        <f>Prices!E184/Prices!E183-1</f>
        <v>1.6309713496780676E-2</v>
      </c>
      <c r="F184" s="11">
        <f>Prices!F184/Prices!F183-1</f>
        <v>1.7547157987090278E-2</v>
      </c>
      <c r="G184" s="11">
        <f>Prices!G184/Prices!G183-1</f>
        <v>7.0380928772102447E-3</v>
      </c>
      <c r="H184" s="11">
        <f>Prices!H184/Prices!H183-1</f>
        <v>1.2410549340526211E-2</v>
      </c>
    </row>
    <row r="185" spans="1:8" x14ac:dyDescent="0.25">
      <c r="A185" s="10">
        <f>Prices!A185</f>
        <v>46223</v>
      </c>
      <c r="B185" s="11">
        <f>Prices!B185/Prices!B184-1</f>
        <v>-3.9368299067571444E-3</v>
      </c>
      <c r="C185" s="11">
        <f>Prices!C185/Prices!C184-1</f>
        <v>5.9860911881757239E-3</v>
      </c>
      <c r="D185" s="11">
        <f>Prices!D185/Prices!D184-1</f>
        <v>1.5624757077783435E-3</v>
      </c>
      <c r="E185" s="11">
        <f>Prices!E185/Prices!E184-1</f>
        <v>-9.8493884288483047E-3</v>
      </c>
      <c r="F185" s="11">
        <f>Prices!F185/Prices!F184-1</f>
        <v>-2.2154475717326427E-3</v>
      </c>
      <c r="G185" s="11">
        <f>Prices!G185/Prices!G184-1</f>
        <v>6.5386359020855878E-3</v>
      </c>
      <c r="H185" s="11">
        <f>Prices!H185/Prices!H184-1</f>
        <v>-2.6347106523123554E-3</v>
      </c>
    </row>
    <row r="186" spans="1:8" x14ac:dyDescent="0.25">
      <c r="A186" s="10">
        <f>Prices!A186</f>
        <v>46224</v>
      </c>
      <c r="B186" s="11">
        <f>Prices!B186/Prices!B185-1</f>
        <v>-2.0958392639808254E-3</v>
      </c>
      <c r="C186" s="11">
        <f>Prices!C186/Prices!C185-1</f>
        <v>2.9593124395419501E-3</v>
      </c>
      <c r="D186" s="11">
        <f>Prices!D186/Prices!D185-1</f>
        <v>5.2570441027710579E-3</v>
      </c>
      <c r="E186" s="11">
        <f>Prices!E186/Prices!E185-1</f>
        <v>-1.8923116748641444E-3</v>
      </c>
      <c r="F186" s="11">
        <f>Prices!F186/Prices!F185-1</f>
        <v>-6.0850048950940039E-3</v>
      </c>
      <c r="G186" s="11">
        <f>Prices!G186/Prices!G185-1</f>
        <v>-3.0621114404763006E-3</v>
      </c>
      <c r="H186" s="11">
        <f>Prices!H186/Prices!H185-1</f>
        <v>9.3327931597748659E-3</v>
      </c>
    </row>
    <row r="187" spans="1:8" x14ac:dyDescent="0.25">
      <c r="A187" s="10">
        <f>Prices!A187</f>
        <v>46225</v>
      </c>
      <c r="B187" s="11">
        <f>Prices!B187/Prices!B186-1</f>
        <v>-7.9151800295191865E-3</v>
      </c>
      <c r="C187" s="11">
        <f>Prices!C187/Prices!C186-1</f>
        <v>-1.0906908661387327E-2</v>
      </c>
      <c r="D187" s="11">
        <f>Prices!D187/Prices!D186-1</f>
        <v>-1.5379824532055442E-2</v>
      </c>
      <c r="E187" s="11">
        <f>Prices!E187/Prices!E186-1</f>
        <v>-1.2251157812652513E-2</v>
      </c>
      <c r="F187" s="11">
        <f>Prices!F187/Prices!F186-1</f>
        <v>-1.4992547715322879E-2</v>
      </c>
      <c r="G187" s="11">
        <f>Prices!G187/Prices!G186-1</f>
        <v>6.4721611212417152E-3</v>
      </c>
      <c r="H187" s="11">
        <f>Prices!H187/Prices!H186-1</f>
        <v>1.797980982823022E-3</v>
      </c>
    </row>
    <row r="188" spans="1:8" x14ac:dyDescent="0.25">
      <c r="A188" s="10">
        <f>Prices!A188</f>
        <v>46226</v>
      </c>
      <c r="B188" s="11">
        <f>Prices!B188/Prices!B187-1</f>
        <v>-5.2779080064594419E-3</v>
      </c>
      <c r="C188" s="11">
        <f>Prices!C188/Prices!C187-1</f>
        <v>-9.8811247403716163E-3</v>
      </c>
      <c r="D188" s="11">
        <f>Prices!D188/Prices!D187-1</f>
        <v>-1.0084033613445453E-2</v>
      </c>
      <c r="E188" s="11">
        <f>Prices!E188/Prices!E187-1</f>
        <v>-9.3616306182037201E-3</v>
      </c>
      <c r="F188" s="11">
        <f>Prices!F188/Prices!F187-1</f>
        <v>-5.7093119578555118E-4</v>
      </c>
      <c r="G188" s="11">
        <f>Prices!G188/Prices!G187-1</f>
        <v>-4.0744366674927424E-3</v>
      </c>
      <c r="H188" s="11">
        <f>Prices!H188/Prices!H187-1</f>
        <v>6.9942351987675178E-3</v>
      </c>
    </row>
    <row r="189" spans="1:8" x14ac:dyDescent="0.25">
      <c r="A189" s="10">
        <f>Prices!A189</f>
        <v>46227</v>
      </c>
      <c r="B189" s="11">
        <f>Prices!B189/Prices!B188-1</f>
        <v>-4.2795019606527429E-3</v>
      </c>
      <c r="C189" s="11">
        <f>Prices!C189/Prices!C188-1</f>
        <v>-1.0156439977304643E-3</v>
      </c>
      <c r="D189" s="11">
        <f>Prices!D189/Prices!D188-1</f>
        <v>-3.2424411251374963E-3</v>
      </c>
      <c r="E189" s="11">
        <f>Prices!E189/Prices!E188-1</f>
        <v>1.7935397229289496E-3</v>
      </c>
      <c r="F189" s="11">
        <f>Prices!F189/Prices!F188-1</f>
        <v>8.2148908915995467E-3</v>
      </c>
      <c r="G189" s="11">
        <f>Prices!G189/Prices!G188-1</f>
        <v>4.0992633562586533E-4</v>
      </c>
      <c r="H189" s="11">
        <f>Prices!H189/Prices!H188-1</f>
        <v>-1.1004403941745844E-2</v>
      </c>
    </row>
    <row r="190" spans="1:8" x14ac:dyDescent="0.25">
      <c r="A190" s="10">
        <f>Prices!A190</f>
        <v>46230</v>
      </c>
      <c r="B190" s="11">
        <f>Prices!B190/Prices!B189-1</f>
        <v>9.6139888797495132E-3</v>
      </c>
      <c r="C190" s="11">
        <f>Prices!C190/Prices!C189-1</f>
        <v>1.1056053526034004E-2</v>
      </c>
      <c r="D190" s="11">
        <f>Prices!D190/Prices!D189-1</f>
        <v>1.3120564557786762E-2</v>
      </c>
      <c r="E190" s="11">
        <f>Prices!E190/Prices!E189-1</f>
        <v>6.9443587007327334E-3</v>
      </c>
      <c r="F190" s="11">
        <f>Prices!F190/Prices!F189-1</f>
        <v>2.3427112463696664E-2</v>
      </c>
      <c r="G190" s="11">
        <f>Prices!G190/Prices!G189-1</f>
        <v>1.0427433016738874E-2</v>
      </c>
      <c r="H190" s="11">
        <f>Prices!H190/Prices!H189-1</f>
        <v>1.599863325489248E-2</v>
      </c>
    </row>
    <row r="191" spans="1:8" x14ac:dyDescent="0.25">
      <c r="A191" s="10">
        <f>Prices!A191</f>
        <v>46231</v>
      </c>
      <c r="B191" s="11">
        <f>Prices!B191/Prices!B190-1</f>
        <v>-4.4174121049600501E-4</v>
      </c>
      <c r="C191" s="11">
        <f>Prices!C191/Prices!C190-1</f>
        <v>7.680127889777566E-4</v>
      </c>
      <c r="D191" s="11">
        <f>Prices!D191/Prices!D190-1</f>
        <v>-2.1911246378629734E-3</v>
      </c>
      <c r="E191" s="11">
        <f>Prices!E191/Prices!E190-1</f>
        <v>-5.80865763253402E-3</v>
      </c>
      <c r="F191" s="11">
        <f>Prices!F191/Prices!F190-1</f>
        <v>3.3165318814342815E-2</v>
      </c>
      <c r="G191" s="11">
        <f>Prices!G191/Prices!G190-1</f>
        <v>-1.379204596810657E-2</v>
      </c>
      <c r="H191" s="11">
        <f>Prices!H191/Prices!H190-1</f>
        <v>6.8888454945865707E-3</v>
      </c>
    </row>
    <row r="192" spans="1:8" x14ac:dyDescent="0.25">
      <c r="A192" s="10">
        <f>Prices!A192</f>
        <v>46232</v>
      </c>
      <c r="B192" s="11">
        <f>Prices!B192/Prices!B191-1</f>
        <v>1.1042156983325224E-2</v>
      </c>
      <c r="C192" s="11">
        <f>Prices!C192/Prices!C191-1</f>
        <v>8.1914629158881258E-3</v>
      </c>
      <c r="D192" s="11">
        <f>Prices!D192/Prices!D191-1</f>
        <v>1.4760988852610124E-2</v>
      </c>
      <c r="E192" s="11">
        <f>Prices!E192/Prices!E191-1</f>
        <v>7.9340188457175387E-3</v>
      </c>
      <c r="F192" s="11">
        <f>Prices!F192/Prices!F191-1</f>
        <v>2.316858080730877E-2</v>
      </c>
      <c r="G192" s="11">
        <f>Prices!G192/Prices!G191-1</f>
        <v>1.6559536181599555E-2</v>
      </c>
      <c r="H192" s="11">
        <f>Prices!H192/Prices!H191-1</f>
        <v>-6.446654383904793E-4</v>
      </c>
    </row>
    <row r="193" spans="1:8" x14ac:dyDescent="0.25">
      <c r="A193" s="10">
        <f>Prices!A193</f>
        <v>46233</v>
      </c>
      <c r="B193" s="11">
        <f>Prices!B193/Prices!B192-1</f>
        <v>2.7608019727671795E-3</v>
      </c>
      <c r="C193" s="11">
        <f>Prices!C193/Prices!C192-1</f>
        <v>-3.5076695473038599E-3</v>
      </c>
      <c r="D193" s="11">
        <f>Prices!D193/Prices!D192-1</f>
        <v>-5.5726706727229347E-3</v>
      </c>
      <c r="E193" s="11">
        <f>Prices!E193/Prices!E192-1</f>
        <v>-1.0208737210672947E-3</v>
      </c>
      <c r="F193" s="11">
        <f>Prices!F193/Prices!F192-1</f>
        <v>2.2957224698054723E-3</v>
      </c>
      <c r="G193" s="11">
        <f>Prices!G193/Prices!G192-1</f>
        <v>-9.7805120279159663E-4</v>
      </c>
      <c r="H193" s="11">
        <f>Prices!H193/Prices!H192-1</f>
        <v>1.628515827851329E-2</v>
      </c>
    </row>
    <row r="194" spans="1:8" x14ac:dyDescent="0.25">
      <c r="A194" s="10">
        <f>Prices!A194</f>
        <v>46234</v>
      </c>
      <c r="B194" s="11">
        <f>Prices!B194/Prices!B193-1</f>
        <v>2.7326393101163582E-3</v>
      </c>
      <c r="C194" s="11">
        <f>Prices!C194/Prices!C193-1</f>
        <v>4.3668958801439395E-3</v>
      </c>
      <c r="D194" s="11">
        <f>Prices!D194/Prices!D193-1</f>
        <v>4.4249511151968068E-3</v>
      </c>
      <c r="E194" s="11">
        <f>Prices!E194/Prices!E193-1</f>
        <v>2.0534581565248011E-3</v>
      </c>
      <c r="F194" s="11">
        <f>Prices!F194/Prices!F193-1</f>
        <v>-1.5568424612632636E-2</v>
      </c>
      <c r="G194" s="11">
        <f>Prices!G194/Prices!G193-1</f>
        <v>-1.049211303723363E-2</v>
      </c>
      <c r="H194" s="11">
        <f>Prices!H194/Prices!H193-1</f>
        <v>1.644500709004193E-2</v>
      </c>
    </row>
    <row r="195" spans="1:8" x14ac:dyDescent="0.25">
      <c r="A195" s="10">
        <f>Prices!A195</f>
        <v>46237</v>
      </c>
      <c r="B195" s="11">
        <f>Prices!B195/Prices!B194-1</f>
        <v>1.6023064682819665E-2</v>
      </c>
      <c r="C195" s="11">
        <f>Prices!C195/Prices!C194-1</f>
        <v>1.2143310132829432E-2</v>
      </c>
      <c r="D195" s="11">
        <f>Prices!D195/Prices!D194-1</f>
        <v>1.2911298808406357E-2</v>
      </c>
      <c r="E195" s="11">
        <f>Prices!E195/Prices!E194-1</f>
        <v>1.7167599321398663E-2</v>
      </c>
      <c r="F195" s="11">
        <f>Prices!F195/Prices!F194-1</f>
        <v>3.2770630012797453E-2</v>
      </c>
      <c r="G195" s="11">
        <f>Prices!G195/Prices!G194-1</f>
        <v>1.7190133791519679E-2</v>
      </c>
      <c r="H195" s="11">
        <f>Prices!H195/Prices!H194-1</f>
        <v>1.4778659309807374E-2</v>
      </c>
    </row>
    <row r="196" spans="1:8" x14ac:dyDescent="0.25">
      <c r="A196" s="10">
        <f>Prices!A196</f>
        <v>46238</v>
      </c>
      <c r="B196" s="11">
        <f>Prices!B196/Prices!B195-1</f>
        <v>-6.4340869368659792E-3</v>
      </c>
      <c r="C196" s="11">
        <f>Prices!C196/Prices!C195-1</f>
        <v>-2.9475826524475446E-3</v>
      </c>
      <c r="D196" s="11">
        <f>Prices!D196/Prices!D195-1</f>
        <v>2.3431099041060222E-3</v>
      </c>
      <c r="E196" s="11">
        <f>Prices!E196/Prices!E195-1</f>
        <v>-5.8499912872470583E-3</v>
      </c>
      <c r="F196" s="11">
        <f>Prices!F196/Prices!F195-1</f>
        <v>-8.2326325663520938E-3</v>
      </c>
      <c r="G196" s="11">
        <f>Prices!G196/Prices!G195-1</f>
        <v>-8.7760379140848777E-3</v>
      </c>
      <c r="H196" s="11">
        <f>Prices!H196/Prices!H195-1</f>
        <v>-4.3762288323714316E-3</v>
      </c>
    </row>
    <row r="197" spans="1:8" x14ac:dyDescent="0.25">
      <c r="A197" s="10">
        <f>Prices!A197</f>
        <v>46239</v>
      </c>
      <c r="B197" s="11">
        <f>Prices!B197/Prices!B196-1</f>
        <v>3.9610154824920585E-4</v>
      </c>
      <c r="C197" s="11">
        <f>Prices!C197/Prices!C196-1</f>
        <v>1.7900005670041796E-3</v>
      </c>
      <c r="D197" s="11">
        <f>Prices!D197/Prices!D196-1</f>
        <v>7.5603824753951443E-3</v>
      </c>
      <c r="E197" s="11">
        <f>Prices!E197/Prices!E196-1</f>
        <v>-2.8882418766578155E-3</v>
      </c>
      <c r="F197" s="11">
        <f>Prices!F197/Prices!F196-1</f>
        <v>-1.5927945914927522E-3</v>
      </c>
      <c r="G197" s="11">
        <f>Prices!G197/Prices!G196-1</f>
        <v>-2.8994227402775463E-3</v>
      </c>
      <c r="H197" s="11">
        <f>Prices!H197/Prices!H196-1</f>
        <v>1.2749084923884269E-2</v>
      </c>
    </row>
    <row r="198" spans="1:8" x14ac:dyDescent="0.25">
      <c r="A198" s="10">
        <f>Prices!A198</f>
        <v>46240</v>
      </c>
      <c r="B198" s="11">
        <f>Prices!B198/Prices!B197-1</f>
        <v>4.6092025673449832E-4</v>
      </c>
      <c r="C198" s="11">
        <f>Prices!C198/Prices!C197-1</f>
        <v>-4.3777832804681172E-3</v>
      </c>
      <c r="D198" s="11">
        <f>Prices!D198/Prices!D197-1</f>
        <v>4.779186906392674E-3</v>
      </c>
      <c r="E198" s="11">
        <f>Prices!E198/Prices!E197-1</f>
        <v>5.6061704244636523E-3</v>
      </c>
      <c r="F198" s="11">
        <f>Prices!F198/Prices!F197-1</f>
        <v>-9.4844454775736553E-3</v>
      </c>
      <c r="G198" s="11">
        <f>Prices!G198/Prices!G197-1</f>
        <v>-2.7640811202123139E-4</v>
      </c>
      <c r="H198" s="11">
        <f>Prices!H198/Prices!H197-1</f>
        <v>-1.0137174001370153E-2</v>
      </c>
    </row>
    <row r="199" spans="1:8" x14ac:dyDescent="0.25">
      <c r="A199" s="10">
        <f>Prices!A199</f>
        <v>46241</v>
      </c>
      <c r="B199" s="11">
        <f>Prices!B199/Prices!B198-1</f>
        <v>-2.6526221789251458E-3</v>
      </c>
      <c r="C199" s="11">
        <f>Prices!C199/Prices!C198-1</f>
        <v>2.159433288907664E-3</v>
      </c>
      <c r="D199" s="11">
        <f>Prices!D199/Prices!D198-1</f>
        <v>-5.257001999673383E-4</v>
      </c>
      <c r="E199" s="11">
        <f>Prices!E199/Prices!E198-1</f>
        <v>-5.4629703781970962E-3</v>
      </c>
      <c r="F199" s="11">
        <f>Prices!F199/Prices!F198-1</f>
        <v>1.4193311944242559E-2</v>
      </c>
      <c r="G199" s="11">
        <f>Prices!G199/Prices!G198-1</f>
        <v>1.3236823688951294E-3</v>
      </c>
      <c r="H199" s="11">
        <f>Prices!H199/Prices!H198-1</f>
        <v>1.83592435098614E-2</v>
      </c>
    </row>
    <row r="200" spans="1:8" x14ac:dyDescent="0.25">
      <c r="A200" s="10">
        <f>Prices!A200</f>
        <v>46244</v>
      </c>
      <c r="B200" s="11">
        <f>Prices!B200/Prices!B199-1</f>
        <v>5.3519137670332562E-4</v>
      </c>
      <c r="C200" s="11">
        <f>Prices!C200/Prices!C199-1</f>
        <v>6.1791374733999316E-3</v>
      </c>
      <c r="D200" s="11">
        <f>Prices!D200/Prices!D199-1</f>
        <v>-2.7104158487601948E-3</v>
      </c>
      <c r="E200" s="11">
        <f>Prices!E200/Prices!E199-1</f>
        <v>-1.0303663688416842E-3</v>
      </c>
      <c r="F200" s="11">
        <f>Prices!F200/Prices!F199-1</f>
        <v>2.6547101690455044E-3</v>
      </c>
      <c r="G200" s="11">
        <f>Prices!G200/Prices!G199-1</f>
        <v>-1.448360682266836E-3</v>
      </c>
      <c r="H200" s="11">
        <f>Prices!H200/Prices!H199-1</f>
        <v>-9.3935826820790158E-4</v>
      </c>
    </row>
    <row r="201" spans="1:8" x14ac:dyDescent="0.25">
      <c r="A201" s="10">
        <f>Prices!A201</f>
        <v>46245</v>
      </c>
      <c r="B201" s="11">
        <f>Prices!B201/Prices!B200-1</f>
        <v>-4.5599134389312512E-3</v>
      </c>
      <c r="C201" s="11">
        <f>Prices!C201/Prices!C200-1</f>
        <v>-1.8557466287272284E-4</v>
      </c>
      <c r="D201" s="11">
        <f>Prices!D201/Prices!D200-1</f>
        <v>2.1802820739933448E-3</v>
      </c>
      <c r="E201" s="11">
        <f>Prices!E201/Prices!E200-1</f>
        <v>-4.1725208214336007E-3</v>
      </c>
      <c r="F201" s="11">
        <f>Prices!F201/Prices!F200-1</f>
        <v>6.0604240399981801E-3</v>
      </c>
      <c r="G201" s="11">
        <f>Prices!G201/Prices!G200-1</f>
        <v>-1.1663452422432719E-2</v>
      </c>
      <c r="H201" s="11">
        <f>Prices!H201/Prices!H200-1</f>
        <v>-5.4523878251386826E-3</v>
      </c>
    </row>
    <row r="202" spans="1:8" x14ac:dyDescent="0.25">
      <c r="A202" s="10">
        <f>Prices!A202</f>
        <v>46246</v>
      </c>
      <c r="B202" s="11">
        <f>Prices!B202/Prices!B201-1</f>
        <v>-1.4608711286915321E-3</v>
      </c>
      <c r="C202" s="11">
        <f>Prices!C202/Prices!C201-1</f>
        <v>2.8279936125406024E-3</v>
      </c>
      <c r="D202" s="11">
        <f>Prices!D202/Prices!D201-1</f>
        <v>-1.7877691410902452E-3</v>
      </c>
      <c r="E202" s="11">
        <f>Prices!E202/Prices!E201-1</f>
        <v>7.6523706943447678E-3</v>
      </c>
      <c r="F202" s="11">
        <f>Prices!F202/Prices!F201-1</f>
        <v>-1.5416449974311242E-2</v>
      </c>
      <c r="G202" s="11">
        <f>Prices!G202/Prices!G201-1</f>
        <v>-7.3481409818223486E-3</v>
      </c>
      <c r="H202" s="11">
        <f>Prices!H202/Prices!H201-1</f>
        <v>-3.2418432000217434E-3</v>
      </c>
    </row>
    <row r="203" spans="1:8" x14ac:dyDescent="0.25">
      <c r="A203" s="10">
        <f>Prices!A203</f>
        <v>46247</v>
      </c>
      <c r="B203" s="11">
        <f>Prices!B203/Prices!B202-1</f>
        <v>-1.6410248015731321E-3</v>
      </c>
      <c r="C203" s="11">
        <f>Prices!C203/Prices!C202-1</f>
        <v>1.5173902449692189E-3</v>
      </c>
      <c r="D203" s="11">
        <f>Prices!D203/Prices!D202-1</f>
        <v>2.6965464529944416E-3</v>
      </c>
      <c r="E203" s="11">
        <f>Prices!E203/Prices!E202-1</f>
        <v>-4.3292099882786816E-3</v>
      </c>
      <c r="F203" s="11">
        <f>Prices!F203/Prices!F202-1</f>
        <v>3.8729691646546271E-3</v>
      </c>
      <c r="G203" s="11">
        <f>Prices!G203/Prices!G202-1</f>
        <v>8.4236108888515737E-3</v>
      </c>
      <c r="H203" s="11">
        <f>Prices!H203/Prices!H202-1</f>
        <v>9.9104146197359633E-4</v>
      </c>
    </row>
    <row r="204" spans="1:8" x14ac:dyDescent="0.25">
      <c r="A204" s="10">
        <f>Prices!A204</f>
        <v>46248</v>
      </c>
      <c r="B204" s="11">
        <f>Prices!B204/Prices!B203-1</f>
        <v>-1.2235687627197844E-3</v>
      </c>
      <c r="C204" s="11">
        <f>Prices!C204/Prices!C203-1</f>
        <v>-5.2930722978468125E-3</v>
      </c>
      <c r="D204" s="11">
        <f>Prices!D204/Prices!D203-1</f>
        <v>-6.8704056834933969E-3</v>
      </c>
      <c r="E204" s="11">
        <f>Prices!E204/Prices!E203-1</f>
        <v>-2.5010735617525537E-3</v>
      </c>
      <c r="F204" s="11">
        <f>Prices!F204/Prices!F203-1</f>
        <v>-3.0568546348783698E-3</v>
      </c>
      <c r="G204" s="11">
        <f>Prices!G204/Prices!G203-1</f>
        <v>-4.550824881801363E-3</v>
      </c>
      <c r="H204" s="11">
        <f>Prices!H204/Prices!H203-1</f>
        <v>-6.2686805830808323E-3</v>
      </c>
    </row>
    <row r="205" spans="1:8" x14ac:dyDescent="0.25">
      <c r="A205" s="10">
        <f>Prices!A205</f>
        <v>46251</v>
      </c>
      <c r="B205" s="11">
        <f>Prices!B205/Prices!B204-1</f>
        <v>-3.2155462529753764E-3</v>
      </c>
      <c r="C205" s="11">
        <f>Prices!C205/Prices!C204-1</f>
        <v>5.4639111412835284E-4</v>
      </c>
      <c r="D205" s="11">
        <f>Prices!D205/Prices!D204-1</f>
        <v>3.5818233862163762E-3</v>
      </c>
      <c r="E205" s="11">
        <f>Prices!E205/Prices!E204-1</f>
        <v>1.1653977746117761E-4</v>
      </c>
      <c r="F205" s="11">
        <f>Prices!F205/Prices!F204-1</f>
        <v>-1.7537929220049264E-2</v>
      </c>
      <c r="G205" s="11">
        <f>Prices!G205/Prices!G204-1</f>
        <v>-1.0490578534836481E-2</v>
      </c>
      <c r="H205" s="11">
        <f>Prices!H205/Prices!H204-1</f>
        <v>-1.0202719127360149E-3</v>
      </c>
    </row>
    <row r="206" spans="1:8" x14ac:dyDescent="0.25">
      <c r="A206" s="10">
        <f>Prices!A206</f>
        <v>46252</v>
      </c>
      <c r="B206" s="11">
        <f>Prices!B206/Prices!B205-1</f>
        <v>-5.4657408188935053E-3</v>
      </c>
      <c r="C206" s="11">
        <f>Prices!C206/Prices!C205-1</f>
        <v>-4.3499381042668706E-3</v>
      </c>
      <c r="D206" s="11">
        <f>Prices!D206/Prices!D205-1</f>
        <v>-2.0192586796641265E-5</v>
      </c>
      <c r="E206" s="11">
        <f>Prices!E206/Prices!E205-1</f>
        <v>-4.0940696861445636E-3</v>
      </c>
      <c r="F206" s="11">
        <f>Prices!F206/Prices!F205-1</f>
        <v>-1.9292192237030825E-2</v>
      </c>
      <c r="G206" s="11">
        <f>Prices!G206/Prices!G205-1</f>
        <v>-7.6966971243144222E-3</v>
      </c>
      <c r="H206" s="11">
        <f>Prices!H206/Prices!H205-1</f>
        <v>2.9628385672817448E-3</v>
      </c>
    </row>
    <row r="207" spans="1:8" x14ac:dyDescent="0.25">
      <c r="A207" s="10">
        <f>Prices!A207</f>
        <v>46253</v>
      </c>
      <c r="B207" s="11">
        <f>Prices!B207/Prices!B206-1</f>
        <v>-3.1711992183781623E-3</v>
      </c>
      <c r="C207" s="11">
        <f>Prices!C207/Prices!C206-1</f>
        <v>-2.0562044967374904E-3</v>
      </c>
      <c r="D207" s="11">
        <f>Prices!D207/Prices!D206-1</f>
        <v>-5.13406886315948E-3</v>
      </c>
      <c r="E207" s="11">
        <f>Prices!E207/Prices!E206-1</f>
        <v>-3.9554751459947024E-4</v>
      </c>
      <c r="F207" s="11">
        <f>Prices!F207/Prices!F206-1</f>
        <v>7.2682861440847013E-3</v>
      </c>
      <c r="G207" s="11">
        <f>Prices!G207/Prices!G206-1</f>
        <v>-5.4656141850389917E-3</v>
      </c>
      <c r="H207" s="11">
        <f>Prices!H207/Prices!H206-1</f>
        <v>-2.7046375221897456E-3</v>
      </c>
    </row>
    <row r="208" spans="1:8" x14ac:dyDescent="0.25">
      <c r="A208" s="10">
        <f>Prices!A208</f>
        <v>46254</v>
      </c>
      <c r="B208" s="11">
        <f>Prices!B208/Prices!B207-1</f>
        <v>6.3771113409167857E-3</v>
      </c>
      <c r="C208" s="11">
        <f>Prices!C208/Prices!C207-1</f>
        <v>4.1445384114968675E-3</v>
      </c>
      <c r="D208" s="11">
        <f>Prices!D208/Prices!D207-1</f>
        <v>6.8147854966345012E-3</v>
      </c>
      <c r="E208" s="11">
        <f>Prices!E208/Prices!E207-1</f>
        <v>4.4750370153607832E-3</v>
      </c>
      <c r="F208" s="11">
        <f>Prices!F208/Prices!F207-1</f>
        <v>7.8861632337212662E-3</v>
      </c>
      <c r="G208" s="11">
        <f>Prices!G208/Prices!G207-1</f>
        <v>8.2013485304557321E-3</v>
      </c>
      <c r="H208" s="11">
        <f>Prices!H208/Prices!H207-1</f>
        <v>3.986582332262012E-3</v>
      </c>
    </row>
    <row r="209" spans="1:8" x14ac:dyDescent="0.25">
      <c r="A209" s="10">
        <f>Prices!A209</f>
        <v>46255</v>
      </c>
      <c r="B209" s="11">
        <f>Prices!B209/Prices!B208-1</f>
        <v>8.3155021180814082E-4</v>
      </c>
      <c r="C209" s="11">
        <f>Prices!C209/Prices!C208-1</f>
        <v>1.0082996251856713E-3</v>
      </c>
      <c r="D209" s="11">
        <f>Prices!D209/Prices!D208-1</f>
        <v>6.8694576253247597E-3</v>
      </c>
      <c r="E209" s="11">
        <f>Prices!E209/Prices!E208-1</f>
        <v>4.6272864673828629E-3</v>
      </c>
      <c r="F209" s="11">
        <f>Prices!F209/Prices!F208-1</f>
        <v>-4.5903488567324846E-3</v>
      </c>
      <c r="G209" s="11">
        <f>Prices!G209/Prices!G208-1</f>
        <v>-7.3605532428324683E-3</v>
      </c>
      <c r="H209" s="11">
        <f>Prices!H209/Prices!H208-1</f>
        <v>-6.0457139931915371E-3</v>
      </c>
    </row>
    <row r="210" spans="1:8" x14ac:dyDescent="0.25">
      <c r="A210" s="10">
        <f>Prices!A210</f>
        <v>46258</v>
      </c>
      <c r="B210" s="11">
        <f>Prices!B210/Prices!B209-1</f>
        <v>-1.3586508329209712E-3</v>
      </c>
      <c r="C210" s="11">
        <f>Prices!C210/Prices!C209-1</f>
        <v>1.2787172034534056E-3</v>
      </c>
      <c r="D210" s="11">
        <f>Prices!D210/Prices!D209-1</f>
        <v>-2.5528400345383728E-3</v>
      </c>
      <c r="E210" s="11">
        <f>Prices!E210/Prices!E209-1</f>
        <v>-4.0857346401913519E-3</v>
      </c>
      <c r="F210" s="11">
        <f>Prices!F210/Prices!F209-1</f>
        <v>2.1174332058724321E-3</v>
      </c>
      <c r="G210" s="11">
        <f>Prices!G210/Prices!G209-1</f>
        <v>3.5465508477527941E-4</v>
      </c>
      <c r="H210" s="11">
        <f>Prices!H210/Prices!H209-1</f>
        <v>-8.0001098727533471E-4</v>
      </c>
    </row>
    <row r="211" spans="1:8" x14ac:dyDescent="0.25">
      <c r="A211" s="10">
        <f>Prices!A211</f>
        <v>46259</v>
      </c>
      <c r="B211" s="11">
        <f>Prices!B211/Prices!B210-1</f>
        <v>4.7689731843321148E-3</v>
      </c>
      <c r="C211" s="11">
        <f>Prices!C211/Prices!C210-1</f>
        <v>5.4162471745491381E-3</v>
      </c>
      <c r="D211" s="11">
        <f>Prices!D211/Prices!D210-1</f>
        <v>-1.0112035329394864E-3</v>
      </c>
      <c r="E211" s="11">
        <f>Prices!E211/Prices!E210-1</f>
        <v>-2.0425564462644985E-4</v>
      </c>
      <c r="F211" s="11">
        <f>Prices!F211/Prices!F210-1</f>
        <v>5.7162653732893975E-3</v>
      </c>
      <c r="G211" s="11">
        <f>Prices!G211/Prices!G210-1</f>
        <v>3.7693728722978381E-3</v>
      </c>
      <c r="H211" s="11">
        <f>Prices!H211/Prices!H210-1</f>
        <v>3.9723311329735722E-3</v>
      </c>
    </row>
    <row r="212" spans="1:8" x14ac:dyDescent="0.25">
      <c r="A212" s="10">
        <f>Prices!A212</f>
        <v>46260</v>
      </c>
      <c r="B212" s="11">
        <f>Prices!B212/Prices!B211-1</f>
        <v>-5.2106983691910802E-3</v>
      </c>
      <c r="C212" s="11">
        <f>Prices!C212/Prices!C211-1</f>
        <v>-9.6161488960133656E-4</v>
      </c>
      <c r="D212" s="11">
        <f>Prices!D212/Prices!D211-1</f>
        <v>8.0726995066962015E-3</v>
      </c>
      <c r="E212" s="11">
        <f>Prices!E212/Prices!E211-1</f>
        <v>4.6866686835600468E-3</v>
      </c>
      <c r="F212" s="11">
        <f>Prices!F212/Prices!F211-1</f>
        <v>-1.4719645909566537E-2</v>
      </c>
      <c r="G212" s="11">
        <f>Prices!G212/Prices!G211-1</f>
        <v>-9.517481205568501E-3</v>
      </c>
      <c r="H212" s="11">
        <f>Prices!H212/Prices!H211-1</f>
        <v>-7.4186515338725556E-3</v>
      </c>
    </row>
    <row r="213" spans="1:8" x14ac:dyDescent="0.25">
      <c r="A213" s="10">
        <f>Prices!A213</f>
        <v>46261</v>
      </c>
      <c r="B213" s="11">
        <f>Prices!B213/Prices!B212-1</f>
        <v>-4.829032024868174E-3</v>
      </c>
      <c r="C213" s="11">
        <f>Prices!C213/Prices!C212-1</f>
        <v>-1.0257218273604929E-3</v>
      </c>
      <c r="D213" s="11">
        <f>Prices!D213/Prices!D212-1</f>
        <v>-1.328031175095723E-3</v>
      </c>
      <c r="E213" s="11">
        <f>Prices!E213/Prices!E212-1</f>
        <v>-4.7383563718174093E-3</v>
      </c>
      <c r="F213" s="11">
        <f>Prices!F213/Prices!F212-1</f>
        <v>-3.2224177368204154E-3</v>
      </c>
      <c r="G213" s="11">
        <f>Prices!G213/Prices!G212-1</f>
        <v>-4.7076475729532774E-3</v>
      </c>
      <c r="H213" s="11">
        <f>Prices!H213/Prices!H212-1</f>
        <v>-4.0223929876225251E-3</v>
      </c>
    </row>
    <row r="214" spans="1:8" x14ac:dyDescent="0.25">
      <c r="A214" s="10">
        <f>Prices!A214</f>
        <v>46262</v>
      </c>
      <c r="B214" s="11">
        <f>Prices!B214/Prices!B213-1</f>
        <v>3.5200086339834957E-3</v>
      </c>
      <c r="C214" s="11">
        <f>Prices!C214/Prices!C213-1</f>
        <v>5.3173671770867514E-4</v>
      </c>
      <c r="D214" s="11">
        <f>Prices!D214/Prices!D213-1</f>
        <v>1.9635091676166727E-3</v>
      </c>
      <c r="E214" s="11">
        <f>Prices!E214/Prices!E213-1</f>
        <v>-2.3735023243798281E-4</v>
      </c>
      <c r="F214" s="11">
        <f>Prices!F214/Prices!F213-1</f>
        <v>3.509297296760705E-2</v>
      </c>
      <c r="G214" s="11">
        <f>Prices!G214/Prices!G213-1</f>
        <v>-4.5810746016675674E-3</v>
      </c>
      <c r="H214" s="11">
        <f>Prices!H214/Prices!H213-1</f>
        <v>-1.0975124205861997E-3</v>
      </c>
    </row>
    <row r="215" spans="1:8" x14ac:dyDescent="0.25">
      <c r="A215" s="10">
        <f>Prices!A215</f>
        <v>46265</v>
      </c>
      <c r="B215" s="11">
        <f>Prices!B215/Prices!B214-1</f>
        <v>-3.9399147489312947E-3</v>
      </c>
      <c r="C215" s="11">
        <f>Prices!C215/Prices!C214-1</f>
        <v>2.4231498606981372E-3</v>
      </c>
      <c r="D215" s="11">
        <f>Prices!D215/Prices!D214-1</f>
        <v>-7.3879482071712577E-3</v>
      </c>
      <c r="E215" s="11">
        <f>Prices!E215/Prices!E214-1</f>
        <v>9.1945046898669336E-3</v>
      </c>
      <c r="F215" s="11">
        <f>Prices!F215/Prices!F214-1</f>
        <v>-2.8850733815617424E-3</v>
      </c>
      <c r="G215" s="11">
        <f>Prices!G215/Prices!G214-1</f>
        <v>-1.6863184876642068E-2</v>
      </c>
      <c r="H215" s="11">
        <f>Prices!H215/Prices!H214-1</f>
        <v>-3.5699679049483457E-4</v>
      </c>
    </row>
    <row r="216" spans="1:8" x14ac:dyDescent="0.25">
      <c r="A216" s="10">
        <f>Prices!A216</f>
        <v>46266</v>
      </c>
      <c r="B216" s="11">
        <f>Prices!B216/Prices!B215-1</f>
        <v>-1.0215777146559413E-3</v>
      </c>
      <c r="C216" s="11">
        <f>Prices!C216/Prices!C215-1</f>
        <v>-1.3861478635572744E-2</v>
      </c>
      <c r="D216" s="11">
        <f>Prices!D216/Prices!D215-1</f>
        <v>-2.2777843279407906E-3</v>
      </c>
      <c r="E216" s="11">
        <f>Prices!E216/Prices!E215-1</f>
        <v>-1.0604920814235919E-2</v>
      </c>
      <c r="F216" s="11">
        <f>Prices!F216/Prices!F215-1</f>
        <v>9.7863356785272693E-3</v>
      </c>
      <c r="G216" s="11">
        <f>Prices!G216/Prices!G215-1</f>
        <v>9.3774001614319591E-3</v>
      </c>
      <c r="H216" s="11">
        <f>Prices!H216/Prices!H215-1</f>
        <v>-1.2150893677513319E-2</v>
      </c>
    </row>
    <row r="217" spans="1:8" x14ac:dyDescent="0.25">
      <c r="A217" s="10">
        <f>Prices!A217</f>
        <v>46267</v>
      </c>
      <c r="B217" s="11">
        <f>Prices!B217/Prices!B216-1</f>
        <v>-5.8759218151130943E-3</v>
      </c>
      <c r="C217" s="11">
        <f>Prices!C217/Prices!C216-1</f>
        <v>-5.256218964387549E-3</v>
      </c>
      <c r="D217" s="11">
        <f>Prices!D217/Prices!D216-1</f>
        <v>-3.7211641209378143E-3</v>
      </c>
      <c r="E217" s="11">
        <f>Prices!E217/Prices!E216-1</f>
        <v>-4.1386806387782027E-3</v>
      </c>
      <c r="F217" s="11">
        <f>Prices!F217/Prices!F216-1</f>
        <v>-1.250289712890551E-2</v>
      </c>
      <c r="G217" s="11">
        <f>Prices!G217/Prices!G216-1</f>
        <v>-4.6623609067710792E-3</v>
      </c>
      <c r="H217" s="11">
        <f>Prices!H217/Prices!H216-1</f>
        <v>-1.7868769315276145E-2</v>
      </c>
    </row>
    <row r="218" spans="1:8" x14ac:dyDescent="0.25">
      <c r="A218" s="10">
        <f>Prices!A218</f>
        <v>46268</v>
      </c>
      <c r="B218" s="11">
        <f>Prices!B218/Prices!B217-1</f>
        <v>-1.7144446140304748E-3</v>
      </c>
      <c r="C218" s="11">
        <f>Prices!C218/Prices!C217-1</f>
        <v>3.7078423405119132E-3</v>
      </c>
      <c r="D218" s="11">
        <f>Prices!D218/Prices!D217-1</f>
        <v>1.2038006788729128E-2</v>
      </c>
      <c r="E218" s="11">
        <f>Prices!E218/Prices!E217-1</f>
        <v>3.6486391940109275E-3</v>
      </c>
      <c r="F218" s="11">
        <f>Prices!F218/Prices!F217-1</f>
        <v>-8.4895620665598193E-3</v>
      </c>
      <c r="G218" s="11">
        <f>Prices!G218/Prices!G217-1</f>
        <v>-6.161258895060806E-3</v>
      </c>
      <c r="H218" s="11">
        <f>Prices!H218/Prices!H217-1</f>
        <v>-5.1658301154851038E-3</v>
      </c>
    </row>
    <row r="219" spans="1:8" x14ac:dyDescent="0.25">
      <c r="A219" s="10">
        <f>Prices!A219</f>
        <v>46269</v>
      </c>
      <c r="B219" s="11">
        <f>Prices!B219/Prices!B218-1</f>
        <v>1.0157727517388082E-3</v>
      </c>
      <c r="C219" s="11">
        <f>Prices!C219/Prices!C218-1</f>
        <v>-2.4693525125245586E-3</v>
      </c>
      <c r="D219" s="11">
        <f>Prices!D219/Prices!D218-1</f>
        <v>2.229343042030818E-3</v>
      </c>
      <c r="E219" s="11">
        <f>Prices!E219/Prices!E218-1</f>
        <v>-1.908310474271202E-4</v>
      </c>
      <c r="F219" s="11">
        <f>Prices!F219/Prices!F218-1</f>
        <v>-4.6613281623666403E-3</v>
      </c>
      <c r="G219" s="11">
        <f>Prices!G219/Prices!G218-1</f>
        <v>-1.3687109202024095E-3</v>
      </c>
      <c r="H219" s="11">
        <f>Prices!H219/Prices!H218-1</f>
        <v>-4.5442462298921349E-3</v>
      </c>
    </row>
    <row r="220" spans="1:8" x14ac:dyDescent="0.25">
      <c r="A220" s="10">
        <f>Prices!A220</f>
        <v>46272</v>
      </c>
      <c r="B220" s="11">
        <f>Prices!B220/Prices!B219-1</f>
        <v>-4.9607284383015315E-3</v>
      </c>
      <c r="C220" s="11">
        <f>Prices!C220/Prices!C219-1</f>
        <v>-4.6433800128569125E-3</v>
      </c>
      <c r="D220" s="11">
        <f>Prices!D220/Prices!D219-1</f>
        <v>2.3637191503556032E-4</v>
      </c>
      <c r="E220" s="11">
        <f>Prices!E220/Prices!E219-1</f>
        <v>-4.904160998018936E-3</v>
      </c>
      <c r="F220" s="11">
        <f>Prices!F220/Prices!F219-1</f>
        <v>-2.2801684959488533E-2</v>
      </c>
      <c r="G220" s="11">
        <f>Prices!G220/Prices!G219-1</f>
        <v>-6.5500542024611308E-3</v>
      </c>
      <c r="H220" s="11">
        <f>Prices!H220/Prices!H219-1</f>
        <v>-4.3845562576461106E-4</v>
      </c>
    </row>
    <row r="221" spans="1:8" x14ac:dyDescent="0.25">
      <c r="A221" s="10">
        <f>Prices!A221</f>
        <v>46273</v>
      </c>
      <c r="B221" s="11">
        <f>Prices!B221/Prices!B220-1</f>
        <v>-6.0578279711429595E-3</v>
      </c>
      <c r="C221" s="11">
        <f>Prices!C221/Prices!C220-1</f>
        <v>2.064945851911526E-3</v>
      </c>
      <c r="D221" s="11">
        <f>Prices!D221/Prices!D220-1</f>
        <v>1.6691376205211217E-3</v>
      </c>
      <c r="E221" s="11">
        <f>Prices!E221/Prices!E220-1</f>
        <v>-5.4433220116906211E-3</v>
      </c>
      <c r="F221" s="11">
        <f>Prices!F221/Prices!F220-1</f>
        <v>-3.7255960953752609E-3</v>
      </c>
      <c r="G221" s="11">
        <f>Prices!G221/Prices!G220-1</f>
        <v>3.4589287848894035E-3</v>
      </c>
      <c r="H221" s="11">
        <f>Prices!H221/Prices!H220-1</f>
        <v>2.7654677557651386E-3</v>
      </c>
    </row>
    <row r="222" spans="1:8" x14ac:dyDescent="0.25">
      <c r="A222" s="10">
        <f>Prices!A222</f>
        <v>46274</v>
      </c>
      <c r="B222" s="11">
        <f>Prices!B222/Prices!B221-1</f>
        <v>-8.6143066879343921E-3</v>
      </c>
      <c r="C222" s="11">
        <f>Prices!C222/Prices!C221-1</f>
        <v>-5.1338455523095572E-3</v>
      </c>
      <c r="D222" s="11">
        <f>Prices!D222/Prices!D221-1</f>
        <v>-4.810330912025762E-3</v>
      </c>
      <c r="E222" s="11">
        <f>Prices!E222/Prices!E221-1</f>
        <v>-8.4892708473683909E-3</v>
      </c>
      <c r="F222" s="11">
        <f>Prices!F222/Prices!F221-1</f>
        <v>-3.2442706581736758E-2</v>
      </c>
      <c r="G222" s="11">
        <f>Prices!G222/Prices!G221-1</f>
        <v>-9.6306326687409793E-3</v>
      </c>
      <c r="H222" s="11">
        <f>Prices!H222/Prices!H221-1</f>
        <v>-4.3923838943523696E-3</v>
      </c>
    </row>
    <row r="223" spans="1:8" x14ac:dyDescent="0.25">
      <c r="A223" s="10">
        <f>Prices!A223</f>
        <v>46275</v>
      </c>
      <c r="B223" s="11">
        <f>Prices!B223/Prices!B222-1</f>
        <v>1.9759725156305308E-3</v>
      </c>
      <c r="C223" s="11">
        <f>Prices!C223/Prices!C222-1</f>
        <v>-3.7616147544127232E-3</v>
      </c>
      <c r="D223" s="11">
        <f>Prices!D223/Prices!D222-1</f>
        <v>-7.4612340232271812E-4</v>
      </c>
      <c r="E223" s="11">
        <f>Prices!E223/Prices!E222-1</f>
        <v>3.1334625916257242E-3</v>
      </c>
      <c r="F223" s="11">
        <f>Prices!F223/Prices!F222-1</f>
        <v>-7.9719305041336952E-4</v>
      </c>
      <c r="G223" s="11">
        <f>Prices!G223/Prices!G222-1</f>
        <v>-2.7290233230521377E-3</v>
      </c>
      <c r="H223" s="11">
        <f>Prices!H223/Prices!H222-1</f>
        <v>-4.0646070005984081E-3</v>
      </c>
    </row>
    <row r="224" spans="1:8" x14ac:dyDescent="0.25">
      <c r="A224" s="10">
        <f>Prices!A224</f>
        <v>46276</v>
      </c>
      <c r="B224" s="11">
        <f>Prices!B224/Prices!B223-1</f>
        <v>-3.3946962662600999E-3</v>
      </c>
      <c r="C224" s="11">
        <f>Prices!C224/Prices!C223-1</f>
        <v>-2.5682618007339952E-3</v>
      </c>
      <c r="D224" s="11">
        <f>Prices!D224/Prices!D223-1</f>
        <v>-5.7761606636717033E-3</v>
      </c>
      <c r="E224" s="11">
        <f>Prices!E224/Prices!E223-1</f>
        <v>2.3834841899386117E-3</v>
      </c>
      <c r="F224" s="11">
        <f>Prices!F224/Prices!F223-1</f>
        <v>1.0591570356062174E-3</v>
      </c>
      <c r="G224" s="11">
        <f>Prices!G224/Prices!G223-1</f>
        <v>-2.9179650154030901E-3</v>
      </c>
      <c r="H224" s="11">
        <f>Prices!H224/Prices!H223-1</f>
        <v>-8.5853973809908446E-3</v>
      </c>
    </row>
    <row r="225" spans="1:8" x14ac:dyDescent="0.25">
      <c r="A225" s="10">
        <f>Prices!A225</f>
        <v>46280</v>
      </c>
      <c r="B225" s="11">
        <f>Prices!B225/Prices!B224-1</f>
        <v>-1.1945414371252405E-2</v>
      </c>
      <c r="C225" s="11">
        <f>Prices!C225/Prices!C224-1</f>
        <v>-2.120593853099495E-2</v>
      </c>
      <c r="D225" s="11">
        <f>Prices!D225/Prices!D224-1</f>
        <v>-2.4306375368601807E-2</v>
      </c>
      <c r="E225" s="11">
        <f>Prices!E225/Prices!E224-1</f>
        <v>-1.4341096569213341E-2</v>
      </c>
      <c r="F225" s="11">
        <f>Prices!F225/Prices!F224-1</f>
        <v>2.1914492678457131E-2</v>
      </c>
      <c r="G225" s="11">
        <f>Prices!G225/Prices!G224-1</f>
        <v>-4.9674000499404514E-3</v>
      </c>
      <c r="H225" s="11">
        <f>Prices!H225/Prices!H224-1</f>
        <v>-2.0066289439469753E-2</v>
      </c>
    </row>
    <row r="226" spans="1:8" x14ac:dyDescent="0.25">
      <c r="A226" s="10">
        <f>Prices!A226</f>
        <v>46281</v>
      </c>
      <c r="B226" s="11">
        <f>Prices!B226/Prices!B225-1</f>
        <v>4.2822662271937428E-3</v>
      </c>
      <c r="C226" s="11">
        <f>Prices!C226/Prices!C225-1</f>
        <v>-6.6526222419427405E-5</v>
      </c>
      <c r="D226" s="11">
        <f>Prices!D226/Prices!D225-1</f>
        <v>-1.7582745740111205E-3</v>
      </c>
      <c r="E226" s="11">
        <f>Prices!E226/Prices!E225-1</f>
        <v>8.9201941042840183E-3</v>
      </c>
      <c r="F226" s="11">
        <f>Prices!F226/Prices!F225-1</f>
        <v>-1.5822881175288295E-2</v>
      </c>
      <c r="G226" s="11">
        <f>Prices!G226/Prices!G225-1</f>
        <v>1.6262565539332696E-2</v>
      </c>
      <c r="H226" s="11">
        <f>Prices!H226/Prices!H225-1</f>
        <v>5.1221007153376963E-3</v>
      </c>
    </row>
    <row r="227" spans="1:8" x14ac:dyDescent="0.25">
      <c r="A227" s="10">
        <f>Prices!A227</f>
        <v>46282</v>
      </c>
      <c r="B227" s="11">
        <f>Prices!B227/Prices!B226-1</f>
        <v>2.2827510164702414E-3</v>
      </c>
      <c r="C227" s="11">
        <f>Prices!C227/Prices!C226-1</f>
        <v>9.1648021657779744E-3</v>
      </c>
      <c r="D227" s="11">
        <f>Prices!D227/Prices!D226-1</f>
        <v>7.6025231711909225E-3</v>
      </c>
      <c r="E227" s="11">
        <f>Prices!E227/Prices!E226-1</f>
        <v>-4.2048267574070763E-3</v>
      </c>
      <c r="F227" s="11">
        <f>Prices!F227/Prices!F226-1</f>
        <v>2.3360429598127119E-3</v>
      </c>
      <c r="G227" s="11">
        <f>Prices!G227/Prices!G226-1</f>
        <v>3.0070897078515735E-4</v>
      </c>
      <c r="H227" s="11">
        <f>Prices!H227/Prices!H226-1</f>
        <v>9.8722189066935417E-3</v>
      </c>
    </row>
    <row r="228" spans="1:8" x14ac:dyDescent="0.25">
      <c r="A228" s="10">
        <f>Prices!A228</f>
        <v>46283</v>
      </c>
      <c r="B228" s="11">
        <f>Prices!B228/Prices!B227-1</f>
        <v>3.2573289902282365E-3</v>
      </c>
      <c r="C228" s="11">
        <f>Prices!C228/Prices!C227-1</f>
        <v>1.23575459735219E-2</v>
      </c>
      <c r="D228" s="11">
        <f>Prices!D228/Prices!D227-1</f>
        <v>1.7404034664741941E-2</v>
      </c>
      <c r="E228" s="11">
        <f>Prices!E228/Prices!E227-1</f>
        <v>5.4044411144262838E-3</v>
      </c>
      <c r="F228" s="11">
        <f>Prices!F228/Prices!F227-1</f>
        <v>-1.0325632125560813E-2</v>
      </c>
      <c r="G228" s="11">
        <f>Prices!G228/Prices!G227-1</f>
        <v>-2.3237596192455801E-3</v>
      </c>
      <c r="H228" s="11">
        <f>Prices!H228/Prices!H227-1</f>
        <v>-1.1101231076819928E-3</v>
      </c>
    </row>
    <row r="229" spans="1:8" x14ac:dyDescent="0.25">
      <c r="A229" s="10">
        <f>Prices!A229</f>
        <v>46286</v>
      </c>
      <c r="B229" s="11">
        <f>Prices!B229/Prices!B228-1</f>
        <v>2.9083713120652277E-3</v>
      </c>
      <c r="C229" s="11">
        <f>Prices!C229/Prices!C228-1</f>
        <v>-2.8645508813539555E-3</v>
      </c>
      <c r="D229" s="11">
        <f>Prices!D229/Prices!D228-1</f>
        <v>-7.1444024612976609E-4</v>
      </c>
      <c r="E229" s="11">
        <f>Prices!E229/Prices!E228-1</f>
        <v>1.986383646180645E-3</v>
      </c>
      <c r="F229" s="11">
        <f>Prices!F229/Prices!F228-1</f>
        <v>-8.1962810024749366E-4</v>
      </c>
      <c r="G229" s="11">
        <f>Prices!G229/Prices!G228-1</f>
        <v>9.5476259600411062E-3</v>
      </c>
      <c r="H229" s="11">
        <f>Prices!H229/Prices!H228-1</f>
        <v>8.1462641453788898E-4</v>
      </c>
    </row>
    <row r="230" spans="1:8" x14ac:dyDescent="0.25">
      <c r="A230" s="10">
        <f>Prices!A230</f>
        <v>46287</v>
      </c>
      <c r="B230" s="11">
        <f>Prices!B230/Prices!B229-1</f>
        <v>-3.6430728230183451E-3</v>
      </c>
      <c r="C230" s="11">
        <f>Prices!C230/Prices!C229-1</f>
        <v>-8.0547497222360764E-4</v>
      </c>
      <c r="D230" s="11">
        <f>Prices!D230/Prices!D229-1</f>
        <v>-2.3185560003020633E-3</v>
      </c>
      <c r="E230" s="11">
        <f>Prices!E230/Prices!E229-1</f>
        <v>-4.5173908924369677E-3</v>
      </c>
      <c r="F230" s="11">
        <f>Prices!F230/Prices!F229-1</f>
        <v>-8.6296300150187077E-3</v>
      </c>
      <c r="G230" s="11">
        <f>Prices!G230/Prices!G229-1</f>
        <v>-5.297281752645433E-3</v>
      </c>
      <c r="H230" s="11">
        <f>Prices!H230/Prices!H229-1</f>
        <v>-2.3866436350644671E-3</v>
      </c>
    </row>
    <row r="231" spans="1:8" x14ac:dyDescent="0.25">
      <c r="A231" s="10">
        <f>Prices!A231</f>
        <v>46288</v>
      </c>
      <c r="B231" s="11">
        <f>Prices!B231/Prices!B230-1</f>
        <v>5.0495091945645942E-3</v>
      </c>
      <c r="C231" s="11">
        <f>Prices!C231/Prices!C230-1</f>
        <v>6.9928659211160316E-3</v>
      </c>
      <c r="D231" s="11">
        <f>Prices!D231/Prices!D230-1</f>
        <v>8.8844815535351618E-3</v>
      </c>
      <c r="E231" s="11">
        <f>Prices!E231/Prices!E230-1</f>
        <v>5.9298539283170193E-3</v>
      </c>
      <c r="F231" s="11">
        <f>Prices!F231/Prices!F230-1</f>
        <v>-8.6785085770464399E-3</v>
      </c>
      <c r="G231" s="11">
        <f>Prices!G231/Prices!G230-1</f>
        <v>1.3176295371541524E-2</v>
      </c>
      <c r="H231" s="11">
        <f>Prices!H231/Prices!H230-1</f>
        <v>2.6304810919173249E-3</v>
      </c>
    </row>
    <row r="232" spans="1:8" x14ac:dyDescent="0.25">
      <c r="A232" s="10">
        <f>Prices!A232</f>
        <v>46289</v>
      </c>
      <c r="B232" s="11">
        <f>Prices!B232/Prices!B231-1</f>
        <v>-1.6364706484466973E-2</v>
      </c>
      <c r="C232" s="11">
        <f>Prices!C232/Prices!C231-1</f>
        <v>-2.2538141192327332E-2</v>
      </c>
      <c r="D232" s="11">
        <f>Prices!D232/Prices!D231-1</f>
        <v>-1.5344021209013792E-2</v>
      </c>
      <c r="E232" s="11">
        <f>Prices!E232/Prices!E231-1</f>
        <v>-1.9636102559024149E-2</v>
      </c>
      <c r="F232" s="11">
        <f>Prices!F232/Prices!F231-1</f>
        <v>-4.4187117619965965E-3</v>
      </c>
      <c r="G232" s="11">
        <f>Prices!G232/Prices!G231-1</f>
        <v>-1.0808625715666098E-2</v>
      </c>
      <c r="H232" s="11">
        <f>Prices!H232/Prices!H231-1</f>
        <v>-1.5739637780285753E-2</v>
      </c>
    </row>
    <row r="233" spans="1:8" x14ac:dyDescent="0.25">
      <c r="A233" s="10">
        <f>Prices!A233</f>
        <v>46290</v>
      </c>
      <c r="B233" s="11">
        <f>Prices!B233/Prices!B232-1</f>
        <v>3.3560102501399847E-3</v>
      </c>
      <c r="C233" s="11">
        <f>Prices!C233/Prices!C232-1</f>
        <v>-1.3797309893482934E-3</v>
      </c>
      <c r="D233" s="11">
        <f>Prices!D233/Prices!D232-1</f>
        <v>1.5494227765147084E-3</v>
      </c>
      <c r="E233" s="11">
        <f>Prices!E233/Prices!E232-1</f>
        <v>2.559593062582799E-3</v>
      </c>
      <c r="F233" s="11">
        <f>Prices!F233/Prices!F232-1</f>
        <v>-1.6998211554174469E-3</v>
      </c>
      <c r="G233" s="11">
        <f>Prices!G233/Prices!G232-1</f>
        <v>3.9762365505628949E-3</v>
      </c>
      <c r="H233" s="11">
        <f>Prices!H233/Prices!H232-1</f>
        <v>8.8963378363717815E-3</v>
      </c>
    </row>
    <row r="234" spans="1:8" x14ac:dyDescent="0.25">
      <c r="A234" s="10">
        <f>Prices!A234</f>
        <v>46293</v>
      </c>
      <c r="B234" s="11">
        <f>Prices!B234/Prices!B233-1</f>
        <v>-1.5567943648581495E-2</v>
      </c>
      <c r="C234" s="11">
        <f>Prices!C234/Prices!C233-1</f>
        <v>-1.6284109939907476E-2</v>
      </c>
      <c r="D234" s="11">
        <f>Prices!D234/Prices!D233-1</f>
        <v>-1.8470473364527562E-2</v>
      </c>
      <c r="E234" s="11">
        <f>Prices!E234/Prices!E233-1</f>
        <v>-1.9948578995473198E-2</v>
      </c>
      <c r="F234" s="11">
        <f>Prices!F234/Prices!F233-1</f>
        <v>-2.6419610168709751E-3</v>
      </c>
      <c r="G234" s="11">
        <f>Prices!G234/Prices!G233-1</f>
        <v>-1.4735107626471233E-2</v>
      </c>
      <c r="H234" s="11">
        <f>Prices!H234/Prices!H233-1</f>
        <v>-1.6421375042179887E-2</v>
      </c>
    </row>
    <row r="235" spans="1:8" x14ac:dyDescent="0.25">
      <c r="A235" s="10">
        <f>Prices!A235</f>
        <v>46294</v>
      </c>
      <c r="B235" s="11">
        <f>Prices!B235/Prices!B234-1</f>
        <v>-2.8116460530502874E-3</v>
      </c>
      <c r="C235" s="11">
        <f>Prices!C235/Prices!C234-1</f>
        <v>-9.9275297008054597E-3</v>
      </c>
      <c r="D235" s="11">
        <f>Prices!D235/Prices!D234-1</f>
        <v>-8.1416560298896989E-3</v>
      </c>
      <c r="E235" s="11">
        <f>Prices!E235/Prices!E234-1</f>
        <v>-3.8864253239988544E-3</v>
      </c>
      <c r="F235" s="11">
        <f>Prices!F235/Prices!F234-1</f>
        <v>-1.4829188400121041E-2</v>
      </c>
      <c r="G235" s="11">
        <f>Prices!G235/Prices!G234-1</f>
        <v>-1.0472921846883865E-2</v>
      </c>
      <c r="H235" s="11">
        <f>Prices!H235/Prices!H234-1</f>
        <v>-1.3259164450208361E-2</v>
      </c>
    </row>
    <row r="236" spans="1:8" x14ac:dyDescent="0.25">
      <c r="A236" s="10">
        <f>Prices!A236</f>
        <v>46295</v>
      </c>
      <c r="B236" s="11">
        <f>Prices!B236/Prices!B235-1</f>
        <v>-4.2150535741013462E-3</v>
      </c>
      <c r="C236" s="11">
        <f>Prices!C236/Prices!C235-1</f>
        <v>2.1325232554603168E-4</v>
      </c>
      <c r="D236" s="11">
        <f>Prices!D236/Prices!D235-1</f>
        <v>2.7170585952052129E-3</v>
      </c>
      <c r="E236" s="11">
        <f>Prices!E236/Prices!E235-1</f>
        <v>6.8761581977132558E-3</v>
      </c>
      <c r="F236" s="11">
        <f>Prices!F236/Prices!F235-1</f>
        <v>1.2576797976147081E-3</v>
      </c>
      <c r="G236" s="11">
        <f>Prices!G236/Prices!G235-1</f>
        <v>-6.2926571154916511E-3</v>
      </c>
      <c r="H236" s="11">
        <f>Prices!H236/Prices!H235-1</f>
        <v>4.607740316008524E-3</v>
      </c>
    </row>
    <row r="237" spans="1:8" x14ac:dyDescent="0.25">
      <c r="A237" s="10">
        <f>Prices!A237</f>
        <v>46296</v>
      </c>
      <c r="B237" s="11">
        <f>Prices!B237/Prices!B236-1</f>
        <v>-8.7752454084688569E-3</v>
      </c>
      <c r="C237" s="11">
        <f>Prices!C237/Prices!C236-1</f>
        <v>-1.0113420992532762E-2</v>
      </c>
      <c r="D237" s="11">
        <f>Prices!D237/Prices!D236-1</f>
        <v>-9.719054126376192E-3</v>
      </c>
      <c r="E237" s="11">
        <f>Prices!E237/Prices!E236-1</f>
        <v>-3.3368080310361981E-3</v>
      </c>
      <c r="F237" s="11">
        <f>Prices!F237/Prices!F236-1</f>
        <v>2.1653287516964603E-2</v>
      </c>
      <c r="G237" s="11">
        <f>Prices!G237/Prices!G236-1</f>
        <v>-1.6145248823537961E-2</v>
      </c>
      <c r="H237" s="11">
        <f>Prices!H237/Prices!H236-1</f>
        <v>-3.4570690215810052E-2</v>
      </c>
    </row>
    <row r="238" spans="1:8" x14ac:dyDescent="0.25">
      <c r="A238" s="10">
        <f>Prices!A238</f>
        <v>46300</v>
      </c>
      <c r="B238" s="11">
        <f>Prices!B238/Prices!B237-1</f>
        <v>5.9673667990518542E-3</v>
      </c>
      <c r="C238" s="11">
        <f>Prices!C238/Prices!C237-1</f>
        <v>6.6684260709664045E-3</v>
      </c>
      <c r="D238" s="11">
        <f>Prices!D238/Prices!D237-1</f>
        <v>4.7458765442460749E-3</v>
      </c>
      <c r="E238" s="11">
        <f>Prices!E238/Prices!E237-1</f>
        <v>4.8364806729015442E-3</v>
      </c>
      <c r="F238" s="11">
        <f>Prices!F238/Prices!F237-1</f>
        <v>-1.0775595572465324E-4</v>
      </c>
      <c r="G238" s="11">
        <f>Prices!G238/Prices!G237-1</f>
        <v>1.8036143078818512E-2</v>
      </c>
      <c r="H238" s="11">
        <f>Prices!H238/Prices!H237-1</f>
        <v>1.455586873324588E-3</v>
      </c>
    </row>
    <row r="239" spans="1:8" x14ac:dyDescent="0.25">
      <c r="A239" s="10">
        <f>Prices!A239</f>
        <v>46301</v>
      </c>
      <c r="B239" s="11">
        <f>Prices!B239/Prices!B238-1</f>
        <v>9.7691276060427601E-3</v>
      </c>
      <c r="C239" s="11">
        <f>Prices!C239/Prices!C238-1</f>
        <v>1.078333289639577E-2</v>
      </c>
      <c r="D239" s="11">
        <f>Prices!D239/Prices!D238-1</f>
        <v>1.5645643920602081E-2</v>
      </c>
      <c r="E239" s="11">
        <f>Prices!E239/Prices!E238-1</f>
        <v>7.572088364790952E-3</v>
      </c>
      <c r="F239" s="11">
        <f>Prices!F239/Prices!F238-1</f>
        <v>-5.8512489554496394E-3</v>
      </c>
      <c r="G239" s="11">
        <f>Prices!G239/Prices!G238-1</f>
        <v>1.403555209607954E-2</v>
      </c>
      <c r="H239" s="11">
        <f>Prices!H239/Prices!H238-1</f>
        <v>4.7223063579040492E-3</v>
      </c>
    </row>
    <row r="240" spans="1:8" x14ac:dyDescent="0.25">
      <c r="A240" s="10">
        <f>Prices!A240</f>
        <v>46302</v>
      </c>
      <c r="B240" s="11">
        <f>Prices!B240/Prices!B239-1</f>
        <v>-7.5978767216511311E-3</v>
      </c>
      <c r="C240" s="11">
        <f>Prices!C240/Prices!C239-1</f>
        <v>-6.3352141523261851E-3</v>
      </c>
      <c r="D240" s="11">
        <f>Prices!D240/Prices!D239-1</f>
        <v>2.995058795703498E-3</v>
      </c>
      <c r="E240" s="11">
        <f>Prices!E240/Prices!E239-1</f>
        <v>-1.3214604450699774E-3</v>
      </c>
      <c r="F240" s="11">
        <f>Prices!F240/Prices!F239-1</f>
        <v>-1.3443607045054318E-2</v>
      </c>
      <c r="G240" s="11">
        <f>Prices!G240/Prices!G239-1</f>
        <v>-8.9480559270086468E-3</v>
      </c>
      <c r="H240" s="11">
        <f>Prices!H240/Prices!H239-1</f>
        <v>-1.5779922832829918E-2</v>
      </c>
    </row>
    <row r="241" spans="1:8" x14ac:dyDescent="0.25">
      <c r="A241" s="10">
        <f>Prices!A241</f>
        <v>46303</v>
      </c>
      <c r="B241" s="11">
        <f>Prices!B241/Prices!B240-1</f>
        <v>-1.6424774532640463E-2</v>
      </c>
      <c r="C241" s="11">
        <f>Prices!C241/Prices!C240-1</f>
        <v>-2.5261608619359888E-2</v>
      </c>
      <c r="D241" s="11">
        <f>Prices!D241/Prices!D240-1</f>
        <v>-2.3419858050592324E-2</v>
      </c>
      <c r="E241" s="11">
        <f>Prices!E241/Prices!E240-1</f>
        <v>-9.8173571965042283E-3</v>
      </c>
      <c r="F241" s="11">
        <f>Prices!F241/Prices!F240-1</f>
        <v>-7.6374928848832457E-4</v>
      </c>
      <c r="G241" s="11">
        <f>Prices!G241/Prices!G240-1</f>
        <v>-2.0151403377391186E-2</v>
      </c>
      <c r="H241" s="11">
        <f>Prices!H241/Prices!H240-1</f>
        <v>-2.4909602249899576E-2</v>
      </c>
    </row>
    <row r="242" spans="1:8" x14ac:dyDescent="0.25">
      <c r="A242" s="10">
        <f>Prices!A242</f>
        <v>46304</v>
      </c>
      <c r="B242" s="11">
        <f>Prices!B242/Prices!B241-1</f>
        <v>1.2983654045106707E-2</v>
      </c>
      <c r="C242" s="11">
        <f>Prices!C242/Prices!C241-1</f>
        <v>1.5631667602470589E-2</v>
      </c>
      <c r="D242" s="11">
        <f>Prices!D242/Prices!D241-1</f>
        <v>5.4382916625110855E-3</v>
      </c>
      <c r="E242" s="11">
        <f>Prices!E242/Prices!E241-1</f>
        <v>1.3603582863814578E-2</v>
      </c>
      <c r="F242" s="11">
        <f>Prices!F242/Prices!F241-1</f>
        <v>3.0223603469783811E-2</v>
      </c>
      <c r="G242" s="11">
        <f>Prices!G242/Prices!G241-1</f>
        <v>2.2010089286426116E-2</v>
      </c>
      <c r="H242" s="11">
        <f>Prices!H242/Prices!H241-1</f>
        <v>1.4164086371554419E-2</v>
      </c>
    </row>
    <row r="243" spans="1:8" x14ac:dyDescent="0.25">
      <c r="A243" s="10">
        <f>Prices!A243</f>
        <v>46307</v>
      </c>
      <c r="B243" s="11">
        <f>Prices!B243/Prices!B242-1</f>
        <v>-6.9758819206544587E-3</v>
      </c>
      <c r="C243" s="11">
        <f>Prices!C243/Prices!C242-1</f>
        <v>8.0374502656188618E-4</v>
      </c>
      <c r="D243" s="11">
        <f>Prices!D243/Prices!D242-1</f>
        <v>1.4206132496593193E-2</v>
      </c>
      <c r="E243" s="11">
        <f>Prices!E243/Prices!E242-1</f>
        <v>-6.1286741052887228E-3</v>
      </c>
      <c r="F243" s="11">
        <f>Prices!F243/Prices!F242-1</f>
        <v>-7.884542028143704E-3</v>
      </c>
      <c r="G243" s="11">
        <f>Prices!G243/Prices!G242-1</f>
        <v>-1.6736042617451541E-2</v>
      </c>
      <c r="H243" s="11">
        <f>Prices!H243/Prices!H242-1</f>
        <v>9.0306075245676354E-3</v>
      </c>
    </row>
    <row r="244" spans="1:8" x14ac:dyDescent="0.25">
      <c r="A244" s="10">
        <f>Prices!A244</f>
        <v>46308</v>
      </c>
      <c r="B244" s="11">
        <f>Prices!B244/Prices!B243-1</f>
        <v>1.6035164677921765E-2</v>
      </c>
      <c r="C244" s="11">
        <f>Prices!C244/Prices!C243-1</f>
        <v>1.0617060893641561E-2</v>
      </c>
      <c r="D244" s="11">
        <f>Prices!D244/Prices!D243-1</f>
        <v>1.11192331847354E-3</v>
      </c>
      <c r="E244" s="11">
        <f>Prices!E244/Prices!E243-1</f>
        <v>1.0252558359736375E-2</v>
      </c>
      <c r="F244" s="11">
        <f>Prices!F244/Prices!F243-1</f>
        <v>5.2222959054095908E-2</v>
      </c>
      <c r="G244" s="11">
        <f>Prices!G244/Prices!G243-1</f>
        <v>1.4003681421064895E-2</v>
      </c>
      <c r="H244" s="11">
        <f>Prices!H244/Prices!H243-1</f>
        <v>1.2256621645325261E-2</v>
      </c>
    </row>
    <row r="245" spans="1:8" x14ac:dyDescent="0.25">
      <c r="A245" s="10">
        <f>Prices!A245</f>
        <v>46309</v>
      </c>
      <c r="B245" s="11">
        <f>Prices!B245/Prices!B244-1</f>
        <v>-4.3680229909844881E-3</v>
      </c>
      <c r="C245" s="11">
        <f>Prices!C245/Prices!C244-1</f>
        <v>-8.4259458586721792E-4</v>
      </c>
      <c r="D245" s="11">
        <f>Prices!D245/Prices!D244-1</f>
        <v>-3.2189392926561533E-3</v>
      </c>
      <c r="E245" s="11">
        <f>Prices!E245/Prices!E244-1</f>
        <v>-2.9748896244754519E-3</v>
      </c>
      <c r="F245" s="11">
        <f>Prices!F245/Prices!F244-1</f>
        <v>1.1428054213696859E-2</v>
      </c>
      <c r="G245" s="11">
        <f>Prices!G245/Prices!G244-1</f>
        <v>1.2084419917663514E-2</v>
      </c>
      <c r="H245" s="11">
        <f>Prices!H245/Prices!H244-1</f>
        <v>-9.2588763717491585E-3</v>
      </c>
    </row>
    <row r="246" spans="1:8" x14ac:dyDescent="0.25">
      <c r="A246" s="10">
        <f>Prices!A246</f>
        <v>46310</v>
      </c>
      <c r="B246" s="11">
        <f>Prices!B246/Prices!B245-1</f>
        <v>1.6560799550893401E-2</v>
      </c>
      <c r="C246" s="11">
        <f>Prices!C246/Prices!C245-1</f>
        <v>-3.5659520174518011E-3</v>
      </c>
      <c r="D246" s="11">
        <f>Prices!D246/Prices!D245-1</f>
        <v>-1.3056621682968061E-2</v>
      </c>
      <c r="E246" s="11">
        <f>Prices!E246/Prices!E245-1</f>
        <v>8.9395473280786675E-3</v>
      </c>
      <c r="F246" s="11">
        <f>Prices!F246/Prices!F245-1</f>
        <v>1.8189652315137028E-2</v>
      </c>
      <c r="G246" s="11">
        <f>Prices!G246/Prices!G245-1</f>
        <v>-1.0603754663509379E-2</v>
      </c>
      <c r="H246" s="11">
        <f>Prices!H246/Prices!H245-1</f>
        <v>1.6681407574507867E-2</v>
      </c>
    </row>
    <row r="247" spans="1:8" x14ac:dyDescent="0.25">
      <c r="A247" s="10">
        <f>Prices!A247</f>
        <v>46311</v>
      </c>
      <c r="B247" s="11">
        <f>Prices!B247/Prices!B246-1</f>
        <v>6.4703107097123791E-3</v>
      </c>
      <c r="C247" s="11">
        <f>Prices!C247/Prices!C246-1</f>
        <v>-1.1402556706603395E-3</v>
      </c>
      <c r="D247" s="11">
        <f>Prices!D247/Prices!D246-1</f>
        <v>-9.9311613709240909E-5</v>
      </c>
      <c r="E247" s="11">
        <f>Prices!E247/Prices!E246-1</f>
        <v>6.0024547352210966E-4</v>
      </c>
      <c r="F247" s="11">
        <f>Prices!F247/Prices!F246-1</f>
        <v>3.9202729184434792E-2</v>
      </c>
      <c r="G247" s="11">
        <f>Prices!G247/Prices!G246-1</f>
        <v>-3.9181409927966371E-3</v>
      </c>
      <c r="H247" s="11">
        <f>Prices!H247/Prices!H246-1</f>
        <v>7.5108302966797602E-3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7"/>
  <sheetViews>
    <sheetView tabSelected="1" zoomScale="90" zoomScaleNormal="9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ColWidth="8.7109375" defaultRowHeight="15" x14ac:dyDescent="0.25"/>
  <cols>
    <col min="1" max="1" width="19.42578125" customWidth="1"/>
    <col min="2" max="8" width="15" customWidth="1"/>
  </cols>
  <sheetData>
    <row r="1" spans="1:10" ht="30" customHeight="1" x14ac:dyDescent="0.25">
      <c r="A1" s="16" t="s">
        <v>60</v>
      </c>
      <c r="B1" s="16" t="s">
        <v>61</v>
      </c>
      <c r="C1" s="16" t="s">
        <v>62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</v>
      </c>
      <c r="J1" s="1" t="s">
        <v>70</v>
      </c>
    </row>
    <row r="2" spans="1:10" x14ac:dyDescent="0.25">
      <c r="A2" s="18">
        <f>Prices!A2</f>
        <v>45950</v>
      </c>
      <c r="B2" s="13"/>
      <c r="C2" s="13"/>
      <c r="D2" s="13"/>
      <c r="E2" s="13"/>
      <c r="F2" s="13"/>
      <c r="G2" s="13"/>
      <c r="H2" s="13"/>
    </row>
    <row r="3" spans="1:10" x14ac:dyDescent="0.25">
      <c r="A3" s="18">
        <f>Prices!A3</f>
        <v>45951</v>
      </c>
      <c r="B3" s="13"/>
      <c r="C3" s="13"/>
      <c r="D3" s="13"/>
      <c r="E3" s="13"/>
      <c r="F3" s="13"/>
      <c r="G3" s="13"/>
      <c r="H3" s="13"/>
    </row>
    <row r="4" spans="1:10" x14ac:dyDescent="0.25">
      <c r="A4" s="18">
        <f>Prices!A4</f>
        <v>45953</v>
      </c>
      <c r="B4" s="13"/>
      <c r="C4" s="13"/>
      <c r="D4" s="13"/>
      <c r="E4" s="13"/>
      <c r="F4" s="13"/>
      <c r="G4" s="13"/>
      <c r="H4" s="13"/>
    </row>
    <row r="5" spans="1:10" x14ac:dyDescent="0.25">
      <c r="A5" s="18">
        <f>Prices!A5</f>
        <v>45954</v>
      </c>
      <c r="B5" s="13"/>
      <c r="C5" s="13"/>
      <c r="D5" s="13"/>
      <c r="E5" s="13"/>
      <c r="F5" s="13"/>
      <c r="G5" s="13"/>
      <c r="H5" s="13"/>
    </row>
    <row r="6" spans="1:10" x14ac:dyDescent="0.25">
      <c r="A6" s="18">
        <f>Prices!A6</f>
        <v>45957</v>
      </c>
      <c r="B6" s="13"/>
      <c r="C6" s="13"/>
      <c r="D6" s="13"/>
      <c r="E6" s="13"/>
      <c r="F6" s="13"/>
      <c r="G6" s="13"/>
      <c r="H6" s="13"/>
    </row>
    <row r="7" spans="1:10" x14ac:dyDescent="0.25">
      <c r="A7" s="18">
        <f>Prices!A7</f>
        <v>45958</v>
      </c>
      <c r="B7" s="13"/>
      <c r="C7" s="13"/>
      <c r="D7" s="13"/>
      <c r="E7" s="13"/>
      <c r="F7" s="13"/>
      <c r="G7" s="13"/>
      <c r="H7" s="13"/>
    </row>
    <row r="8" spans="1:10" x14ac:dyDescent="0.25">
      <c r="A8" s="18">
        <f>Prices!A8</f>
        <v>45959</v>
      </c>
      <c r="B8" s="13"/>
      <c r="C8" s="13"/>
      <c r="D8" s="13"/>
      <c r="E8" s="13"/>
      <c r="F8" s="13"/>
      <c r="G8" s="13"/>
      <c r="H8" s="13"/>
    </row>
    <row r="9" spans="1:10" x14ac:dyDescent="0.25">
      <c r="A9" s="18">
        <f>Prices!A9</f>
        <v>45960</v>
      </c>
      <c r="B9" s="13"/>
      <c r="C9" s="13"/>
      <c r="D9" s="13"/>
      <c r="E9" s="13"/>
      <c r="F9" s="13"/>
      <c r="G9" s="13"/>
      <c r="H9" s="13"/>
    </row>
    <row r="10" spans="1:10" x14ac:dyDescent="0.25">
      <c r="A10" s="18">
        <f>Prices!A10</f>
        <v>45961</v>
      </c>
      <c r="B10" s="13"/>
      <c r="C10" s="13"/>
      <c r="D10" s="13"/>
      <c r="E10" s="13"/>
      <c r="F10" s="13"/>
      <c r="G10" s="13"/>
      <c r="H10" s="13"/>
    </row>
    <row r="11" spans="1:10" x14ac:dyDescent="0.25">
      <c r="A11" s="18">
        <f>Prices!A11</f>
        <v>45964</v>
      </c>
      <c r="B11" s="13"/>
      <c r="C11" s="13"/>
      <c r="D11" s="13"/>
      <c r="E11" s="13"/>
      <c r="F11" s="13"/>
      <c r="G11" s="13"/>
      <c r="H11" s="13"/>
    </row>
    <row r="12" spans="1:10" x14ac:dyDescent="0.25">
      <c r="A12" s="18">
        <f>Prices!A12</f>
        <v>45965</v>
      </c>
      <c r="B12" s="13"/>
      <c r="C12" s="13"/>
      <c r="D12" s="13"/>
      <c r="E12" s="13"/>
      <c r="F12" s="13"/>
      <c r="G12" s="13"/>
      <c r="H12" s="13"/>
    </row>
    <row r="13" spans="1:10" x14ac:dyDescent="0.25">
      <c r="A13" s="18">
        <f>Prices!A13</f>
        <v>45967</v>
      </c>
      <c r="B13" s="13"/>
      <c r="C13" s="13"/>
      <c r="D13" s="13"/>
      <c r="E13" s="13"/>
      <c r="F13" s="13"/>
      <c r="G13" s="13"/>
      <c r="H13" s="13"/>
    </row>
    <row r="14" spans="1:10" x14ac:dyDescent="0.25">
      <c r="A14" s="18">
        <f>Prices!A14</f>
        <v>45968</v>
      </c>
      <c r="B14" s="13"/>
      <c r="C14" s="13"/>
      <c r="D14" s="13"/>
      <c r="E14" s="13"/>
      <c r="F14" s="13"/>
      <c r="G14" s="13"/>
      <c r="H14" s="13"/>
    </row>
    <row r="15" spans="1:10" x14ac:dyDescent="0.25">
      <c r="A15" s="18">
        <f>Prices!A15</f>
        <v>45971</v>
      </c>
      <c r="B15" s="13"/>
      <c r="C15" s="13"/>
      <c r="D15" s="13"/>
      <c r="E15" s="13"/>
      <c r="F15" s="13"/>
      <c r="G15" s="13"/>
      <c r="H15" s="13"/>
    </row>
    <row r="16" spans="1:10" x14ac:dyDescent="0.25">
      <c r="A16" s="18">
        <f>Prices!A16</f>
        <v>45972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18">
        <f>Prices!A17</f>
        <v>45973</v>
      </c>
      <c r="B17" s="13"/>
      <c r="C17" s="13"/>
      <c r="D17" s="13"/>
      <c r="E17" s="13"/>
      <c r="F17" s="13"/>
      <c r="G17" s="13"/>
      <c r="H17" s="13"/>
    </row>
    <row r="18" spans="1:8" x14ac:dyDescent="0.25">
      <c r="A18" s="18">
        <f>Prices!A18</f>
        <v>45974</v>
      </c>
      <c r="B18" s="13"/>
      <c r="C18" s="13"/>
      <c r="D18" s="13"/>
      <c r="E18" s="13"/>
      <c r="F18" s="13"/>
      <c r="G18" s="13"/>
      <c r="H18" s="13"/>
    </row>
    <row r="19" spans="1:8" x14ac:dyDescent="0.25">
      <c r="A19" s="18">
        <f>Prices!A19</f>
        <v>45975</v>
      </c>
      <c r="B19" s="13"/>
      <c r="C19" s="13"/>
      <c r="D19" s="13"/>
      <c r="E19" s="13"/>
      <c r="F19" s="13"/>
      <c r="G19" s="13"/>
      <c r="H19" s="13"/>
    </row>
    <row r="20" spans="1:8" x14ac:dyDescent="0.25">
      <c r="A20" s="18">
        <f>Prices!A20</f>
        <v>45978</v>
      </c>
      <c r="B20" s="13"/>
      <c r="C20" s="13"/>
      <c r="D20" s="13"/>
      <c r="E20" s="13"/>
      <c r="F20" s="13"/>
      <c r="G20" s="13"/>
      <c r="H20" s="13"/>
    </row>
    <row r="21" spans="1:8" x14ac:dyDescent="0.25">
      <c r="A21" s="18">
        <f>Prices!A21</f>
        <v>45979</v>
      </c>
      <c r="B21" s="13"/>
      <c r="C21" s="13"/>
      <c r="D21" s="13"/>
      <c r="E21" s="13"/>
      <c r="F21" s="13"/>
      <c r="G21" s="13"/>
      <c r="H21" s="13"/>
    </row>
    <row r="22" spans="1:8" x14ac:dyDescent="0.25">
      <c r="A22" s="18">
        <f>Prices!A22</f>
        <v>45980</v>
      </c>
      <c r="B22" s="11">
        <f>STDEV(Daily!B3:B22)*SQRT(Inputs!$B$16)</f>
        <v>6.9257844373297198E-2</v>
      </c>
      <c r="C22" s="11">
        <f>STDEV(Daily!C3:C22)*SQRT(Inputs!$B$16)</f>
        <v>8.4503546114767111E-2</v>
      </c>
      <c r="D22" s="11">
        <f>STDEV(Daily!D3:D22)*SQRT(Inputs!$B$16)</f>
        <v>9.8021819306782373E-2</v>
      </c>
      <c r="E22" s="11">
        <f>STDEV(Daily!E3:E22)*SQRT(Inputs!$B$16)</f>
        <v>6.964270597306077E-2</v>
      </c>
      <c r="F22" s="11">
        <f>STDEV(Daily!F3:F22)*SQRT(Inputs!$B$16)</f>
        <v>0.18776799527504875</v>
      </c>
      <c r="G22" s="11">
        <f>STDEV(Daily!G3:G22)*SQRT(Inputs!$B$16)</f>
        <v>6.9161641303635682E-2</v>
      </c>
      <c r="H22" s="11">
        <f>STDEV(Daily!H3:H22)*SQRT(Inputs!$B$16)</f>
        <v>9.36720385809892E-2</v>
      </c>
    </row>
    <row r="23" spans="1:8" x14ac:dyDescent="0.25">
      <c r="A23" s="18">
        <f>Prices!A23</f>
        <v>45981</v>
      </c>
      <c r="B23" s="11">
        <f>STDEV(Daily!B4:B23)*SQRT(Inputs!$B$16)</f>
        <v>7.1439076502664109E-2</v>
      </c>
      <c r="C23" s="11">
        <f>STDEV(Daily!C4:C23)*SQRT(Inputs!$B$16)</f>
        <v>8.4592377650942435E-2</v>
      </c>
      <c r="D23" s="11">
        <f>STDEV(Daily!D4:D23)*SQRT(Inputs!$B$16)</f>
        <v>9.5819784980610084E-2</v>
      </c>
      <c r="E23" s="11">
        <f>STDEV(Daily!E4:E23)*SQRT(Inputs!$B$16)</f>
        <v>6.9542057493289039E-2</v>
      </c>
      <c r="F23" s="11">
        <f>STDEV(Daily!F4:F23)*SQRT(Inputs!$B$16)</f>
        <v>0.18780855181759656</v>
      </c>
      <c r="G23" s="11">
        <f>STDEV(Daily!G4:G23)*SQRT(Inputs!$B$16)</f>
        <v>6.9348470692703404E-2</v>
      </c>
      <c r="H23" s="11">
        <f>STDEV(Daily!H4:H23)*SQRT(Inputs!$B$16)</f>
        <v>9.4614271695493607E-2</v>
      </c>
    </row>
    <row r="24" spans="1:8" x14ac:dyDescent="0.25">
      <c r="A24" s="18">
        <f>Prices!A24</f>
        <v>45982</v>
      </c>
      <c r="B24" s="11">
        <f>STDEV(Daily!B5:B24)*SQRT(Inputs!$B$16)</f>
        <v>7.3916400189621728E-2</v>
      </c>
      <c r="C24" s="11">
        <f>STDEV(Daily!C5:C24)*SQRT(Inputs!$B$16)</f>
        <v>9.5545806802173838E-2</v>
      </c>
      <c r="D24" s="11">
        <f>STDEV(Daily!D5:D24)*SQRT(Inputs!$B$16)</f>
        <v>0.10419663015660735</v>
      </c>
      <c r="E24" s="11">
        <f>STDEV(Daily!E5:E24)*SQRT(Inputs!$B$16)</f>
        <v>7.6882645960117638E-2</v>
      </c>
      <c r="F24" s="11">
        <f>STDEV(Daily!F5:F24)*SQRT(Inputs!$B$16)</f>
        <v>0.17414811484901369</v>
      </c>
      <c r="G24" s="11">
        <f>STDEV(Daily!G5:G24)*SQRT(Inputs!$B$16)</f>
        <v>6.8430059652810848E-2</v>
      </c>
      <c r="H24" s="11">
        <f>STDEV(Daily!H5:H24)*SQRT(Inputs!$B$16)</f>
        <v>9.4641817594985189E-2</v>
      </c>
    </row>
    <row r="25" spans="1:8" x14ac:dyDescent="0.25">
      <c r="A25" s="18">
        <f>Prices!A25</f>
        <v>45985</v>
      </c>
      <c r="B25" s="11">
        <f>STDEV(Daily!B6:B25)*SQRT(Inputs!$B$16)</f>
        <v>7.4261703876879318E-2</v>
      </c>
      <c r="C25" s="11">
        <f>STDEV(Daily!C6:C25)*SQRT(Inputs!$B$16)</f>
        <v>9.5973785818518217E-2</v>
      </c>
      <c r="D25" s="11">
        <f>STDEV(Daily!D6:D25)*SQRT(Inputs!$B$16)</f>
        <v>0.1073199801741782</v>
      </c>
      <c r="E25" s="11">
        <f>STDEV(Daily!E6:E25)*SQRT(Inputs!$B$16)</f>
        <v>7.2246061228724692E-2</v>
      </c>
      <c r="F25" s="11">
        <f>STDEV(Daily!F6:F25)*SQRT(Inputs!$B$16)</f>
        <v>0.17387209189939848</v>
      </c>
      <c r="G25" s="11">
        <f>STDEV(Daily!G6:G25)*SQRT(Inputs!$B$16)</f>
        <v>6.7420031379921933E-2</v>
      </c>
      <c r="H25" s="11">
        <f>STDEV(Daily!H6:H25)*SQRT(Inputs!$B$16)</f>
        <v>9.4292052657016304E-2</v>
      </c>
    </row>
    <row r="26" spans="1:8" x14ac:dyDescent="0.25">
      <c r="A26" s="18">
        <f>Prices!A26</f>
        <v>45986</v>
      </c>
      <c r="B26" s="11">
        <f>STDEV(Daily!B7:B26)*SQRT(Inputs!$B$16)</f>
        <v>7.1170520708944765E-2</v>
      </c>
      <c r="C26" s="11">
        <f>STDEV(Daily!C7:C26)*SQRT(Inputs!$B$16)</f>
        <v>9.1281349325820285E-2</v>
      </c>
      <c r="D26" s="11">
        <f>STDEV(Daily!D7:D26)*SQRT(Inputs!$B$16)</f>
        <v>0.10194580132011333</v>
      </c>
      <c r="E26" s="11">
        <f>STDEV(Daily!E7:E26)*SQRT(Inputs!$B$16)</f>
        <v>6.8506307707408412E-2</v>
      </c>
      <c r="F26" s="11">
        <f>STDEV(Daily!F7:F26)*SQRT(Inputs!$B$16)</f>
        <v>0.17542940457392853</v>
      </c>
      <c r="G26" s="11">
        <f>STDEV(Daily!G7:G26)*SQRT(Inputs!$B$16)</f>
        <v>6.6775716398213711E-2</v>
      </c>
      <c r="H26" s="11">
        <f>STDEV(Daily!H7:H26)*SQRT(Inputs!$B$16)</f>
        <v>9.2842595396670793E-2</v>
      </c>
    </row>
    <row r="27" spans="1:8" x14ac:dyDescent="0.25">
      <c r="A27" s="18">
        <f>Prices!A27</f>
        <v>45987</v>
      </c>
      <c r="B27" s="11">
        <f>STDEV(Daily!B8:B27)*SQRT(Inputs!$B$16)</f>
        <v>8.3740444551136814E-2</v>
      </c>
      <c r="C27" s="11">
        <f>STDEV(Daily!C8:C27)*SQRT(Inputs!$B$16)</f>
        <v>0.10097196139980895</v>
      </c>
      <c r="D27" s="11">
        <f>STDEV(Daily!D8:D27)*SQRT(Inputs!$B$16)</f>
        <v>0.11570766974649421</v>
      </c>
      <c r="E27" s="11">
        <f>STDEV(Daily!E8:E27)*SQRT(Inputs!$B$16)</f>
        <v>7.9598768320582491E-2</v>
      </c>
      <c r="F27" s="11">
        <f>STDEV(Daily!F8:F27)*SQRT(Inputs!$B$16)</f>
        <v>0.1787574470286945</v>
      </c>
      <c r="G27" s="11">
        <f>STDEV(Daily!G8:G27)*SQRT(Inputs!$B$16)</f>
        <v>7.0777632946759317E-2</v>
      </c>
      <c r="H27" s="11">
        <f>STDEV(Daily!H8:H27)*SQRT(Inputs!$B$16)</f>
        <v>9.9533612931298698E-2</v>
      </c>
    </row>
    <row r="28" spans="1:8" x14ac:dyDescent="0.25">
      <c r="A28" s="18">
        <f>Prices!A28</f>
        <v>45988</v>
      </c>
      <c r="B28" s="11">
        <f>STDEV(Daily!B9:B28)*SQRT(Inputs!$B$16)</f>
        <v>8.2390437941398748E-2</v>
      </c>
      <c r="C28" s="11">
        <f>STDEV(Daily!C9:C28)*SQRT(Inputs!$B$16)</f>
        <v>9.8990482960172127E-2</v>
      </c>
      <c r="D28" s="11">
        <f>STDEV(Daily!D9:D28)*SQRT(Inputs!$B$16)</f>
        <v>0.11466521280786207</v>
      </c>
      <c r="E28" s="11">
        <f>STDEV(Daily!E9:E28)*SQRT(Inputs!$B$16)</f>
        <v>7.9798295998497332E-2</v>
      </c>
      <c r="F28" s="11">
        <f>STDEV(Daily!F9:F28)*SQRT(Inputs!$B$16)</f>
        <v>0.17804071643029268</v>
      </c>
      <c r="G28" s="11">
        <f>STDEV(Daily!G9:G28)*SQRT(Inputs!$B$16)</f>
        <v>6.1290445770478152E-2</v>
      </c>
      <c r="H28" s="11">
        <f>STDEV(Daily!H9:H28)*SQRT(Inputs!$B$16)</f>
        <v>9.6027172373024355E-2</v>
      </c>
    </row>
    <row r="29" spans="1:8" x14ac:dyDescent="0.25">
      <c r="A29" s="18">
        <f>Prices!A29</f>
        <v>45989</v>
      </c>
      <c r="B29" s="11">
        <f>STDEV(Daily!B10:B29)*SQRT(Inputs!$B$16)</f>
        <v>7.8140360342400489E-2</v>
      </c>
      <c r="C29" s="11">
        <f>STDEV(Daily!C10:C29)*SQRT(Inputs!$B$16)</f>
        <v>9.9055245488739979E-2</v>
      </c>
      <c r="D29" s="11">
        <f>STDEV(Daily!D10:D29)*SQRT(Inputs!$B$16)</f>
        <v>0.11468811269398642</v>
      </c>
      <c r="E29" s="11">
        <f>STDEV(Daily!E10:E29)*SQRT(Inputs!$B$16)</f>
        <v>7.5233035226394795E-2</v>
      </c>
      <c r="F29" s="11">
        <f>STDEV(Daily!F10:F29)*SQRT(Inputs!$B$16)</f>
        <v>0.17651573545208152</v>
      </c>
      <c r="G29" s="11">
        <f>STDEV(Daily!G10:G29)*SQRT(Inputs!$B$16)</f>
        <v>6.0622914939956543E-2</v>
      </c>
      <c r="H29" s="11">
        <f>STDEV(Daily!H10:H29)*SQRT(Inputs!$B$16)</f>
        <v>9.5140292837460075E-2</v>
      </c>
    </row>
    <row r="30" spans="1:8" x14ac:dyDescent="0.25">
      <c r="A30" s="18">
        <f>Prices!A30</f>
        <v>45992</v>
      </c>
      <c r="B30" s="11">
        <f>STDEV(Daily!B11:B30)*SQRT(Inputs!$B$16)</f>
        <v>7.4426434554042881E-2</v>
      </c>
      <c r="C30" s="11">
        <f>STDEV(Daily!C11:C30)*SQRT(Inputs!$B$16)</f>
        <v>9.7131398854306703E-2</v>
      </c>
      <c r="D30" s="11">
        <f>STDEV(Daily!D11:D30)*SQRT(Inputs!$B$16)</f>
        <v>0.11504692521450517</v>
      </c>
      <c r="E30" s="11">
        <f>STDEV(Daily!E11:E30)*SQRT(Inputs!$B$16)</f>
        <v>7.2743663251631605E-2</v>
      </c>
      <c r="F30" s="11">
        <f>STDEV(Daily!F11:F30)*SQRT(Inputs!$B$16)</f>
        <v>0.17433748489800405</v>
      </c>
      <c r="G30" s="11">
        <f>STDEV(Daily!G11:G30)*SQRT(Inputs!$B$16)</f>
        <v>6.0412009484192689E-2</v>
      </c>
      <c r="H30" s="11">
        <f>STDEV(Daily!H11:H30)*SQRT(Inputs!$B$16)</f>
        <v>9.7039227606681308E-2</v>
      </c>
    </row>
    <row r="31" spans="1:8" x14ac:dyDescent="0.25">
      <c r="A31" s="18">
        <f>Prices!A31</f>
        <v>45993</v>
      </c>
      <c r="B31" s="11">
        <f>STDEV(Daily!B12:B31)*SQRT(Inputs!$B$16)</f>
        <v>7.7699039414655433E-2</v>
      </c>
      <c r="C31" s="11">
        <f>STDEV(Daily!C12:C31)*SQRT(Inputs!$B$16)</f>
        <v>9.4405532789489377E-2</v>
      </c>
      <c r="D31" s="11">
        <f>STDEV(Daily!D12:D31)*SQRT(Inputs!$B$16)</f>
        <v>0.11125276904814151</v>
      </c>
      <c r="E31" s="11">
        <f>STDEV(Daily!E12:E31)*SQRT(Inputs!$B$16)</f>
        <v>7.6986680723224066E-2</v>
      </c>
      <c r="F31" s="11">
        <f>STDEV(Daily!F12:F31)*SQRT(Inputs!$B$16)</f>
        <v>0.17394969765954765</v>
      </c>
      <c r="G31" s="11">
        <f>STDEV(Daily!G12:G31)*SQRT(Inputs!$B$16)</f>
        <v>6.0592166606872055E-2</v>
      </c>
      <c r="H31" s="11">
        <f>STDEV(Daily!H12:H31)*SQRT(Inputs!$B$16)</f>
        <v>9.7446254651271019E-2</v>
      </c>
    </row>
    <row r="32" spans="1:8" x14ac:dyDescent="0.25">
      <c r="A32" s="18">
        <f>Prices!A32</f>
        <v>45994</v>
      </c>
      <c r="B32" s="11">
        <f>STDEV(Daily!B13:B32)*SQRT(Inputs!$B$16)</f>
        <v>7.3826515938907836E-2</v>
      </c>
      <c r="C32" s="11">
        <f>STDEV(Daily!C13:C32)*SQRT(Inputs!$B$16)</f>
        <v>0.1000345014988924</v>
      </c>
      <c r="D32" s="11">
        <f>STDEV(Daily!D13:D32)*SQRT(Inputs!$B$16)</f>
        <v>0.11050590750429362</v>
      </c>
      <c r="E32" s="11">
        <f>STDEV(Daily!E13:E32)*SQRT(Inputs!$B$16)</f>
        <v>7.3946456493202153E-2</v>
      </c>
      <c r="F32" s="11">
        <f>STDEV(Daily!F13:F32)*SQRT(Inputs!$B$16)</f>
        <v>0.16742230238884448</v>
      </c>
      <c r="G32" s="11">
        <f>STDEV(Daily!G13:G32)*SQRT(Inputs!$B$16)</f>
        <v>6.3221056939000167E-2</v>
      </c>
      <c r="H32" s="11">
        <f>STDEV(Daily!H13:H32)*SQRT(Inputs!$B$16)</f>
        <v>0.10293618527687806</v>
      </c>
    </row>
    <row r="33" spans="1:8" x14ac:dyDescent="0.25">
      <c r="A33" s="18">
        <f>Prices!A33</f>
        <v>45995</v>
      </c>
      <c r="B33" s="11">
        <f>STDEV(Daily!B14:B33)*SQRT(Inputs!$B$16)</f>
        <v>7.2203434382112838E-2</v>
      </c>
      <c r="C33" s="11">
        <f>STDEV(Daily!C14:C33)*SQRT(Inputs!$B$16)</f>
        <v>9.3278142368259376E-2</v>
      </c>
      <c r="D33" s="11">
        <f>STDEV(Daily!D14:D33)*SQRT(Inputs!$B$16)</f>
        <v>0.1010904789757492</v>
      </c>
      <c r="E33" s="11">
        <f>STDEV(Daily!E14:E33)*SQRT(Inputs!$B$16)</f>
        <v>7.1050017625655756E-2</v>
      </c>
      <c r="F33" s="11">
        <f>STDEV(Daily!F14:F33)*SQRT(Inputs!$B$16)</f>
        <v>0.17139599063774047</v>
      </c>
      <c r="G33" s="11">
        <f>STDEV(Daily!G14:G33)*SQRT(Inputs!$B$16)</f>
        <v>6.5992720239868102E-2</v>
      </c>
      <c r="H33" s="11">
        <f>STDEV(Daily!H14:H33)*SQRT(Inputs!$B$16)</f>
        <v>0.1029109856011928</v>
      </c>
    </row>
    <row r="34" spans="1:8" x14ac:dyDescent="0.25">
      <c r="A34" s="18">
        <f>Prices!A34</f>
        <v>45996</v>
      </c>
      <c r="B34" s="11">
        <f>STDEV(Daily!B15:B34)*SQRT(Inputs!$B$16)</f>
        <v>7.3869161952938286E-2</v>
      </c>
      <c r="C34" s="11">
        <f>STDEV(Daily!C15:C34)*SQRT(Inputs!$B$16)</f>
        <v>9.2287286481123831E-2</v>
      </c>
      <c r="D34" s="11">
        <f>STDEV(Daily!D15:D34)*SQRT(Inputs!$B$16)</f>
        <v>0.10224602275460082</v>
      </c>
      <c r="E34" s="11">
        <f>STDEV(Daily!E15:E34)*SQRT(Inputs!$B$16)</f>
        <v>7.3639778390241981E-2</v>
      </c>
      <c r="F34" s="11">
        <f>STDEV(Daily!F15:F34)*SQRT(Inputs!$B$16)</f>
        <v>0.16761550295357677</v>
      </c>
      <c r="G34" s="11">
        <f>STDEV(Daily!G15:G34)*SQRT(Inputs!$B$16)</f>
        <v>6.3831930969900447E-2</v>
      </c>
      <c r="H34" s="11">
        <f>STDEV(Daily!H15:H34)*SQRT(Inputs!$B$16)</f>
        <v>0.1038881005352208</v>
      </c>
    </row>
    <row r="35" spans="1:8" x14ac:dyDescent="0.25">
      <c r="A35" s="18">
        <f>Prices!A35</f>
        <v>45999</v>
      </c>
      <c r="B35" s="11">
        <f>STDEV(Daily!B16:B35)*SQRT(Inputs!$B$16)</f>
        <v>8.1478869973961171E-2</v>
      </c>
      <c r="C35" s="11">
        <f>STDEV(Daily!C16:C35)*SQRT(Inputs!$B$16)</f>
        <v>0.11263783458300135</v>
      </c>
      <c r="D35" s="11">
        <f>STDEV(Daily!D16:D35)*SQRT(Inputs!$B$16)</f>
        <v>0.13222898242536635</v>
      </c>
      <c r="E35" s="11">
        <f>STDEV(Daily!E16:E35)*SQRT(Inputs!$B$16)</f>
        <v>8.2777937117286357E-2</v>
      </c>
      <c r="F35" s="11">
        <f>STDEV(Daily!F16:F35)*SQRT(Inputs!$B$16)</f>
        <v>0.16421544783443848</v>
      </c>
      <c r="G35" s="11">
        <f>STDEV(Daily!G16:G35)*SQRT(Inputs!$B$16)</f>
        <v>7.6257341091707134E-2</v>
      </c>
      <c r="H35" s="11">
        <f>STDEV(Daily!H16:H35)*SQRT(Inputs!$B$16)</f>
        <v>0.11565723541414673</v>
      </c>
    </row>
    <row r="36" spans="1:8" x14ac:dyDescent="0.25">
      <c r="A36" s="18">
        <f>Prices!A36</f>
        <v>46000</v>
      </c>
      <c r="B36" s="11">
        <f>STDEV(Daily!B17:B36)*SQRT(Inputs!$B$16)</f>
        <v>8.2236012572633091E-2</v>
      </c>
      <c r="C36" s="11">
        <f>STDEV(Daily!C17:C36)*SQRT(Inputs!$B$16)</f>
        <v>0.11160662333778325</v>
      </c>
      <c r="D36" s="11">
        <f>STDEV(Daily!D17:D36)*SQRT(Inputs!$B$16)</f>
        <v>0.14183158094624437</v>
      </c>
      <c r="E36" s="11">
        <f>STDEV(Daily!E17:E36)*SQRT(Inputs!$B$16)</f>
        <v>8.2439667669554684E-2</v>
      </c>
      <c r="F36" s="11">
        <f>STDEV(Daily!F17:F36)*SQRT(Inputs!$B$16)</f>
        <v>0.17052167380019137</v>
      </c>
      <c r="G36" s="11">
        <f>STDEV(Daily!G17:G36)*SQRT(Inputs!$B$16)</f>
        <v>7.471537192360593E-2</v>
      </c>
      <c r="H36" s="11">
        <f>STDEV(Daily!H17:H36)*SQRT(Inputs!$B$16)</f>
        <v>0.11388429305193398</v>
      </c>
    </row>
    <row r="37" spans="1:8" x14ac:dyDescent="0.25">
      <c r="A37" s="18">
        <f>Prices!A37</f>
        <v>46001</v>
      </c>
      <c r="B37" s="11">
        <f>STDEV(Daily!B18:B37)*SQRT(Inputs!$B$16)</f>
        <v>7.9048063754252856E-2</v>
      </c>
      <c r="C37" s="11">
        <f>STDEV(Daily!C18:C37)*SQRT(Inputs!$B$16)</f>
        <v>0.11293500552306887</v>
      </c>
      <c r="D37" s="11">
        <f>STDEV(Daily!D18:D37)*SQRT(Inputs!$B$16)</f>
        <v>0.13787724992465933</v>
      </c>
      <c r="E37" s="11">
        <f>STDEV(Daily!E18:E37)*SQRT(Inputs!$B$16)</f>
        <v>8.4383505491210736E-2</v>
      </c>
      <c r="F37" s="11">
        <f>STDEV(Daily!F18:F37)*SQRT(Inputs!$B$16)</f>
        <v>0.16179706605531607</v>
      </c>
      <c r="G37" s="11">
        <f>STDEV(Daily!G18:G37)*SQRT(Inputs!$B$16)</f>
        <v>7.4658286099059987E-2</v>
      </c>
      <c r="H37" s="11">
        <f>STDEV(Daily!H18:H37)*SQRT(Inputs!$B$16)</f>
        <v>0.10491601352677168</v>
      </c>
    </row>
    <row r="38" spans="1:8" x14ac:dyDescent="0.25">
      <c r="A38" s="18">
        <f>Prices!A38</f>
        <v>46002</v>
      </c>
      <c r="B38" s="11">
        <f>STDEV(Daily!B19:B38)*SQRT(Inputs!$B$16)</f>
        <v>8.1578346657808609E-2</v>
      </c>
      <c r="C38" s="11">
        <f>STDEV(Daily!C19:C38)*SQRT(Inputs!$B$16)</f>
        <v>0.1194236423022685</v>
      </c>
      <c r="D38" s="11">
        <f>STDEV(Daily!D19:D38)*SQRT(Inputs!$B$16)</f>
        <v>0.14357488375226862</v>
      </c>
      <c r="E38" s="11">
        <f>STDEV(Daily!E19:E38)*SQRT(Inputs!$B$16)</f>
        <v>8.5271873785903798E-2</v>
      </c>
      <c r="F38" s="11">
        <f>STDEV(Daily!F19:F38)*SQRT(Inputs!$B$16)</f>
        <v>0.16185203856458874</v>
      </c>
      <c r="G38" s="11">
        <f>STDEV(Daily!G19:G38)*SQRT(Inputs!$B$16)</f>
        <v>7.363426352499404E-2</v>
      </c>
      <c r="H38" s="11">
        <f>STDEV(Daily!H19:H38)*SQRT(Inputs!$B$16)</f>
        <v>0.11128886023532211</v>
      </c>
    </row>
    <row r="39" spans="1:8" x14ac:dyDescent="0.25">
      <c r="A39" s="18">
        <f>Prices!A39</f>
        <v>46003</v>
      </c>
      <c r="B39" s="11">
        <f>STDEV(Daily!B20:B39)*SQRT(Inputs!$B$16)</f>
        <v>8.3975791604157343E-2</v>
      </c>
      <c r="C39" s="11">
        <f>STDEV(Daily!C20:C39)*SQRT(Inputs!$B$16)</f>
        <v>0.12765222816912847</v>
      </c>
      <c r="D39" s="11">
        <f>STDEV(Daily!D20:D39)*SQRT(Inputs!$B$16)</f>
        <v>0.14822084533548105</v>
      </c>
      <c r="E39" s="11">
        <f>STDEV(Daily!E20:E39)*SQRT(Inputs!$B$16)</f>
        <v>8.5489273125998577E-2</v>
      </c>
      <c r="F39" s="11">
        <f>STDEV(Daily!F20:F39)*SQRT(Inputs!$B$16)</f>
        <v>0.15541101429811763</v>
      </c>
      <c r="G39" s="11">
        <f>STDEV(Daily!G20:G39)*SQRT(Inputs!$B$16)</f>
        <v>6.9963678230812759E-2</v>
      </c>
      <c r="H39" s="11">
        <f>STDEV(Daily!H20:H39)*SQRT(Inputs!$B$16)</f>
        <v>0.11059759502268764</v>
      </c>
    </row>
    <row r="40" spans="1:8" x14ac:dyDescent="0.25">
      <c r="A40" s="18">
        <f>Prices!A40</f>
        <v>46006</v>
      </c>
      <c r="B40" s="11">
        <f>STDEV(Daily!B21:B40)*SQRT(Inputs!$B$16)</f>
        <v>8.2874375932778188E-2</v>
      </c>
      <c r="C40" s="11">
        <f>STDEV(Daily!C21:C40)*SQRT(Inputs!$B$16)</f>
        <v>0.12445295619770559</v>
      </c>
      <c r="D40" s="11">
        <f>STDEV(Daily!D21:D40)*SQRT(Inputs!$B$16)</f>
        <v>0.14649595174740998</v>
      </c>
      <c r="E40" s="11">
        <f>STDEV(Daily!E21:E40)*SQRT(Inputs!$B$16)</f>
        <v>8.1615657954542425E-2</v>
      </c>
      <c r="F40" s="11">
        <f>STDEV(Daily!F21:F40)*SQRT(Inputs!$B$16)</f>
        <v>0.15539289483486929</v>
      </c>
      <c r="G40" s="11">
        <f>STDEV(Daily!G21:G40)*SQRT(Inputs!$B$16)</f>
        <v>7.4710144053272101E-2</v>
      </c>
      <c r="H40" s="11">
        <f>STDEV(Daily!H21:H40)*SQRT(Inputs!$B$16)</f>
        <v>0.11249816812885166</v>
      </c>
    </row>
    <row r="41" spans="1:8" x14ac:dyDescent="0.25">
      <c r="A41" s="18">
        <f>Prices!A41</f>
        <v>46007</v>
      </c>
      <c r="B41" s="11">
        <f>STDEV(Daily!B22:B41)*SQRT(Inputs!$B$16)</f>
        <v>8.4879595660894161E-2</v>
      </c>
      <c r="C41" s="11">
        <f>STDEV(Daily!C22:C41)*SQRT(Inputs!$B$16)</f>
        <v>0.1260971976888384</v>
      </c>
      <c r="D41" s="11">
        <f>STDEV(Daily!D22:D41)*SQRT(Inputs!$B$16)</f>
        <v>0.14563387930462562</v>
      </c>
      <c r="E41" s="11">
        <f>STDEV(Daily!E22:E41)*SQRT(Inputs!$B$16)</f>
        <v>8.5883313377122739E-2</v>
      </c>
      <c r="F41" s="11">
        <f>STDEV(Daily!F22:F41)*SQRT(Inputs!$B$16)</f>
        <v>0.15263031075809488</v>
      </c>
      <c r="G41" s="11">
        <f>STDEV(Daily!G22:G41)*SQRT(Inputs!$B$16)</f>
        <v>7.2431310954283651E-2</v>
      </c>
      <c r="H41" s="11">
        <f>STDEV(Daily!H22:H41)*SQRT(Inputs!$B$16)</f>
        <v>0.11160471115960729</v>
      </c>
    </row>
    <row r="42" spans="1:8" x14ac:dyDescent="0.25">
      <c r="A42" s="18">
        <f>Prices!A42</f>
        <v>46008</v>
      </c>
      <c r="B42" s="11">
        <f>STDEV(Daily!B23:B42)*SQRT(Inputs!$B$16)</f>
        <v>8.2388551345453684E-2</v>
      </c>
      <c r="C42" s="11">
        <f>STDEV(Daily!C23:C42)*SQRT(Inputs!$B$16)</f>
        <v>0.12654723983446048</v>
      </c>
      <c r="D42" s="11">
        <f>STDEV(Daily!D23:D42)*SQRT(Inputs!$B$16)</f>
        <v>0.14652849459504988</v>
      </c>
      <c r="E42" s="11">
        <f>STDEV(Daily!E23:E42)*SQRT(Inputs!$B$16)</f>
        <v>8.3825216586947915E-2</v>
      </c>
      <c r="F42" s="11">
        <f>STDEV(Daily!F23:F42)*SQRT(Inputs!$B$16)</f>
        <v>0.11510508359372194</v>
      </c>
      <c r="G42" s="11">
        <f>STDEV(Daily!G23:G42)*SQRT(Inputs!$B$16)</f>
        <v>7.3936325837626465E-2</v>
      </c>
      <c r="H42" s="11">
        <f>STDEV(Daily!H23:H42)*SQRT(Inputs!$B$16)</f>
        <v>0.11159626024142849</v>
      </c>
    </row>
    <row r="43" spans="1:8" x14ac:dyDescent="0.25">
      <c r="A43" s="18">
        <f>Prices!A43</f>
        <v>46009</v>
      </c>
      <c r="B43" s="11">
        <f>STDEV(Daily!B24:B43)*SQRT(Inputs!$B$16)</f>
        <v>7.9525525803842645E-2</v>
      </c>
      <c r="C43" s="11">
        <f>STDEV(Daily!C24:C43)*SQRT(Inputs!$B$16)</f>
        <v>0.12755028083297318</v>
      </c>
      <c r="D43" s="11">
        <f>STDEV(Daily!D24:D43)*SQRT(Inputs!$B$16)</f>
        <v>0.14699606598773668</v>
      </c>
      <c r="E43" s="11">
        <f>STDEV(Daily!E24:E43)*SQRT(Inputs!$B$16)</f>
        <v>8.3323052410573306E-2</v>
      </c>
      <c r="F43" s="11">
        <f>STDEV(Daily!F24:F43)*SQRT(Inputs!$B$16)</f>
        <v>0.12082363554627139</v>
      </c>
      <c r="G43" s="11">
        <f>STDEV(Daily!G24:G43)*SQRT(Inputs!$B$16)</f>
        <v>7.3722474497958809E-2</v>
      </c>
      <c r="H43" s="11">
        <f>STDEV(Daily!H24:H43)*SQRT(Inputs!$B$16)</f>
        <v>0.11249543253837976</v>
      </c>
    </row>
    <row r="44" spans="1:8" x14ac:dyDescent="0.25">
      <c r="A44" s="18">
        <f>Prices!A44</f>
        <v>46010</v>
      </c>
      <c r="B44" s="11">
        <f>STDEV(Daily!B25:B44)*SQRT(Inputs!$B$16)</f>
        <v>8.1274136855385315E-2</v>
      </c>
      <c r="C44" s="11">
        <f>STDEV(Daily!C25:C44)*SQRT(Inputs!$B$16)</f>
        <v>0.12974051174044401</v>
      </c>
      <c r="D44" s="11">
        <f>STDEV(Daily!D25:D44)*SQRT(Inputs!$B$16)</f>
        <v>0.15269217810763561</v>
      </c>
      <c r="E44" s="11">
        <f>STDEV(Daily!E25:E44)*SQRT(Inputs!$B$16)</f>
        <v>7.8695953671223784E-2</v>
      </c>
      <c r="F44" s="11">
        <f>STDEV(Daily!F25:F44)*SQRT(Inputs!$B$16)</f>
        <v>0.11848627381284238</v>
      </c>
      <c r="G44" s="11">
        <f>STDEV(Daily!G25:G44)*SQRT(Inputs!$B$16)</f>
        <v>7.5563712339881448E-2</v>
      </c>
      <c r="H44" s="11">
        <f>STDEV(Daily!H25:H44)*SQRT(Inputs!$B$16)</f>
        <v>0.12114134968834117</v>
      </c>
    </row>
    <row r="45" spans="1:8" x14ac:dyDescent="0.25">
      <c r="A45" s="18">
        <f>Prices!A45</f>
        <v>46013</v>
      </c>
      <c r="B45" s="11">
        <f>STDEV(Daily!B26:B45)*SQRT(Inputs!$B$16)</f>
        <v>8.4684697199085862E-2</v>
      </c>
      <c r="C45" s="11">
        <f>STDEV(Daily!C26:C45)*SQRT(Inputs!$B$16)</f>
        <v>0.13235095070487091</v>
      </c>
      <c r="D45" s="11">
        <f>STDEV(Daily!D26:D45)*SQRT(Inputs!$B$16)</f>
        <v>0.15673990388955553</v>
      </c>
      <c r="E45" s="11">
        <f>STDEV(Daily!E26:E45)*SQRT(Inputs!$B$16)</f>
        <v>7.9769236256709911E-2</v>
      </c>
      <c r="F45" s="11">
        <f>STDEV(Daily!F26:F45)*SQRT(Inputs!$B$16)</f>
        <v>0.13489342554837244</v>
      </c>
      <c r="G45" s="11">
        <f>STDEV(Daily!G26:G45)*SQRT(Inputs!$B$16)</f>
        <v>7.4770248685706073E-2</v>
      </c>
      <c r="H45" s="11">
        <f>STDEV(Daily!H26:H45)*SQRT(Inputs!$B$16)</f>
        <v>0.12349107307389701</v>
      </c>
    </row>
    <row r="46" spans="1:8" x14ac:dyDescent="0.25">
      <c r="A46" s="18">
        <f>Prices!A46</f>
        <v>46014</v>
      </c>
      <c r="B46" s="11">
        <f>STDEV(Daily!B27:B46)*SQRT(Inputs!$B$16)</f>
        <v>8.3795376478110625E-2</v>
      </c>
      <c r="C46" s="11">
        <f>STDEV(Daily!C27:C46)*SQRT(Inputs!$B$16)</f>
        <v>0.13189806836593268</v>
      </c>
      <c r="D46" s="11">
        <f>STDEV(Daily!D27:D46)*SQRT(Inputs!$B$16)</f>
        <v>0.15720687553721216</v>
      </c>
      <c r="E46" s="11">
        <f>STDEV(Daily!E27:E46)*SQRT(Inputs!$B$16)</f>
        <v>7.9751841726550532E-2</v>
      </c>
      <c r="F46" s="11">
        <f>STDEV(Daily!F27:F46)*SQRT(Inputs!$B$16)</f>
        <v>0.13710177532086865</v>
      </c>
      <c r="G46" s="11">
        <f>STDEV(Daily!G27:G46)*SQRT(Inputs!$B$16)</f>
        <v>7.6786932450749537E-2</v>
      </c>
      <c r="H46" s="11">
        <f>STDEV(Daily!H27:H46)*SQRT(Inputs!$B$16)</f>
        <v>0.1229601635358466</v>
      </c>
    </row>
    <row r="47" spans="1:8" x14ac:dyDescent="0.25">
      <c r="A47" s="18">
        <f>Prices!A47</f>
        <v>46015</v>
      </c>
      <c r="B47" s="11">
        <f>STDEV(Daily!B28:B47)*SQRT(Inputs!$B$16)</f>
        <v>7.1389701489159657E-2</v>
      </c>
      <c r="C47" s="11">
        <f>STDEV(Daily!C28:C47)*SQRT(Inputs!$B$16)</f>
        <v>0.12547392558949738</v>
      </c>
      <c r="D47" s="11">
        <f>STDEV(Daily!D28:D47)*SQRT(Inputs!$B$16)</f>
        <v>0.149117164823863</v>
      </c>
      <c r="E47" s="11">
        <f>STDEV(Daily!E28:E47)*SQRT(Inputs!$B$16)</f>
        <v>6.7201994161991407E-2</v>
      </c>
      <c r="F47" s="11">
        <f>STDEV(Daily!F28:F47)*SQRT(Inputs!$B$16)</f>
        <v>0.1329956064087609</v>
      </c>
      <c r="G47" s="11">
        <f>STDEV(Daily!G28:G47)*SQRT(Inputs!$B$16)</f>
        <v>7.3937109669982709E-2</v>
      </c>
      <c r="H47" s="11">
        <f>STDEV(Daily!H28:H47)*SQRT(Inputs!$B$16)</f>
        <v>0.11636914448516569</v>
      </c>
    </row>
    <row r="48" spans="1:8" x14ac:dyDescent="0.25">
      <c r="A48" s="18">
        <f>Prices!A48</f>
        <v>46017</v>
      </c>
      <c r="B48" s="11">
        <f>STDEV(Daily!B29:B48)*SQRT(Inputs!$B$16)</f>
        <v>7.2550711152955583E-2</v>
      </c>
      <c r="C48" s="11">
        <f>STDEV(Daily!C29:C48)*SQRT(Inputs!$B$16)</f>
        <v>0.12552676336369767</v>
      </c>
      <c r="D48" s="11">
        <f>STDEV(Daily!D29:D48)*SQRT(Inputs!$B$16)</f>
        <v>0.1481302022505695</v>
      </c>
      <c r="E48" s="11">
        <f>STDEV(Daily!E29:E48)*SQRT(Inputs!$B$16)</f>
        <v>6.6250998480442441E-2</v>
      </c>
      <c r="F48" s="11">
        <f>STDEV(Daily!F29:F48)*SQRT(Inputs!$B$16)</f>
        <v>0.14016821237296079</v>
      </c>
      <c r="G48" s="11">
        <f>STDEV(Daily!G29:G48)*SQRT(Inputs!$B$16)</f>
        <v>7.3915205840632797E-2</v>
      </c>
      <c r="H48" s="11">
        <f>STDEV(Daily!H29:H48)*SQRT(Inputs!$B$16)</f>
        <v>0.1173521405288644</v>
      </c>
    </row>
    <row r="49" spans="1:8" x14ac:dyDescent="0.25">
      <c r="A49" s="18">
        <f>Prices!A49</f>
        <v>46020</v>
      </c>
      <c r="B49" s="11">
        <f>STDEV(Daily!B30:B49)*SQRT(Inputs!$B$16)</f>
        <v>7.3625074399889648E-2</v>
      </c>
      <c r="C49" s="11">
        <f>STDEV(Daily!C30:C49)*SQRT(Inputs!$B$16)</f>
        <v>0.12656564233264414</v>
      </c>
      <c r="D49" s="11">
        <f>STDEV(Daily!D30:D49)*SQRT(Inputs!$B$16)</f>
        <v>0.14988686578699775</v>
      </c>
      <c r="E49" s="11">
        <f>STDEV(Daily!E30:E49)*SQRT(Inputs!$B$16)</f>
        <v>6.6218287161751585E-2</v>
      </c>
      <c r="F49" s="11">
        <f>STDEV(Daily!F30:F49)*SQRT(Inputs!$B$16)</f>
        <v>0.14356316509898734</v>
      </c>
      <c r="G49" s="11">
        <f>STDEV(Daily!G30:G49)*SQRT(Inputs!$B$16)</f>
        <v>7.3496550828396762E-2</v>
      </c>
      <c r="H49" s="11">
        <f>STDEV(Daily!H30:H49)*SQRT(Inputs!$B$16)</f>
        <v>0.11675756116554005</v>
      </c>
    </row>
    <row r="50" spans="1:8" x14ac:dyDescent="0.25">
      <c r="A50" s="18">
        <f>Prices!A50</f>
        <v>46021</v>
      </c>
      <c r="B50" s="11">
        <f>STDEV(Daily!B31:B50)*SQRT(Inputs!$B$16)</f>
        <v>7.3606231514890846E-2</v>
      </c>
      <c r="C50" s="11">
        <f>STDEV(Daily!C31:C50)*SQRT(Inputs!$B$16)</f>
        <v>0.12654395979065816</v>
      </c>
      <c r="D50" s="11">
        <f>STDEV(Daily!D31:D50)*SQRT(Inputs!$B$16)</f>
        <v>0.14954902007840251</v>
      </c>
      <c r="E50" s="11">
        <f>STDEV(Daily!E31:E50)*SQRT(Inputs!$B$16)</f>
        <v>6.8269178121171212E-2</v>
      </c>
      <c r="F50" s="11">
        <f>STDEV(Daily!F31:F50)*SQRT(Inputs!$B$16)</f>
        <v>0.14634840892233397</v>
      </c>
      <c r="G50" s="11">
        <f>STDEV(Daily!G31:G50)*SQRT(Inputs!$B$16)</f>
        <v>7.3900940404949406E-2</v>
      </c>
      <c r="H50" s="11">
        <f>STDEV(Daily!H31:H50)*SQRT(Inputs!$B$16)</f>
        <v>0.11986754184732749</v>
      </c>
    </row>
    <row r="51" spans="1:8" x14ac:dyDescent="0.25">
      <c r="A51" s="18">
        <f>Prices!A51</f>
        <v>46022</v>
      </c>
      <c r="B51" s="11">
        <f>STDEV(Daily!B32:B51)*SQRT(Inputs!$B$16)</f>
        <v>7.6014717283230504E-2</v>
      </c>
      <c r="C51" s="11">
        <f>STDEV(Daily!C32:C51)*SQRT(Inputs!$B$16)</f>
        <v>0.13168651495204006</v>
      </c>
      <c r="D51" s="11">
        <f>STDEV(Daily!D32:D51)*SQRT(Inputs!$B$16)</f>
        <v>0.15442967419594114</v>
      </c>
      <c r="E51" s="11">
        <f>STDEV(Daily!E32:E51)*SQRT(Inputs!$B$16)</f>
        <v>6.8619513742134403E-2</v>
      </c>
      <c r="F51" s="11">
        <f>STDEV(Daily!F32:F51)*SQRT(Inputs!$B$16)</f>
        <v>0.14689967919174848</v>
      </c>
      <c r="G51" s="11">
        <f>STDEV(Daily!G32:G51)*SQRT(Inputs!$B$16)</f>
        <v>7.9436784896621357E-2</v>
      </c>
      <c r="H51" s="11">
        <f>STDEV(Daily!H32:H51)*SQRT(Inputs!$B$16)</f>
        <v>0.12594670814151263</v>
      </c>
    </row>
    <row r="52" spans="1:8" x14ac:dyDescent="0.25">
      <c r="A52" s="18">
        <f>Prices!A52</f>
        <v>46023</v>
      </c>
      <c r="B52" s="11">
        <f>STDEV(Daily!B33:B52)*SQRT(Inputs!$B$16)</f>
        <v>7.5666669501795542E-2</v>
      </c>
      <c r="C52" s="11">
        <f>STDEV(Daily!C33:C52)*SQRT(Inputs!$B$16)</f>
        <v>0.12774778573416284</v>
      </c>
      <c r="D52" s="11">
        <f>STDEV(Daily!D33:D52)*SQRT(Inputs!$B$16)</f>
        <v>0.15221327985739341</v>
      </c>
      <c r="E52" s="11">
        <f>STDEV(Daily!E33:E52)*SQRT(Inputs!$B$16)</f>
        <v>6.8872722217757351E-2</v>
      </c>
      <c r="F52" s="11">
        <f>STDEV(Daily!F33:F52)*SQRT(Inputs!$B$16)</f>
        <v>0.14691413543027282</v>
      </c>
      <c r="G52" s="11">
        <f>STDEV(Daily!G33:G52)*SQRT(Inputs!$B$16)</f>
        <v>0.13585188780384719</v>
      </c>
      <c r="H52" s="11">
        <f>STDEV(Daily!H33:H52)*SQRT(Inputs!$B$16)</f>
        <v>0.12164141008531611</v>
      </c>
    </row>
    <row r="53" spans="1:8" x14ac:dyDescent="0.25">
      <c r="A53" s="18">
        <f>Prices!A53</f>
        <v>46024</v>
      </c>
      <c r="B53" s="11">
        <f>STDEV(Daily!B34:B53)*SQRT(Inputs!$B$16)</f>
        <v>7.9136338750287985E-2</v>
      </c>
      <c r="C53" s="11">
        <f>STDEV(Daily!C34:C53)*SQRT(Inputs!$B$16)</f>
        <v>0.13229001086239506</v>
      </c>
      <c r="D53" s="11">
        <f>STDEV(Daily!D34:D53)*SQRT(Inputs!$B$16)</f>
        <v>0.15384448948601637</v>
      </c>
      <c r="E53" s="11">
        <f>STDEV(Daily!E34:E53)*SQRT(Inputs!$B$16)</f>
        <v>7.3022294573608593E-2</v>
      </c>
      <c r="F53" s="11">
        <f>STDEV(Daily!F34:F53)*SQRT(Inputs!$B$16)</f>
        <v>0.1385541143715891</v>
      </c>
      <c r="G53" s="11">
        <f>STDEV(Daily!G34:G53)*SQRT(Inputs!$B$16)</f>
        <v>0.13918100382434465</v>
      </c>
      <c r="H53" s="11">
        <f>STDEV(Daily!H34:H53)*SQRT(Inputs!$B$16)</f>
        <v>0.1264708161353412</v>
      </c>
    </row>
    <row r="54" spans="1:8" x14ac:dyDescent="0.25">
      <c r="A54" s="18">
        <f>Prices!A54</f>
        <v>46027</v>
      </c>
      <c r="B54" s="11">
        <f>STDEV(Daily!B35:B54)*SQRT(Inputs!$B$16)</f>
        <v>7.7501013567881263E-2</v>
      </c>
      <c r="C54" s="11">
        <f>STDEV(Daily!C35:C54)*SQRT(Inputs!$B$16)</f>
        <v>0.13171245576284102</v>
      </c>
      <c r="D54" s="11">
        <f>STDEV(Daily!D35:D54)*SQRT(Inputs!$B$16)</f>
        <v>0.15275333784781439</v>
      </c>
      <c r="E54" s="11">
        <f>STDEV(Daily!E35:E54)*SQRT(Inputs!$B$16)</f>
        <v>6.7835404610843614E-2</v>
      </c>
      <c r="F54" s="11">
        <f>STDEV(Daily!F35:F54)*SQRT(Inputs!$B$16)</f>
        <v>0.14313894913867331</v>
      </c>
      <c r="G54" s="11">
        <f>STDEV(Daily!G35:G54)*SQRT(Inputs!$B$16)</f>
        <v>0.1425213512104507</v>
      </c>
      <c r="H54" s="11">
        <f>STDEV(Daily!H35:H54)*SQRT(Inputs!$B$16)</f>
        <v>0.12489451862851567</v>
      </c>
    </row>
    <row r="55" spans="1:8" x14ac:dyDescent="0.25">
      <c r="A55" s="18">
        <f>Prices!A55</f>
        <v>46028</v>
      </c>
      <c r="B55" s="11">
        <f>STDEV(Daily!B36:B55)*SQRT(Inputs!$B$16)</f>
        <v>7.1233131398096838E-2</v>
      </c>
      <c r="C55" s="11">
        <f>STDEV(Daily!C36:C55)*SQRT(Inputs!$B$16)</f>
        <v>0.11199857729844641</v>
      </c>
      <c r="D55" s="11">
        <f>STDEV(Daily!D36:D55)*SQRT(Inputs!$B$16)</f>
        <v>0.11505294064050442</v>
      </c>
      <c r="E55" s="11">
        <f>STDEV(Daily!E36:E55)*SQRT(Inputs!$B$16)</f>
        <v>5.8415753362190292E-2</v>
      </c>
      <c r="F55" s="11">
        <f>STDEV(Daily!F36:F55)*SQRT(Inputs!$B$16)</f>
        <v>0.14486895645626033</v>
      </c>
      <c r="G55" s="11">
        <f>STDEV(Daily!G36:G55)*SQRT(Inputs!$B$16)</f>
        <v>0.13760146511249843</v>
      </c>
      <c r="H55" s="11">
        <f>STDEV(Daily!H36:H55)*SQRT(Inputs!$B$16)</f>
        <v>0.11359540364715434</v>
      </c>
    </row>
    <row r="56" spans="1:8" x14ac:dyDescent="0.25">
      <c r="A56" s="18">
        <f>Prices!A56</f>
        <v>46029</v>
      </c>
      <c r="B56" s="11">
        <f>STDEV(Daily!B37:B56)*SQRT(Inputs!$B$16)</f>
        <v>6.9073413843543208E-2</v>
      </c>
      <c r="C56" s="11">
        <f>STDEV(Daily!C37:C56)*SQRT(Inputs!$B$16)</f>
        <v>0.11238342337628586</v>
      </c>
      <c r="D56" s="11">
        <f>STDEV(Daily!D37:D56)*SQRT(Inputs!$B$16)</f>
        <v>0.11029788784238002</v>
      </c>
      <c r="E56" s="11">
        <f>STDEV(Daily!E37:E56)*SQRT(Inputs!$B$16)</f>
        <v>5.9205694867488598E-2</v>
      </c>
      <c r="F56" s="11">
        <f>STDEV(Daily!F37:F56)*SQRT(Inputs!$B$16)</f>
        <v>0.15411511433694924</v>
      </c>
      <c r="G56" s="11">
        <f>STDEV(Daily!G37:G56)*SQRT(Inputs!$B$16)</f>
        <v>0.13759451822898627</v>
      </c>
      <c r="H56" s="11">
        <f>STDEV(Daily!H37:H56)*SQRT(Inputs!$B$16)</f>
        <v>0.11450808845667985</v>
      </c>
    </row>
    <row r="57" spans="1:8" x14ac:dyDescent="0.25">
      <c r="A57" s="18">
        <f>Prices!A57</f>
        <v>46030</v>
      </c>
      <c r="B57" s="11">
        <f>STDEV(Daily!B38:B57)*SQRT(Inputs!$B$16)</f>
        <v>7.7889589107265414E-2</v>
      </c>
      <c r="C57" s="11">
        <f>STDEV(Daily!C38:C57)*SQRT(Inputs!$B$16)</f>
        <v>0.12777216965531427</v>
      </c>
      <c r="D57" s="11">
        <f>STDEV(Daily!D38:D57)*SQRT(Inputs!$B$16)</f>
        <v>0.12981840907449502</v>
      </c>
      <c r="E57" s="11">
        <f>STDEV(Daily!E38:E57)*SQRT(Inputs!$B$16)</f>
        <v>5.9984598082388908E-2</v>
      </c>
      <c r="F57" s="11">
        <f>STDEV(Daily!F38:F57)*SQRT(Inputs!$B$16)</f>
        <v>0.1675416863730797</v>
      </c>
      <c r="G57" s="11">
        <f>STDEV(Daily!G38:G57)*SQRT(Inputs!$B$16)</f>
        <v>0.14054150349216363</v>
      </c>
      <c r="H57" s="11">
        <f>STDEV(Daily!H38:H57)*SQRT(Inputs!$B$16)</f>
        <v>0.12158999629107255</v>
      </c>
    </row>
    <row r="58" spans="1:8" x14ac:dyDescent="0.25">
      <c r="A58" s="18">
        <f>Prices!A58</f>
        <v>46031</v>
      </c>
      <c r="B58" s="11">
        <f>STDEV(Daily!B39:B58)*SQRT(Inputs!$B$16)</f>
        <v>7.9911463259801752E-2</v>
      </c>
      <c r="C58" s="11">
        <f>STDEV(Daily!C39:C58)*SQRT(Inputs!$B$16)</f>
        <v>0.12725764261374373</v>
      </c>
      <c r="D58" s="11">
        <f>STDEV(Daily!D39:D58)*SQRT(Inputs!$B$16)</f>
        <v>0.1446395069087828</v>
      </c>
      <c r="E58" s="11">
        <f>STDEV(Daily!E39:E58)*SQRT(Inputs!$B$16)</f>
        <v>6.4546136177644403E-2</v>
      </c>
      <c r="F58" s="11">
        <f>STDEV(Daily!F39:F58)*SQRT(Inputs!$B$16)</f>
        <v>0.16526563847985895</v>
      </c>
      <c r="G58" s="11">
        <f>STDEV(Daily!G39:G58)*SQRT(Inputs!$B$16)</f>
        <v>0.14375878833177697</v>
      </c>
      <c r="H58" s="11">
        <f>STDEV(Daily!H39:H58)*SQRT(Inputs!$B$16)</f>
        <v>0.12543657736517402</v>
      </c>
    </row>
    <row r="59" spans="1:8" x14ac:dyDescent="0.25">
      <c r="A59" s="18">
        <f>Prices!A59</f>
        <v>46034</v>
      </c>
      <c r="B59" s="11">
        <f>STDEV(Daily!B40:B59)*SQRT(Inputs!$B$16)</f>
        <v>7.8497767667966692E-2</v>
      </c>
      <c r="C59" s="11">
        <f>STDEV(Daily!C40:C59)*SQRT(Inputs!$B$16)</f>
        <v>0.11956207512356531</v>
      </c>
      <c r="D59" s="11">
        <f>STDEV(Daily!D40:D59)*SQRT(Inputs!$B$16)</f>
        <v>0.1415609261633477</v>
      </c>
      <c r="E59" s="11">
        <f>STDEV(Daily!E40:E59)*SQRT(Inputs!$B$16)</f>
        <v>6.4750267763145908E-2</v>
      </c>
      <c r="F59" s="11">
        <f>STDEV(Daily!F40:F59)*SQRT(Inputs!$B$16)</f>
        <v>0.1643483272299455</v>
      </c>
      <c r="G59" s="11">
        <f>STDEV(Daily!G40:G59)*SQRT(Inputs!$B$16)</f>
        <v>0.14642039527660003</v>
      </c>
      <c r="H59" s="11">
        <f>STDEV(Daily!H40:H59)*SQRT(Inputs!$B$16)</f>
        <v>0.1245771300823761</v>
      </c>
    </row>
    <row r="60" spans="1:8" x14ac:dyDescent="0.25">
      <c r="A60" s="18">
        <f>Prices!A60</f>
        <v>46035</v>
      </c>
      <c r="B60" s="11">
        <f>STDEV(Daily!B41:B60)*SQRT(Inputs!$B$16)</f>
        <v>7.8744499722267339E-2</v>
      </c>
      <c r="C60" s="11">
        <f>STDEV(Daily!C41:C60)*SQRT(Inputs!$B$16)</f>
        <v>0.11966477261448934</v>
      </c>
      <c r="D60" s="11">
        <f>STDEV(Daily!D41:D60)*SQRT(Inputs!$B$16)</f>
        <v>0.14317518164510765</v>
      </c>
      <c r="E60" s="11">
        <f>STDEV(Daily!E41:E60)*SQRT(Inputs!$B$16)</f>
        <v>6.5060585473124807E-2</v>
      </c>
      <c r="F60" s="11">
        <f>STDEV(Daily!F41:F60)*SQRT(Inputs!$B$16)</f>
        <v>0.16579190580557462</v>
      </c>
      <c r="G60" s="11">
        <f>STDEV(Daily!G41:G60)*SQRT(Inputs!$B$16)</f>
        <v>0.14298098953078248</v>
      </c>
      <c r="H60" s="11">
        <f>STDEV(Daily!H41:H60)*SQRT(Inputs!$B$16)</f>
        <v>0.1204414400262681</v>
      </c>
    </row>
    <row r="61" spans="1:8" x14ac:dyDescent="0.25">
      <c r="A61" s="18">
        <f>Prices!A61</f>
        <v>46036</v>
      </c>
      <c r="B61" s="11">
        <f>STDEV(Daily!B42:B61)*SQRT(Inputs!$B$16)</f>
        <v>7.6088473555846289E-2</v>
      </c>
      <c r="C61" s="11">
        <f>STDEV(Daily!C42:C61)*SQRT(Inputs!$B$16)</f>
        <v>0.11649168694287407</v>
      </c>
      <c r="D61" s="11">
        <f>STDEV(Daily!D42:D61)*SQRT(Inputs!$B$16)</f>
        <v>0.14118179080030835</v>
      </c>
      <c r="E61" s="11">
        <f>STDEV(Daily!E42:E61)*SQRT(Inputs!$B$16)</f>
        <v>5.9106088592038759E-2</v>
      </c>
      <c r="F61" s="11">
        <f>STDEV(Daily!F42:F61)*SQRT(Inputs!$B$16)</f>
        <v>0.16758387535019836</v>
      </c>
      <c r="G61" s="11">
        <f>STDEV(Daily!G42:G61)*SQRT(Inputs!$B$16)</f>
        <v>0.14344153456458841</v>
      </c>
      <c r="H61" s="11">
        <f>STDEV(Daily!H42:H61)*SQRT(Inputs!$B$16)</f>
        <v>0.12332864448243712</v>
      </c>
    </row>
    <row r="62" spans="1:8" x14ac:dyDescent="0.25">
      <c r="A62" s="18">
        <f>Prices!A62</f>
        <v>46038</v>
      </c>
      <c r="B62" s="11">
        <f>STDEV(Daily!B43:B62)*SQRT(Inputs!$B$16)</f>
        <v>7.6114638678208821E-2</v>
      </c>
      <c r="C62" s="11">
        <f>STDEV(Daily!C43:C62)*SQRT(Inputs!$B$16)</f>
        <v>0.11477420980404295</v>
      </c>
      <c r="D62" s="11">
        <f>STDEV(Daily!D43:D62)*SQRT(Inputs!$B$16)</f>
        <v>0.1387565816551998</v>
      </c>
      <c r="E62" s="11">
        <f>STDEV(Daily!E43:E62)*SQRT(Inputs!$B$16)</f>
        <v>6.5099287658128682E-2</v>
      </c>
      <c r="F62" s="11">
        <f>STDEV(Daily!F43:F62)*SQRT(Inputs!$B$16)</f>
        <v>0.20586571870913678</v>
      </c>
      <c r="G62" s="11">
        <f>STDEV(Daily!G43:G62)*SQRT(Inputs!$B$16)</f>
        <v>0.14317259397041224</v>
      </c>
      <c r="H62" s="11">
        <f>STDEV(Daily!H43:H62)*SQRT(Inputs!$B$16)</f>
        <v>0.12431072229824607</v>
      </c>
    </row>
    <row r="63" spans="1:8" x14ac:dyDescent="0.25">
      <c r="A63" s="18">
        <f>Prices!A63</f>
        <v>46041</v>
      </c>
      <c r="B63" s="11">
        <f>STDEV(Daily!B44:B63)*SQRT(Inputs!$B$16)</f>
        <v>7.7426582389965484E-2</v>
      </c>
      <c r="C63" s="11">
        <f>STDEV(Daily!C44:C63)*SQRT(Inputs!$B$16)</f>
        <v>0.11508241494768856</v>
      </c>
      <c r="D63" s="11">
        <f>STDEV(Daily!D44:D63)*SQRT(Inputs!$B$16)</f>
        <v>0.143694181007963</v>
      </c>
      <c r="E63" s="11">
        <f>STDEV(Daily!E44:E63)*SQRT(Inputs!$B$16)</f>
        <v>6.6828075003258894E-2</v>
      </c>
      <c r="F63" s="11">
        <f>STDEV(Daily!F44:F63)*SQRT(Inputs!$B$16)</f>
        <v>0.20276625293754189</v>
      </c>
      <c r="G63" s="11">
        <f>STDEV(Daily!G44:G63)*SQRT(Inputs!$B$16)</f>
        <v>0.14661617764979912</v>
      </c>
      <c r="H63" s="11">
        <f>STDEV(Daily!H44:H63)*SQRT(Inputs!$B$16)</f>
        <v>0.12208306229070351</v>
      </c>
    </row>
    <row r="64" spans="1:8" x14ac:dyDescent="0.25">
      <c r="A64" s="18">
        <f>Prices!A64</f>
        <v>46042</v>
      </c>
      <c r="B64" s="11">
        <f>STDEV(Daily!B45:B64)*SQRT(Inputs!$B$16)</f>
        <v>8.7084194904487836E-2</v>
      </c>
      <c r="C64" s="11">
        <f>STDEV(Daily!C45:C64)*SQRT(Inputs!$B$16)</f>
        <v>0.13971514235826915</v>
      </c>
      <c r="D64" s="11">
        <f>STDEV(Daily!D45:D64)*SQRT(Inputs!$B$16)</f>
        <v>0.1673345869140804</v>
      </c>
      <c r="E64" s="11">
        <f>STDEV(Daily!E45:E64)*SQRT(Inputs!$B$16)</f>
        <v>7.3560117252468568E-2</v>
      </c>
      <c r="F64" s="11">
        <f>STDEV(Daily!F45:F64)*SQRT(Inputs!$B$16)</f>
        <v>0.21595771137664721</v>
      </c>
      <c r="G64" s="11">
        <f>STDEV(Daily!G45:G64)*SQRT(Inputs!$B$16)</f>
        <v>0.15153166904110035</v>
      </c>
      <c r="H64" s="11">
        <f>STDEV(Daily!H45:H64)*SQRT(Inputs!$B$16)</f>
        <v>0.14392501360455437</v>
      </c>
    </row>
    <row r="65" spans="1:8" x14ac:dyDescent="0.25">
      <c r="A65" s="18">
        <f>Prices!A65</f>
        <v>46043</v>
      </c>
      <c r="B65" s="11">
        <f>STDEV(Daily!B46:B65)*SQRT(Inputs!$B$16)</f>
        <v>7.985580829451118E-2</v>
      </c>
      <c r="C65" s="11">
        <f>STDEV(Daily!C46:C65)*SQRT(Inputs!$B$16)</f>
        <v>0.13815606473366449</v>
      </c>
      <c r="D65" s="11">
        <f>STDEV(Daily!D46:D65)*SQRT(Inputs!$B$16)</f>
        <v>0.16096031844838493</v>
      </c>
      <c r="E65" s="11">
        <f>STDEV(Daily!E46:E65)*SQRT(Inputs!$B$16)</f>
        <v>8.0929122744651263E-2</v>
      </c>
      <c r="F65" s="11">
        <f>STDEV(Daily!F46:F65)*SQRT(Inputs!$B$16)</f>
        <v>0.2008448757650759</v>
      </c>
      <c r="G65" s="11">
        <f>STDEV(Daily!G46:G65)*SQRT(Inputs!$B$16)</f>
        <v>0.14889784829871969</v>
      </c>
      <c r="H65" s="11">
        <f>STDEV(Daily!H46:H65)*SQRT(Inputs!$B$16)</f>
        <v>0.13952894224042373</v>
      </c>
    </row>
    <row r="66" spans="1:8" x14ac:dyDescent="0.25">
      <c r="A66" s="18">
        <f>Prices!A66</f>
        <v>46044</v>
      </c>
      <c r="B66" s="11">
        <f>STDEV(Daily!B47:B66)*SQRT(Inputs!$B$16)</f>
        <v>8.3614599002257137E-2</v>
      </c>
      <c r="C66" s="11">
        <f>STDEV(Daily!C47:C66)*SQRT(Inputs!$B$16)</f>
        <v>0.14946952005332031</v>
      </c>
      <c r="D66" s="11">
        <f>STDEV(Daily!D47:D66)*SQRT(Inputs!$B$16)</f>
        <v>0.16367874926743048</v>
      </c>
      <c r="E66" s="11">
        <f>STDEV(Daily!E47:E66)*SQRT(Inputs!$B$16)</f>
        <v>8.4892702700625433E-2</v>
      </c>
      <c r="F66" s="11">
        <f>STDEV(Daily!F47:F66)*SQRT(Inputs!$B$16)</f>
        <v>0.2024796946484918</v>
      </c>
      <c r="G66" s="11">
        <f>STDEV(Daily!G47:G66)*SQRT(Inputs!$B$16)</f>
        <v>0.15490068010215638</v>
      </c>
      <c r="H66" s="11">
        <f>STDEV(Daily!H47:H66)*SQRT(Inputs!$B$16)</f>
        <v>0.14450899594940067</v>
      </c>
    </row>
    <row r="67" spans="1:8" x14ac:dyDescent="0.25">
      <c r="A67" s="18">
        <f>Prices!A67</f>
        <v>46045</v>
      </c>
      <c r="B67" s="11">
        <f>STDEV(Daily!B48:B67)*SQRT(Inputs!$B$16)</f>
        <v>8.8080264901983785E-2</v>
      </c>
      <c r="C67" s="11">
        <f>STDEV(Daily!C48:C67)*SQRT(Inputs!$B$16)</f>
        <v>0.15926482384567414</v>
      </c>
      <c r="D67" s="11">
        <f>STDEV(Daily!D48:D67)*SQRT(Inputs!$B$16)</f>
        <v>0.17239579460174151</v>
      </c>
      <c r="E67" s="11">
        <f>STDEV(Daily!E48:E67)*SQRT(Inputs!$B$16)</f>
        <v>9.521706981023223E-2</v>
      </c>
      <c r="F67" s="11">
        <f>STDEV(Daily!F48:F67)*SQRT(Inputs!$B$16)</f>
        <v>0.20193992531206981</v>
      </c>
      <c r="G67" s="11">
        <f>STDEV(Daily!G48:G67)*SQRT(Inputs!$B$16)</f>
        <v>0.15522030777969598</v>
      </c>
      <c r="H67" s="11">
        <f>STDEV(Daily!H48:H67)*SQRT(Inputs!$B$16)</f>
        <v>0.14860191432063036</v>
      </c>
    </row>
    <row r="68" spans="1:8" x14ac:dyDescent="0.25">
      <c r="A68" s="18">
        <f>Prices!A68</f>
        <v>46049</v>
      </c>
      <c r="B68" s="11">
        <f>STDEV(Daily!B49:B68)*SQRT(Inputs!$B$16)</f>
        <v>9.1385355031045459E-2</v>
      </c>
      <c r="C68" s="11">
        <f>STDEV(Daily!C49:C68)*SQRT(Inputs!$B$16)</f>
        <v>0.16222099788424071</v>
      </c>
      <c r="D68" s="11">
        <f>STDEV(Daily!D49:D68)*SQRT(Inputs!$B$16)</f>
        <v>0.174412262428249</v>
      </c>
      <c r="E68" s="11">
        <f>STDEV(Daily!E49:E68)*SQRT(Inputs!$B$16)</f>
        <v>0.10543548231207056</v>
      </c>
      <c r="F68" s="11">
        <f>STDEV(Daily!F49:F68)*SQRT(Inputs!$B$16)</f>
        <v>0.20134886941389704</v>
      </c>
      <c r="G68" s="11">
        <f>STDEV(Daily!G49:G68)*SQRT(Inputs!$B$16)</f>
        <v>0.15495547393085615</v>
      </c>
      <c r="H68" s="11">
        <f>STDEV(Daily!H49:H68)*SQRT(Inputs!$B$16)</f>
        <v>0.15052011393587991</v>
      </c>
    </row>
    <row r="69" spans="1:8" x14ac:dyDescent="0.25">
      <c r="A69" s="18">
        <f>Prices!A69</f>
        <v>46050</v>
      </c>
      <c r="B69" s="11">
        <f>STDEV(Daily!B50:B69)*SQRT(Inputs!$B$16)</f>
        <v>9.5574117651086185E-2</v>
      </c>
      <c r="C69" s="11">
        <f>STDEV(Daily!C50:C69)*SQRT(Inputs!$B$16)</f>
        <v>0.17510793810062919</v>
      </c>
      <c r="D69" s="11">
        <f>STDEV(Daily!D50:D69)*SQRT(Inputs!$B$16)</f>
        <v>0.19709050947724152</v>
      </c>
      <c r="E69" s="11">
        <f>STDEV(Daily!E50:E69)*SQRT(Inputs!$B$16)</f>
        <v>0.1076886472111271</v>
      </c>
      <c r="F69" s="11">
        <f>STDEV(Daily!F50:F69)*SQRT(Inputs!$B$16)</f>
        <v>0.19977255945514943</v>
      </c>
      <c r="G69" s="11">
        <f>STDEV(Daily!G50:G69)*SQRT(Inputs!$B$16)</f>
        <v>0.15445918748933241</v>
      </c>
      <c r="H69" s="11">
        <f>STDEV(Daily!H50:H69)*SQRT(Inputs!$B$16)</f>
        <v>0.15333228167328317</v>
      </c>
    </row>
    <row r="70" spans="1:8" x14ac:dyDescent="0.25">
      <c r="A70" s="18">
        <f>Prices!A70</f>
        <v>46051</v>
      </c>
      <c r="B70" s="11">
        <f>STDEV(Daily!B51:B70)*SQRT(Inputs!$B$16)</f>
        <v>9.6659227599059164E-2</v>
      </c>
      <c r="C70" s="11">
        <f>STDEV(Daily!C51:C70)*SQRT(Inputs!$B$16)</f>
        <v>0.17543058595531175</v>
      </c>
      <c r="D70" s="11">
        <f>STDEV(Daily!D51:D70)*SQRT(Inputs!$B$16)</f>
        <v>0.19763640173220962</v>
      </c>
      <c r="E70" s="11">
        <f>STDEV(Daily!E51:E70)*SQRT(Inputs!$B$16)</f>
        <v>0.10875266257768107</v>
      </c>
      <c r="F70" s="11">
        <f>STDEV(Daily!F51:F70)*SQRT(Inputs!$B$16)</f>
        <v>0.19986640164381089</v>
      </c>
      <c r="G70" s="11">
        <f>STDEV(Daily!G51:G70)*SQRT(Inputs!$B$16)</f>
        <v>0.15546418940149537</v>
      </c>
      <c r="H70" s="11">
        <f>STDEV(Daily!H51:H70)*SQRT(Inputs!$B$16)</f>
        <v>0.14720990513812693</v>
      </c>
    </row>
    <row r="71" spans="1:8" x14ac:dyDescent="0.25">
      <c r="A71" s="18">
        <f>Prices!A71</f>
        <v>46052</v>
      </c>
      <c r="B71" s="11">
        <f>STDEV(Daily!B52:B71)*SQRT(Inputs!$B$16)</f>
        <v>9.1894150655753681E-2</v>
      </c>
      <c r="C71" s="11">
        <f>STDEV(Daily!C52:C71)*SQRT(Inputs!$B$16)</f>
        <v>0.17088699869520521</v>
      </c>
      <c r="D71" s="11">
        <f>STDEV(Daily!D52:D71)*SQRT(Inputs!$B$16)</f>
        <v>0.19262437797582138</v>
      </c>
      <c r="E71" s="11">
        <f>STDEV(Daily!E52:E71)*SQRT(Inputs!$B$16)</f>
        <v>0.10842908103412749</v>
      </c>
      <c r="F71" s="11">
        <f>STDEV(Daily!F52:F71)*SQRT(Inputs!$B$16)</f>
        <v>0.20326445558417949</v>
      </c>
      <c r="G71" s="11">
        <f>STDEV(Daily!G52:G71)*SQRT(Inputs!$B$16)</f>
        <v>0.16249632463529198</v>
      </c>
      <c r="H71" s="11">
        <f>STDEV(Daily!H52:H71)*SQRT(Inputs!$B$16)</f>
        <v>0.14361668016547083</v>
      </c>
    </row>
    <row r="72" spans="1:8" x14ac:dyDescent="0.25">
      <c r="A72" s="18">
        <f>Prices!A72</f>
        <v>46054</v>
      </c>
      <c r="B72" s="11">
        <f>STDEV(Daily!B53:B72)*SQRT(Inputs!$B$16)</f>
        <v>0.11138916587992929</v>
      </c>
      <c r="C72" s="11">
        <f>STDEV(Daily!C53:C72)*SQRT(Inputs!$B$16)</f>
        <v>0.18427845130784037</v>
      </c>
      <c r="D72" s="11">
        <f>STDEV(Daily!D53:D72)*SQRT(Inputs!$B$16)</f>
        <v>0.21178293326589659</v>
      </c>
      <c r="E72" s="11">
        <f>STDEV(Daily!E53:E72)*SQRT(Inputs!$B$16)</f>
        <v>0.12926354156756675</v>
      </c>
      <c r="F72" s="11">
        <f>STDEV(Daily!F53:F72)*SQRT(Inputs!$B$16)</f>
        <v>0.20247296008907964</v>
      </c>
      <c r="G72" s="11">
        <f>STDEV(Daily!G53:G72)*SQRT(Inputs!$B$16)</f>
        <v>0.14462035373572005</v>
      </c>
      <c r="H72" s="11">
        <f>STDEV(Daily!H53:H72)*SQRT(Inputs!$B$16)</f>
        <v>0.14911513385787584</v>
      </c>
    </row>
    <row r="73" spans="1:8" x14ac:dyDescent="0.25">
      <c r="A73" s="18">
        <f>Prices!A73</f>
        <v>46055</v>
      </c>
      <c r="B73" s="11">
        <f>STDEV(Daily!B54:B73)*SQRT(Inputs!$B$16)</f>
        <v>0.11615194823293763</v>
      </c>
      <c r="C73" s="11">
        <f>STDEV(Daily!C54:C73)*SQRT(Inputs!$B$16)</f>
        <v>0.18376048686804905</v>
      </c>
      <c r="D73" s="11">
        <f>STDEV(Daily!D54:D73)*SQRT(Inputs!$B$16)</f>
        <v>0.21127357291303175</v>
      </c>
      <c r="E73" s="11">
        <f>STDEV(Daily!E54:E73)*SQRT(Inputs!$B$16)</f>
        <v>0.12660518390301082</v>
      </c>
      <c r="F73" s="11">
        <f>STDEV(Daily!F54:F73)*SQRT(Inputs!$B$16)</f>
        <v>0.20267342314451292</v>
      </c>
      <c r="G73" s="11">
        <f>STDEV(Daily!G54:G73)*SQRT(Inputs!$B$16)</f>
        <v>0.15044298664342076</v>
      </c>
      <c r="H73" s="11">
        <f>STDEV(Daily!H54:H73)*SQRT(Inputs!$B$16)</f>
        <v>0.1661007019606886</v>
      </c>
    </row>
    <row r="74" spans="1:8" x14ac:dyDescent="0.25">
      <c r="A74" s="18">
        <f>Prices!A74</f>
        <v>46056</v>
      </c>
      <c r="B74" s="11">
        <f>STDEV(Daily!B55:B74)*SQRT(Inputs!$B$16)</f>
        <v>0.15246148801001858</v>
      </c>
      <c r="C74" s="11">
        <f>STDEV(Daily!C55:C74)*SQRT(Inputs!$B$16)</f>
        <v>0.21512090923380364</v>
      </c>
      <c r="D74" s="11">
        <f>STDEV(Daily!D55:D74)*SQRT(Inputs!$B$16)</f>
        <v>0.23813227217377864</v>
      </c>
      <c r="E74" s="11">
        <f>STDEV(Daily!E55:E74)*SQRT(Inputs!$B$16)</f>
        <v>0.15561214968661913</v>
      </c>
      <c r="F74" s="11">
        <f>STDEV(Daily!F55:F74)*SQRT(Inputs!$B$16)</f>
        <v>0.20160659809436388</v>
      </c>
      <c r="G74" s="11">
        <f>STDEV(Daily!G55:G74)*SQRT(Inputs!$B$16)</f>
        <v>0.14827423974275789</v>
      </c>
      <c r="H74" s="11">
        <f>STDEV(Daily!H55:H74)*SQRT(Inputs!$B$16)</f>
        <v>0.19978365863107053</v>
      </c>
    </row>
    <row r="75" spans="1:8" x14ac:dyDescent="0.25">
      <c r="A75" s="18">
        <f>Prices!A75</f>
        <v>46057</v>
      </c>
      <c r="B75" s="11">
        <f>STDEV(Daily!B56:B75)*SQRT(Inputs!$B$16)</f>
        <v>0.15263150179350321</v>
      </c>
      <c r="C75" s="11">
        <f>STDEV(Daily!C56:C75)*SQRT(Inputs!$B$16)</f>
        <v>0.21692009108958857</v>
      </c>
      <c r="D75" s="11">
        <f>STDEV(Daily!D56:D75)*SQRT(Inputs!$B$16)</f>
        <v>0.24425757504338552</v>
      </c>
      <c r="E75" s="11">
        <f>STDEV(Daily!E56:E75)*SQRT(Inputs!$B$16)</f>
        <v>0.15598829525546204</v>
      </c>
      <c r="F75" s="11">
        <f>STDEV(Daily!F56:F75)*SQRT(Inputs!$B$16)</f>
        <v>0.29190487402674481</v>
      </c>
      <c r="G75" s="11">
        <f>STDEV(Daily!G56:G75)*SQRT(Inputs!$B$16)</f>
        <v>0.14828434901770235</v>
      </c>
      <c r="H75" s="11">
        <f>STDEV(Daily!H56:H75)*SQRT(Inputs!$B$16)</f>
        <v>0.20582804845275499</v>
      </c>
    </row>
    <row r="76" spans="1:8" x14ac:dyDescent="0.25">
      <c r="A76" s="18">
        <f>Prices!A76</f>
        <v>46058</v>
      </c>
      <c r="B76" s="11">
        <f>STDEV(Daily!B57:B76)*SQRT(Inputs!$B$16)</f>
        <v>0.1534321357279981</v>
      </c>
      <c r="C76" s="11">
        <f>STDEV(Daily!C57:C76)*SQRT(Inputs!$B$16)</f>
        <v>0.21594917067445668</v>
      </c>
      <c r="D76" s="11">
        <f>STDEV(Daily!D57:D76)*SQRT(Inputs!$B$16)</f>
        <v>0.24625907602006847</v>
      </c>
      <c r="E76" s="11">
        <f>STDEV(Daily!E57:E76)*SQRT(Inputs!$B$16)</f>
        <v>0.15616188555489985</v>
      </c>
      <c r="F76" s="11">
        <f>STDEV(Daily!F57:F76)*SQRT(Inputs!$B$16)</f>
        <v>0.28154120274895911</v>
      </c>
      <c r="G76" s="11">
        <f>STDEV(Daily!G57:G76)*SQRT(Inputs!$B$16)</f>
        <v>0.14827743457398726</v>
      </c>
      <c r="H76" s="11">
        <f>STDEV(Daily!H57:H76)*SQRT(Inputs!$B$16)</f>
        <v>0.20511864302340191</v>
      </c>
    </row>
    <row r="77" spans="1:8" x14ac:dyDescent="0.25">
      <c r="A77" s="18">
        <f>Prices!A77</f>
        <v>46059</v>
      </c>
      <c r="B77" s="11">
        <f>STDEV(Daily!B58:B77)*SQRT(Inputs!$B$16)</f>
        <v>0.1497965138788738</v>
      </c>
      <c r="C77" s="11">
        <f>STDEV(Daily!C58:C77)*SQRT(Inputs!$B$16)</f>
        <v>0.20510951811971306</v>
      </c>
      <c r="D77" s="11">
        <f>STDEV(Daily!D58:D77)*SQRT(Inputs!$B$16)</f>
        <v>0.23771347190030659</v>
      </c>
      <c r="E77" s="11">
        <f>STDEV(Daily!E58:E77)*SQRT(Inputs!$B$16)</f>
        <v>0.15497102386452907</v>
      </c>
      <c r="F77" s="11">
        <f>STDEV(Daily!F58:F77)*SQRT(Inputs!$B$16)</f>
        <v>0.27808855623464313</v>
      </c>
      <c r="G77" s="11">
        <f>STDEV(Daily!G58:G77)*SQRT(Inputs!$B$16)</f>
        <v>0.17104359572756794</v>
      </c>
      <c r="H77" s="11">
        <f>STDEV(Daily!H58:H77)*SQRT(Inputs!$B$16)</f>
        <v>0.20344399044872638</v>
      </c>
    </row>
    <row r="78" spans="1:8" x14ac:dyDescent="0.25">
      <c r="A78" s="18">
        <f>Prices!A78</f>
        <v>46062</v>
      </c>
      <c r="B78" s="11">
        <f>STDEV(Daily!B59:B78)*SQRT(Inputs!$B$16)</f>
        <v>0.14928568899835065</v>
      </c>
      <c r="C78" s="11">
        <f>STDEV(Daily!C59:C78)*SQRT(Inputs!$B$16)</f>
        <v>0.21095585581860377</v>
      </c>
      <c r="D78" s="11">
        <f>STDEV(Daily!D59:D78)*SQRT(Inputs!$B$16)</f>
        <v>0.24947339267306806</v>
      </c>
      <c r="E78" s="11">
        <f>STDEV(Daily!E59:E78)*SQRT(Inputs!$B$16)</f>
        <v>0.15511509814961769</v>
      </c>
      <c r="F78" s="11">
        <f>STDEV(Daily!F59:F78)*SQRT(Inputs!$B$16)</f>
        <v>0.2775112226304855</v>
      </c>
      <c r="G78" s="11">
        <f>STDEV(Daily!G59:G78)*SQRT(Inputs!$B$16)</f>
        <v>0.16761040035644389</v>
      </c>
      <c r="H78" s="11">
        <f>STDEV(Daily!H59:H78)*SQRT(Inputs!$B$16)</f>
        <v>0.20367780827633308</v>
      </c>
    </row>
    <row r="79" spans="1:8" x14ac:dyDescent="0.25">
      <c r="A79" s="18">
        <f>Prices!A79</f>
        <v>46063</v>
      </c>
      <c r="B79" s="11">
        <f>STDEV(Daily!B60:B79)*SQRT(Inputs!$B$16)</f>
        <v>0.14886978624187169</v>
      </c>
      <c r="C79" s="11">
        <f>STDEV(Daily!C60:C79)*SQRT(Inputs!$B$16)</f>
        <v>0.21142449698163687</v>
      </c>
      <c r="D79" s="11">
        <f>STDEV(Daily!D60:D79)*SQRT(Inputs!$B$16)</f>
        <v>0.24883413414963085</v>
      </c>
      <c r="E79" s="11">
        <f>STDEV(Daily!E60:E79)*SQRT(Inputs!$B$16)</f>
        <v>0.15504618207826815</v>
      </c>
      <c r="F79" s="11">
        <f>STDEV(Daily!F60:F79)*SQRT(Inputs!$B$16)</f>
        <v>0.27827086178651705</v>
      </c>
      <c r="G79" s="11">
        <f>STDEV(Daily!G60:G79)*SQRT(Inputs!$B$16)</f>
        <v>0.16620196697114784</v>
      </c>
      <c r="H79" s="11">
        <f>STDEV(Daily!H60:H79)*SQRT(Inputs!$B$16)</f>
        <v>0.20954283264231191</v>
      </c>
    </row>
    <row r="80" spans="1:8" x14ac:dyDescent="0.25">
      <c r="A80" s="18">
        <f>Prices!A80</f>
        <v>46064</v>
      </c>
      <c r="B80" s="11">
        <f>STDEV(Daily!B61:B80)*SQRT(Inputs!$B$16)</f>
        <v>0.14856299559161479</v>
      </c>
      <c r="C80" s="11">
        <f>STDEV(Daily!C61:C80)*SQRT(Inputs!$B$16)</f>
        <v>0.21115922747147409</v>
      </c>
      <c r="D80" s="11">
        <f>STDEV(Daily!D61:D80)*SQRT(Inputs!$B$16)</f>
        <v>0.24810694659004265</v>
      </c>
      <c r="E80" s="11">
        <f>STDEV(Daily!E61:E80)*SQRT(Inputs!$B$16)</f>
        <v>0.15502873825864191</v>
      </c>
      <c r="F80" s="11">
        <f>STDEV(Daily!F61:F80)*SQRT(Inputs!$B$16)</f>
        <v>0.28054017137111226</v>
      </c>
      <c r="G80" s="11">
        <f>STDEV(Daily!G61:G80)*SQRT(Inputs!$B$16)</f>
        <v>0.16592997406503363</v>
      </c>
      <c r="H80" s="11">
        <f>STDEV(Daily!H61:H80)*SQRT(Inputs!$B$16)</f>
        <v>0.2136410609404997</v>
      </c>
    </row>
    <row r="81" spans="1:8" x14ac:dyDescent="0.25">
      <c r="A81" s="18">
        <f>Prices!A81</f>
        <v>46065</v>
      </c>
      <c r="B81" s="11">
        <f>STDEV(Daily!B62:B81)*SQRT(Inputs!$B$16)</f>
        <v>0.14979069510264878</v>
      </c>
      <c r="C81" s="11">
        <f>STDEV(Daily!C62:C81)*SQRT(Inputs!$B$16)</f>
        <v>0.21198586574089065</v>
      </c>
      <c r="D81" s="11">
        <f>STDEV(Daily!D62:D81)*SQRT(Inputs!$B$16)</f>
        <v>0.24817645407381231</v>
      </c>
      <c r="E81" s="11">
        <f>STDEV(Daily!E62:E81)*SQRT(Inputs!$B$16)</f>
        <v>0.15503902660624655</v>
      </c>
      <c r="F81" s="11">
        <f>STDEV(Daily!F62:F81)*SQRT(Inputs!$B$16)</f>
        <v>0.33363776329290956</v>
      </c>
      <c r="G81" s="11">
        <f>STDEV(Daily!G62:G81)*SQRT(Inputs!$B$16)</f>
        <v>0.16553040638009825</v>
      </c>
      <c r="H81" s="11">
        <f>STDEV(Daily!H62:H81)*SQRT(Inputs!$B$16)</f>
        <v>0.21171779524133477</v>
      </c>
    </row>
    <row r="82" spans="1:8" x14ac:dyDescent="0.25">
      <c r="A82" s="18">
        <f>Prices!A82</f>
        <v>46066</v>
      </c>
      <c r="B82" s="11">
        <f>STDEV(Daily!B63:B82)*SQRT(Inputs!$B$16)</f>
        <v>0.15702416432860547</v>
      </c>
      <c r="C82" s="11">
        <f>STDEV(Daily!C63:C82)*SQRT(Inputs!$B$16)</f>
        <v>0.22106842663386961</v>
      </c>
      <c r="D82" s="11">
        <f>STDEV(Daily!D63:D82)*SQRT(Inputs!$B$16)</f>
        <v>0.25607723924283582</v>
      </c>
      <c r="E82" s="11">
        <f>STDEV(Daily!E63:E82)*SQRT(Inputs!$B$16)</f>
        <v>0.15624436610963205</v>
      </c>
      <c r="F82" s="11">
        <f>STDEV(Daily!F63:F82)*SQRT(Inputs!$B$16)</f>
        <v>0.29949558533480586</v>
      </c>
      <c r="G82" s="11">
        <f>STDEV(Daily!G63:G82)*SQRT(Inputs!$B$16)</f>
        <v>0.17826793898418422</v>
      </c>
      <c r="H82" s="11">
        <f>STDEV(Daily!H63:H82)*SQRT(Inputs!$B$16)</f>
        <v>0.2142827221196888</v>
      </c>
    </row>
    <row r="83" spans="1:8" x14ac:dyDescent="0.25">
      <c r="A83" s="18">
        <f>Prices!A83</f>
        <v>46069</v>
      </c>
      <c r="B83" s="11">
        <f>STDEV(Daily!B64:B83)*SQRT(Inputs!$B$16)</f>
        <v>0.15924727998563665</v>
      </c>
      <c r="C83" s="11">
        <f>STDEV(Daily!C64:C83)*SQRT(Inputs!$B$16)</f>
        <v>0.22138080038950267</v>
      </c>
      <c r="D83" s="11">
        <f>STDEV(Daily!D64:D83)*SQRT(Inputs!$B$16)</f>
        <v>0.2538844823051305</v>
      </c>
      <c r="E83" s="11">
        <f>STDEV(Daily!E64:E83)*SQRT(Inputs!$B$16)</f>
        <v>0.16175671977566233</v>
      </c>
      <c r="F83" s="11">
        <f>STDEV(Daily!F64:F83)*SQRT(Inputs!$B$16)</f>
        <v>0.30150940060600478</v>
      </c>
      <c r="G83" s="11">
        <f>STDEV(Daily!G64:G83)*SQRT(Inputs!$B$16)</f>
        <v>0.1792317569313682</v>
      </c>
      <c r="H83" s="11">
        <f>STDEV(Daily!H64:H83)*SQRT(Inputs!$B$16)</f>
        <v>0.21640881432252662</v>
      </c>
    </row>
    <row r="84" spans="1:8" x14ac:dyDescent="0.25">
      <c r="A84" s="18">
        <f>Prices!A84</f>
        <v>46070</v>
      </c>
      <c r="B84" s="11">
        <f>STDEV(Daily!B65:B84)*SQRT(Inputs!$B$16)</f>
        <v>0.15038541707047764</v>
      </c>
      <c r="C84" s="11">
        <f>STDEV(Daily!C65:C84)*SQRT(Inputs!$B$16)</f>
        <v>0.19832589620496555</v>
      </c>
      <c r="D84" s="11">
        <f>STDEV(Daily!D65:D84)*SQRT(Inputs!$B$16)</f>
        <v>0.23152453612772866</v>
      </c>
      <c r="E84" s="11">
        <f>STDEV(Daily!E65:E84)*SQRT(Inputs!$B$16)</f>
        <v>0.15838404490681388</v>
      </c>
      <c r="F84" s="11">
        <f>STDEV(Daily!F65:F84)*SQRT(Inputs!$B$16)</f>
        <v>0.30486974092396296</v>
      </c>
      <c r="G84" s="11">
        <f>STDEV(Daily!G65:G84)*SQRT(Inputs!$B$16)</f>
        <v>0.17486940774127907</v>
      </c>
      <c r="H84" s="11">
        <f>STDEV(Daily!H65:H84)*SQRT(Inputs!$B$16)</f>
        <v>0.19449160178987671</v>
      </c>
    </row>
    <row r="85" spans="1:8" x14ac:dyDescent="0.25">
      <c r="A85" s="18">
        <f>Prices!A85</f>
        <v>46071</v>
      </c>
      <c r="B85" s="11">
        <f>STDEV(Daily!B66:B85)*SQRT(Inputs!$B$16)</f>
        <v>0.14989615434964879</v>
      </c>
      <c r="C85" s="11">
        <f>STDEV(Daily!C66:C85)*SQRT(Inputs!$B$16)</f>
        <v>0.19254313909491344</v>
      </c>
      <c r="D85" s="11">
        <f>STDEV(Daily!D66:D85)*SQRT(Inputs!$B$16)</f>
        <v>0.22857081433883833</v>
      </c>
      <c r="E85" s="11">
        <f>STDEV(Daily!E66:E85)*SQRT(Inputs!$B$16)</f>
        <v>0.1529204691230629</v>
      </c>
      <c r="F85" s="11">
        <f>STDEV(Daily!F66:F85)*SQRT(Inputs!$B$16)</f>
        <v>0.30506365757875353</v>
      </c>
      <c r="G85" s="11">
        <f>STDEV(Daily!G66:G85)*SQRT(Inputs!$B$16)</f>
        <v>0.17826161139834731</v>
      </c>
      <c r="H85" s="11">
        <f>STDEV(Daily!H66:H85)*SQRT(Inputs!$B$16)</f>
        <v>0.19380361461402154</v>
      </c>
    </row>
    <row r="86" spans="1:8" x14ac:dyDescent="0.25">
      <c r="A86" s="18">
        <f>Prices!A86</f>
        <v>46072</v>
      </c>
      <c r="B86" s="11">
        <f>STDEV(Daily!B67:B86)*SQRT(Inputs!$B$16)</f>
        <v>0.15872259122444068</v>
      </c>
      <c r="C86" s="11">
        <f>STDEV(Daily!C67:C86)*SQRT(Inputs!$B$16)</f>
        <v>0.19838318801905727</v>
      </c>
      <c r="D86" s="11">
        <f>STDEV(Daily!D67:D86)*SQRT(Inputs!$B$16)</f>
        <v>0.23343449628129492</v>
      </c>
      <c r="E86" s="11">
        <f>STDEV(Daily!E67:E86)*SQRT(Inputs!$B$16)</f>
        <v>0.16139076221884402</v>
      </c>
      <c r="F86" s="11">
        <f>STDEV(Daily!F67:F86)*SQRT(Inputs!$B$16)</f>
        <v>0.29966059377597304</v>
      </c>
      <c r="G86" s="11">
        <f>STDEV(Daily!G67:G86)*SQRT(Inputs!$B$16)</f>
        <v>0.1856353425027924</v>
      </c>
      <c r="H86" s="11">
        <f>STDEV(Daily!H67:H86)*SQRT(Inputs!$B$16)</f>
        <v>0.20950463036483113</v>
      </c>
    </row>
    <row r="87" spans="1:8" x14ac:dyDescent="0.25">
      <c r="A87" s="18">
        <f>Prices!A87</f>
        <v>46073</v>
      </c>
      <c r="B87" s="11">
        <f>STDEV(Daily!B68:B87)*SQRT(Inputs!$B$16)</f>
        <v>0.15489974828534919</v>
      </c>
      <c r="C87" s="11">
        <f>STDEV(Daily!C68:C87)*SQRT(Inputs!$B$16)</f>
        <v>0.18563253397188406</v>
      </c>
      <c r="D87" s="11">
        <f>STDEV(Daily!D68:D87)*SQRT(Inputs!$B$16)</f>
        <v>0.22071299765823954</v>
      </c>
      <c r="E87" s="11">
        <f>STDEV(Daily!E68:E87)*SQRT(Inputs!$B$16)</f>
        <v>0.15421834163829765</v>
      </c>
      <c r="F87" s="11">
        <f>STDEV(Daily!F68:F87)*SQRT(Inputs!$B$16)</f>
        <v>0.29866170697539401</v>
      </c>
      <c r="G87" s="11">
        <f>STDEV(Daily!G68:G87)*SQRT(Inputs!$B$16)</f>
        <v>0.18553928784499008</v>
      </c>
      <c r="H87" s="11">
        <f>STDEV(Daily!H68:H87)*SQRT(Inputs!$B$16)</f>
        <v>0.20438410885620972</v>
      </c>
    </row>
    <row r="88" spans="1:8" x14ac:dyDescent="0.25">
      <c r="A88" s="18">
        <f>Prices!A88</f>
        <v>46076</v>
      </c>
      <c r="B88" s="11">
        <f>STDEV(Daily!B69:B88)*SQRT(Inputs!$B$16)</f>
        <v>0.15507388941668937</v>
      </c>
      <c r="C88" s="11">
        <f>STDEV(Daily!C69:C88)*SQRT(Inputs!$B$16)</f>
        <v>0.18640295958107211</v>
      </c>
      <c r="D88" s="11">
        <f>STDEV(Daily!D69:D88)*SQRT(Inputs!$B$16)</f>
        <v>0.2206106579054159</v>
      </c>
      <c r="E88" s="11">
        <f>STDEV(Daily!E69:E88)*SQRT(Inputs!$B$16)</f>
        <v>0.14941752127541344</v>
      </c>
      <c r="F88" s="11">
        <f>STDEV(Daily!F69:F88)*SQRT(Inputs!$B$16)</f>
        <v>0.29207296409725941</v>
      </c>
      <c r="G88" s="11">
        <f>STDEV(Daily!G69:G88)*SQRT(Inputs!$B$16)</f>
        <v>0.18553062920191862</v>
      </c>
      <c r="H88" s="11">
        <f>STDEV(Daily!H69:H88)*SQRT(Inputs!$B$16)</f>
        <v>0.20096251010826699</v>
      </c>
    </row>
    <row r="89" spans="1:8" x14ac:dyDescent="0.25">
      <c r="A89" s="18">
        <f>Prices!A89</f>
        <v>46077</v>
      </c>
      <c r="B89" s="11">
        <f>STDEV(Daily!B70:B89)*SQRT(Inputs!$B$16)</f>
        <v>0.15950076268077368</v>
      </c>
      <c r="C89" s="11">
        <f>STDEV(Daily!C70:C89)*SQRT(Inputs!$B$16)</f>
        <v>0.17830727317770723</v>
      </c>
      <c r="D89" s="11">
        <f>STDEV(Daily!D70:D89)*SQRT(Inputs!$B$16)</f>
        <v>0.2079126087772897</v>
      </c>
      <c r="E89" s="11">
        <f>STDEV(Daily!E70:E89)*SQRT(Inputs!$B$16)</f>
        <v>0.14936935068722432</v>
      </c>
      <c r="F89" s="11">
        <f>STDEV(Daily!F70:F89)*SQRT(Inputs!$B$16)</f>
        <v>0.31580942643873827</v>
      </c>
      <c r="G89" s="11">
        <f>STDEV(Daily!G70:G89)*SQRT(Inputs!$B$16)</f>
        <v>0.18317011659348453</v>
      </c>
      <c r="H89" s="11">
        <f>STDEV(Daily!H70:H89)*SQRT(Inputs!$B$16)</f>
        <v>0.20200679485399703</v>
      </c>
    </row>
    <row r="90" spans="1:8" x14ac:dyDescent="0.25">
      <c r="A90" s="18">
        <f>Prices!A90</f>
        <v>46078</v>
      </c>
      <c r="B90" s="11">
        <f>STDEV(Daily!B71:B90)*SQRT(Inputs!$B$16)</f>
        <v>0.15935213909298479</v>
      </c>
      <c r="C90" s="11">
        <f>STDEV(Daily!C71:C90)*SQRT(Inputs!$B$16)</f>
        <v>0.17921474236288651</v>
      </c>
      <c r="D90" s="11">
        <f>STDEV(Daily!D71:D90)*SQRT(Inputs!$B$16)</f>
        <v>0.21024833923947747</v>
      </c>
      <c r="E90" s="11">
        <f>STDEV(Daily!E71:E90)*SQRT(Inputs!$B$16)</f>
        <v>0.14834464760104518</v>
      </c>
      <c r="F90" s="11">
        <f>STDEV(Daily!F71:F90)*SQRT(Inputs!$B$16)</f>
        <v>0.33101002120696082</v>
      </c>
      <c r="G90" s="11">
        <f>STDEV(Daily!G71:G90)*SQRT(Inputs!$B$16)</f>
        <v>0.17971048941942416</v>
      </c>
      <c r="H90" s="11">
        <f>STDEV(Daily!H71:H90)*SQRT(Inputs!$B$16)</f>
        <v>0.20677267389865264</v>
      </c>
    </row>
    <row r="91" spans="1:8" x14ac:dyDescent="0.25">
      <c r="A91" s="18">
        <f>Prices!A91</f>
        <v>46079</v>
      </c>
      <c r="B91" s="11">
        <f>STDEV(Daily!B72:B91)*SQRT(Inputs!$B$16)</f>
        <v>0.15863735022871339</v>
      </c>
      <c r="C91" s="11">
        <f>STDEV(Daily!C72:C91)*SQRT(Inputs!$B$16)</f>
        <v>0.18006625540854099</v>
      </c>
      <c r="D91" s="11">
        <f>STDEV(Daily!D72:D91)*SQRT(Inputs!$B$16)</f>
        <v>0.21010149600682149</v>
      </c>
      <c r="E91" s="11">
        <f>STDEV(Daily!E72:E91)*SQRT(Inputs!$B$16)</f>
        <v>0.14624529959984436</v>
      </c>
      <c r="F91" s="11">
        <f>STDEV(Daily!F72:F91)*SQRT(Inputs!$B$16)</f>
        <v>0.33381105170673681</v>
      </c>
      <c r="G91" s="11">
        <f>STDEV(Daily!G72:G91)*SQRT(Inputs!$B$16)</f>
        <v>0.17418524888739245</v>
      </c>
      <c r="H91" s="11">
        <f>STDEV(Daily!H72:H91)*SQRT(Inputs!$B$16)</f>
        <v>0.20693731760205869</v>
      </c>
    </row>
    <row r="92" spans="1:8" x14ac:dyDescent="0.25">
      <c r="A92" s="18">
        <f>Prices!A92</f>
        <v>46080</v>
      </c>
      <c r="B92" s="11">
        <f>STDEV(Daily!B73:B92)*SQRT(Inputs!$B$16)</f>
        <v>0.14848379381141777</v>
      </c>
      <c r="C92" s="11">
        <f>STDEV(Daily!C73:C92)*SQRT(Inputs!$B$16)</f>
        <v>0.16442824040849721</v>
      </c>
      <c r="D92" s="11">
        <f>STDEV(Daily!D73:D92)*SQRT(Inputs!$B$16)</f>
        <v>0.18801339714382403</v>
      </c>
      <c r="E92" s="11">
        <f>STDEV(Daily!E73:E92)*SQRT(Inputs!$B$16)</f>
        <v>0.13123603301553449</v>
      </c>
      <c r="F92" s="11">
        <f>STDEV(Daily!F73:F92)*SQRT(Inputs!$B$16)</f>
        <v>0.33146481978023828</v>
      </c>
      <c r="G92" s="11">
        <f>STDEV(Daily!G73:G92)*SQRT(Inputs!$B$16)</f>
        <v>0.16442575887873914</v>
      </c>
      <c r="H92" s="11">
        <f>STDEV(Daily!H73:H92)*SQRT(Inputs!$B$16)</f>
        <v>0.20346476898398658</v>
      </c>
    </row>
    <row r="93" spans="1:8" x14ac:dyDescent="0.25">
      <c r="A93" s="18">
        <f>Prices!A93</f>
        <v>46083</v>
      </c>
      <c r="B93" s="11">
        <f>STDEV(Daily!B74:B93)*SQRT(Inputs!$B$16)</f>
        <v>0.15071079011656913</v>
      </c>
      <c r="C93" s="11">
        <f>STDEV(Daily!C74:C93)*SQRT(Inputs!$B$16)</f>
        <v>0.17292634828208125</v>
      </c>
      <c r="D93" s="11">
        <f>STDEV(Daily!D74:D93)*SQRT(Inputs!$B$16)</f>
        <v>0.19876690224510724</v>
      </c>
      <c r="E93" s="11">
        <f>STDEV(Daily!E74:E93)*SQRT(Inputs!$B$16)</f>
        <v>0.13910880303400688</v>
      </c>
      <c r="F93" s="11">
        <f>STDEV(Daily!F74:F93)*SQRT(Inputs!$B$16)</f>
        <v>0.3306557186746773</v>
      </c>
      <c r="G93" s="11">
        <f>STDEV(Daily!G74:G93)*SQRT(Inputs!$B$16)</f>
        <v>0.1623594217012154</v>
      </c>
      <c r="H93" s="11">
        <f>STDEV(Daily!H74:H93)*SQRT(Inputs!$B$16)</f>
        <v>0.21162592650808704</v>
      </c>
    </row>
    <row r="94" spans="1:8" x14ac:dyDescent="0.25">
      <c r="A94" s="18">
        <f>Prices!A94</f>
        <v>46085</v>
      </c>
      <c r="B94" s="11">
        <f>STDEV(Daily!B75:B94)*SQRT(Inputs!$B$16)</f>
        <v>0.12544944467097616</v>
      </c>
      <c r="C94" s="11">
        <f>STDEV(Daily!C75:C94)*SQRT(Inputs!$B$16)</f>
        <v>0.15608207367420535</v>
      </c>
      <c r="D94" s="11">
        <f>STDEV(Daily!D75:D94)*SQRT(Inputs!$B$16)</f>
        <v>0.18383991544658915</v>
      </c>
      <c r="E94" s="11">
        <f>STDEV(Daily!E75:E94)*SQRT(Inputs!$B$16)</f>
        <v>0.12612409609488495</v>
      </c>
      <c r="F94" s="11">
        <f>STDEV(Daily!F75:F94)*SQRT(Inputs!$B$16)</f>
        <v>0.32049594567885453</v>
      </c>
      <c r="G94" s="11">
        <f>STDEV(Daily!G75:G94)*SQRT(Inputs!$B$16)</f>
        <v>0.17505948339964655</v>
      </c>
      <c r="H94" s="11">
        <f>STDEV(Daily!H75:H94)*SQRT(Inputs!$B$16)</f>
        <v>0.20631478276929324</v>
      </c>
    </row>
    <row r="95" spans="1:8" x14ac:dyDescent="0.25">
      <c r="A95" s="18">
        <f>Prices!A95</f>
        <v>46086</v>
      </c>
      <c r="B95" s="11">
        <f>STDEV(Daily!B76:B95)*SQRT(Inputs!$B$16)</f>
        <v>0.13440780553941173</v>
      </c>
      <c r="C95" s="11">
        <f>STDEV(Daily!C76:C95)*SQRT(Inputs!$B$16)</f>
        <v>0.16530603367408384</v>
      </c>
      <c r="D95" s="11">
        <f>STDEV(Daily!D76:D95)*SQRT(Inputs!$B$16)</f>
        <v>0.18741558405159434</v>
      </c>
      <c r="E95" s="11">
        <f>STDEV(Daily!E76:E95)*SQRT(Inputs!$B$16)</f>
        <v>0.12712560047780366</v>
      </c>
      <c r="F95" s="11">
        <f>STDEV(Daily!F76:F95)*SQRT(Inputs!$B$16)</f>
        <v>0.26875103905106573</v>
      </c>
      <c r="G95" s="11">
        <f>STDEV(Daily!G76:G95)*SQRT(Inputs!$B$16)</f>
        <v>0.17561470517609251</v>
      </c>
      <c r="H95" s="11">
        <f>STDEV(Daily!H76:H95)*SQRT(Inputs!$B$16)</f>
        <v>0.21322186735035925</v>
      </c>
    </row>
    <row r="96" spans="1:8" x14ac:dyDescent="0.25">
      <c r="A96" s="18">
        <f>Prices!A96</f>
        <v>46087</v>
      </c>
      <c r="B96" s="11">
        <f>STDEV(Daily!B77:B96)*SQRT(Inputs!$B$16)</f>
        <v>0.13939505148569359</v>
      </c>
      <c r="C96" s="11">
        <f>STDEV(Daily!C77:C96)*SQRT(Inputs!$B$16)</f>
        <v>0.16635621606027312</v>
      </c>
      <c r="D96" s="11">
        <f>STDEV(Daily!D77:D96)*SQRT(Inputs!$B$16)</f>
        <v>0.18293550447762594</v>
      </c>
      <c r="E96" s="11">
        <f>STDEV(Daily!E77:E96)*SQRT(Inputs!$B$16)</f>
        <v>0.14663838710354538</v>
      </c>
      <c r="F96" s="11">
        <f>STDEV(Daily!F77:F96)*SQRT(Inputs!$B$16)</f>
        <v>0.27064192354978878</v>
      </c>
      <c r="G96" s="11">
        <f>STDEV(Daily!G77:G96)*SQRT(Inputs!$B$16)</f>
        <v>0.17528093397869635</v>
      </c>
      <c r="H96" s="11">
        <f>STDEV(Daily!H77:H96)*SQRT(Inputs!$B$16)</f>
        <v>0.21541285820610909</v>
      </c>
    </row>
    <row r="97" spans="1:8" x14ac:dyDescent="0.25">
      <c r="A97" s="18">
        <f>Prices!A97</f>
        <v>46090</v>
      </c>
      <c r="B97" s="11">
        <f>STDEV(Daily!B78:B97)*SQRT(Inputs!$B$16)</f>
        <v>0.14796961128732394</v>
      </c>
      <c r="C97" s="11">
        <f>STDEV(Daily!C78:C97)*SQRT(Inputs!$B$16)</f>
        <v>0.17787092487081052</v>
      </c>
      <c r="D97" s="11">
        <f>STDEV(Daily!D78:D97)*SQRT(Inputs!$B$16)</f>
        <v>0.1973596632306083</v>
      </c>
      <c r="E97" s="11">
        <f>STDEV(Daily!E78:E97)*SQRT(Inputs!$B$16)</f>
        <v>0.17778495851590415</v>
      </c>
      <c r="F97" s="11">
        <f>STDEV(Daily!F78:F97)*SQRT(Inputs!$B$16)</f>
        <v>0.2718125792969398</v>
      </c>
      <c r="G97" s="11">
        <f>STDEV(Daily!G78:G97)*SQRT(Inputs!$B$16)</f>
        <v>0.15947693089837042</v>
      </c>
      <c r="H97" s="11">
        <f>STDEV(Daily!H78:H97)*SQRT(Inputs!$B$16)</f>
        <v>0.25799703761266196</v>
      </c>
    </row>
    <row r="98" spans="1:8" x14ac:dyDescent="0.25">
      <c r="A98" s="18">
        <f>Prices!A98</f>
        <v>46091</v>
      </c>
      <c r="B98" s="11">
        <f>STDEV(Daily!B79:B98)*SQRT(Inputs!$B$16)</f>
        <v>0.15098508438201144</v>
      </c>
      <c r="C98" s="11">
        <f>STDEV(Daily!C79:C98)*SQRT(Inputs!$B$16)</f>
        <v>0.17848382279809102</v>
      </c>
      <c r="D98" s="11">
        <f>STDEV(Daily!D79:D98)*SQRT(Inputs!$B$16)</f>
        <v>0.18789674468782133</v>
      </c>
      <c r="E98" s="11">
        <f>STDEV(Daily!E79:E98)*SQRT(Inputs!$B$16)</f>
        <v>0.18659321206866983</v>
      </c>
      <c r="F98" s="11">
        <f>STDEV(Daily!F79:F98)*SQRT(Inputs!$B$16)</f>
        <v>0.2704148988412009</v>
      </c>
      <c r="G98" s="11">
        <f>STDEV(Daily!G79:G98)*SQRT(Inputs!$B$16)</f>
        <v>0.1629948202846746</v>
      </c>
      <c r="H98" s="11">
        <f>STDEV(Daily!H79:H98)*SQRT(Inputs!$B$16)</f>
        <v>0.28153284320018718</v>
      </c>
    </row>
    <row r="99" spans="1:8" x14ac:dyDescent="0.25">
      <c r="A99" s="18">
        <f>Prices!A99</f>
        <v>46092</v>
      </c>
      <c r="B99" s="11">
        <f>STDEV(Daily!B80:B99)*SQRT(Inputs!$B$16)</f>
        <v>0.15619854492701385</v>
      </c>
      <c r="C99" s="11">
        <f>STDEV(Daily!C80:C99)*SQRT(Inputs!$B$16)</f>
        <v>0.17936292852534369</v>
      </c>
      <c r="D99" s="11">
        <f>STDEV(Daily!D80:D99)*SQRT(Inputs!$B$16)</f>
        <v>0.18639132785196447</v>
      </c>
      <c r="E99" s="11">
        <f>STDEV(Daily!E80:E99)*SQRT(Inputs!$B$16)</f>
        <v>0.19716469790789526</v>
      </c>
      <c r="F99" s="11">
        <f>STDEV(Daily!F80:F99)*SQRT(Inputs!$B$16)</f>
        <v>0.26736175051624766</v>
      </c>
      <c r="G99" s="11">
        <f>STDEV(Daily!G80:G99)*SQRT(Inputs!$B$16)</f>
        <v>0.165044488392209</v>
      </c>
      <c r="H99" s="11">
        <f>STDEV(Daily!H80:H99)*SQRT(Inputs!$B$16)</f>
        <v>0.29416547133236559</v>
      </c>
    </row>
    <row r="100" spans="1:8" x14ac:dyDescent="0.25">
      <c r="A100" s="18">
        <f>Prices!A100</f>
        <v>46093</v>
      </c>
      <c r="B100" s="11">
        <f>STDEV(Daily!B81:B100)*SQRT(Inputs!$B$16)</f>
        <v>0.15624428324252335</v>
      </c>
      <c r="C100" s="11">
        <f>STDEV(Daily!C81:C100)*SQRT(Inputs!$B$16)</f>
        <v>0.17877387831392727</v>
      </c>
      <c r="D100" s="11">
        <f>STDEV(Daily!D81:D100)*SQRT(Inputs!$B$16)</f>
        <v>0.18642390866398512</v>
      </c>
      <c r="E100" s="11">
        <f>STDEV(Daily!E81:E100)*SQRT(Inputs!$B$16)</f>
        <v>0.19739553731183335</v>
      </c>
      <c r="F100" s="11">
        <f>STDEV(Daily!F81:F100)*SQRT(Inputs!$B$16)</f>
        <v>0.26642890850637596</v>
      </c>
      <c r="G100" s="11">
        <f>STDEV(Daily!G81:G100)*SQRT(Inputs!$B$16)</f>
        <v>0.17251005112909229</v>
      </c>
      <c r="H100" s="11">
        <f>STDEV(Daily!H81:H100)*SQRT(Inputs!$B$16)</f>
        <v>0.30289604977105045</v>
      </c>
    </row>
    <row r="101" spans="1:8" x14ac:dyDescent="0.25">
      <c r="A101" s="18">
        <f>Prices!A101</f>
        <v>46094</v>
      </c>
      <c r="B101" s="11">
        <f>STDEV(Daily!B82:B101)*SQRT(Inputs!$B$16)</f>
        <v>0.16630666980214873</v>
      </c>
      <c r="C101" s="11">
        <f>STDEV(Daily!C82:C101)*SQRT(Inputs!$B$16)</f>
        <v>0.19621231539663733</v>
      </c>
      <c r="D101" s="11">
        <f>STDEV(Daily!D82:D101)*SQRT(Inputs!$B$16)</f>
        <v>0.20176153599552785</v>
      </c>
      <c r="E101" s="11">
        <f>STDEV(Daily!E82:E101)*SQRT(Inputs!$B$16)</f>
        <v>0.20825114753819415</v>
      </c>
      <c r="F101" s="11">
        <f>STDEV(Daily!F82:F101)*SQRT(Inputs!$B$16)</f>
        <v>0.20508249678021084</v>
      </c>
      <c r="G101" s="11">
        <f>STDEV(Daily!G82:G101)*SQRT(Inputs!$B$16)</f>
        <v>0.17255241932902995</v>
      </c>
      <c r="H101" s="11">
        <f>STDEV(Daily!H82:H101)*SQRT(Inputs!$B$16)</f>
        <v>0.31991670182776205</v>
      </c>
    </row>
    <row r="102" spans="1:8" x14ac:dyDescent="0.25">
      <c r="A102" s="18">
        <f>Prices!A102</f>
        <v>46097</v>
      </c>
      <c r="B102" s="11">
        <f>STDEV(Daily!B83:B102)*SQRT(Inputs!$B$16)</f>
        <v>0.17349741891164316</v>
      </c>
      <c r="C102" s="11">
        <f>STDEV(Daily!C83:C102)*SQRT(Inputs!$B$16)</f>
        <v>0.19091860479494466</v>
      </c>
      <c r="D102" s="11">
        <f>STDEV(Daily!D83:D102)*SQRT(Inputs!$B$16)</f>
        <v>0.1952943540960598</v>
      </c>
      <c r="E102" s="11">
        <f>STDEV(Daily!E83:E102)*SQRT(Inputs!$B$16)</f>
        <v>0.2175611865707559</v>
      </c>
      <c r="F102" s="11">
        <f>STDEV(Daily!F83:F102)*SQRT(Inputs!$B$16)</f>
        <v>0.20371228631052826</v>
      </c>
      <c r="G102" s="11">
        <f>STDEV(Daily!G83:G102)*SQRT(Inputs!$B$16)</f>
        <v>0.17103848469427499</v>
      </c>
      <c r="H102" s="11">
        <f>STDEV(Daily!H83:H102)*SQRT(Inputs!$B$16)</f>
        <v>0.33155949729465783</v>
      </c>
    </row>
    <row r="103" spans="1:8" x14ac:dyDescent="0.25">
      <c r="A103" s="18">
        <f>Prices!A103</f>
        <v>46098</v>
      </c>
      <c r="B103" s="11">
        <f>STDEV(Daily!B84:B103)*SQRT(Inputs!$B$16)</f>
        <v>0.17262556084110442</v>
      </c>
      <c r="C103" s="11">
        <f>STDEV(Daily!C84:C103)*SQRT(Inputs!$B$16)</f>
        <v>0.19523646426980376</v>
      </c>
      <c r="D103" s="11">
        <f>STDEV(Daily!D84:D103)*SQRT(Inputs!$B$16)</f>
        <v>0.19796084724855828</v>
      </c>
      <c r="E103" s="11">
        <f>STDEV(Daily!E84:E103)*SQRT(Inputs!$B$16)</f>
        <v>0.21355462643165019</v>
      </c>
      <c r="F103" s="11">
        <f>STDEV(Daily!F84:F103)*SQRT(Inputs!$B$16)</f>
        <v>0.20213831534394885</v>
      </c>
      <c r="G103" s="11">
        <f>STDEV(Daily!G84:G103)*SQRT(Inputs!$B$16)</f>
        <v>0.16719893587324522</v>
      </c>
      <c r="H103" s="11">
        <f>STDEV(Daily!H84:H103)*SQRT(Inputs!$B$16)</f>
        <v>0.34580621029777536</v>
      </c>
    </row>
    <row r="104" spans="1:8" x14ac:dyDescent="0.25">
      <c r="A104" s="18">
        <f>Prices!A104</f>
        <v>46099</v>
      </c>
      <c r="B104" s="11">
        <f>STDEV(Daily!B85:B104)*SQRT(Inputs!$B$16)</f>
        <v>0.17720163518956855</v>
      </c>
      <c r="C104" s="11">
        <f>STDEV(Daily!C85:C104)*SQRT(Inputs!$B$16)</f>
        <v>0.21224449168453546</v>
      </c>
      <c r="D104" s="11">
        <f>STDEV(Daily!D85:D104)*SQRT(Inputs!$B$16)</f>
        <v>0.20831571490266759</v>
      </c>
      <c r="E104" s="11">
        <f>STDEV(Daily!E85:E104)*SQRT(Inputs!$B$16)</f>
        <v>0.21660930980832604</v>
      </c>
      <c r="F104" s="11">
        <f>STDEV(Daily!F85:F104)*SQRT(Inputs!$B$16)</f>
        <v>0.22897014265473975</v>
      </c>
      <c r="G104" s="11">
        <f>STDEV(Daily!G85:G104)*SQRT(Inputs!$B$16)</f>
        <v>0.1613618560758675</v>
      </c>
      <c r="H104" s="11">
        <f>STDEV(Daily!H85:H104)*SQRT(Inputs!$B$16)</f>
        <v>0.35483937670039345</v>
      </c>
    </row>
    <row r="105" spans="1:8" x14ac:dyDescent="0.25">
      <c r="A105" s="18">
        <f>Prices!A105</f>
        <v>46100</v>
      </c>
      <c r="B105" s="11">
        <f>STDEV(Daily!B86:B105)*SQRT(Inputs!$B$16)</f>
        <v>0.20184561201671386</v>
      </c>
      <c r="C105" s="11">
        <f>STDEV(Daily!C86:C105)*SQRT(Inputs!$B$16)</f>
        <v>0.23320753092537355</v>
      </c>
      <c r="D105" s="11">
        <f>STDEV(Daily!D86:D105)*SQRT(Inputs!$B$16)</f>
        <v>0.22591571336725275</v>
      </c>
      <c r="E105" s="11">
        <f>STDEV(Daily!E86:E105)*SQRT(Inputs!$B$16)</f>
        <v>0.23528138068190585</v>
      </c>
      <c r="F105" s="11">
        <f>STDEV(Daily!F86:F105)*SQRT(Inputs!$B$16)</f>
        <v>0.24831361382489284</v>
      </c>
      <c r="G105" s="11">
        <f>STDEV(Daily!G86:G105)*SQRT(Inputs!$B$16)</f>
        <v>0.16741706827158437</v>
      </c>
      <c r="H105" s="11">
        <f>STDEV(Daily!H86:H105)*SQRT(Inputs!$B$16)</f>
        <v>0.37711123485798875</v>
      </c>
    </row>
    <row r="106" spans="1:8" x14ac:dyDescent="0.25">
      <c r="A106" s="18">
        <f>Prices!A106</f>
        <v>46101</v>
      </c>
      <c r="B106" s="11">
        <f>STDEV(Daily!B87:B106)*SQRT(Inputs!$B$16)</f>
        <v>0.20257062161868072</v>
      </c>
      <c r="C106" s="11">
        <f>STDEV(Daily!C87:C106)*SQRT(Inputs!$B$16)</f>
        <v>0.23279905713140314</v>
      </c>
      <c r="D106" s="11">
        <f>STDEV(Daily!D87:D106)*SQRT(Inputs!$B$16)</f>
        <v>0.22457169501982915</v>
      </c>
      <c r="E106" s="11">
        <f>STDEV(Daily!E87:E106)*SQRT(Inputs!$B$16)</f>
        <v>0.23513227806285986</v>
      </c>
      <c r="F106" s="11">
        <f>STDEV(Daily!F87:F106)*SQRT(Inputs!$B$16)</f>
        <v>0.2670483644084089</v>
      </c>
      <c r="G106" s="11">
        <f>STDEV(Daily!G87:G106)*SQRT(Inputs!$B$16)</f>
        <v>0.16368722181429832</v>
      </c>
      <c r="H106" s="11">
        <f>STDEV(Daily!H87:H106)*SQRT(Inputs!$B$16)</f>
        <v>0.37704177892819224</v>
      </c>
    </row>
    <row r="107" spans="1:8" x14ac:dyDescent="0.25">
      <c r="A107" s="18">
        <f>Prices!A107</f>
        <v>46104</v>
      </c>
      <c r="B107" s="11">
        <f>STDEV(Daily!B88:B107)*SQRT(Inputs!$B$16)</f>
        <v>0.21279165955086082</v>
      </c>
      <c r="C107" s="11">
        <f>STDEV(Daily!C88:C107)*SQRT(Inputs!$B$16)</f>
        <v>0.26159435561487554</v>
      </c>
      <c r="D107" s="11">
        <f>STDEV(Daily!D88:D107)*SQRT(Inputs!$B$16)</f>
        <v>0.25714906631881401</v>
      </c>
      <c r="E107" s="11">
        <f>STDEV(Daily!E88:E107)*SQRT(Inputs!$B$16)</f>
        <v>0.25357370338851509</v>
      </c>
      <c r="F107" s="11">
        <f>STDEV(Daily!F88:F107)*SQRT(Inputs!$B$16)</f>
        <v>0.26663287418089121</v>
      </c>
      <c r="G107" s="11">
        <f>STDEV(Daily!G88:G107)*SQRT(Inputs!$B$16)</f>
        <v>0.17421103280082606</v>
      </c>
      <c r="H107" s="11">
        <f>STDEV(Daily!H88:H107)*SQRT(Inputs!$B$16)</f>
        <v>0.38622014839731422</v>
      </c>
    </row>
    <row r="108" spans="1:8" x14ac:dyDescent="0.25">
      <c r="A108" s="18">
        <f>Prices!A108</f>
        <v>46105</v>
      </c>
      <c r="B108" s="11">
        <f>STDEV(Daily!B89:B108)*SQRT(Inputs!$B$16)</f>
        <v>0.22579820960551711</v>
      </c>
      <c r="C108" s="11">
        <f>STDEV(Daily!C89:C108)*SQRT(Inputs!$B$16)</f>
        <v>0.28509457749658729</v>
      </c>
      <c r="D108" s="11">
        <f>STDEV(Daily!D89:D108)*SQRT(Inputs!$B$16)</f>
        <v>0.27996921970589822</v>
      </c>
      <c r="E108" s="11">
        <f>STDEV(Daily!E89:E108)*SQRT(Inputs!$B$16)</f>
        <v>0.27493927258527401</v>
      </c>
      <c r="F108" s="11">
        <f>STDEV(Daily!F89:F108)*SQRT(Inputs!$B$16)</f>
        <v>0.2747344634640338</v>
      </c>
      <c r="G108" s="11">
        <f>STDEV(Daily!G89:G108)*SQRT(Inputs!$B$16)</f>
        <v>0.18056271713182465</v>
      </c>
      <c r="H108" s="11">
        <f>STDEV(Daily!H89:H108)*SQRT(Inputs!$B$16)</f>
        <v>0.39870988099262489</v>
      </c>
    </row>
    <row r="109" spans="1:8" x14ac:dyDescent="0.25">
      <c r="A109" s="18">
        <f>Prices!A109</f>
        <v>46106</v>
      </c>
      <c r="B109" s="11">
        <f>STDEV(Daily!B90:B109)*SQRT(Inputs!$B$16)</f>
        <v>0.23867275647802383</v>
      </c>
      <c r="C109" s="11">
        <f>STDEV(Daily!C90:C109)*SQRT(Inputs!$B$16)</f>
        <v>0.30126702422085327</v>
      </c>
      <c r="D109" s="11">
        <f>STDEV(Daily!D90:D109)*SQRT(Inputs!$B$16)</f>
        <v>0.30013574769817564</v>
      </c>
      <c r="E109" s="11">
        <f>STDEV(Daily!E90:E109)*SQRT(Inputs!$B$16)</f>
        <v>0.29273035083554894</v>
      </c>
      <c r="F109" s="11">
        <f>STDEV(Daily!F90:F109)*SQRT(Inputs!$B$16)</f>
        <v>0.21879404738023708</v>
      </c>
      <c r="G109" s="11">
        <f>STDEV(Daily!G90:G109)*SQRT(Inputs!$B$16)</f>
        <v>0.19915367707423831</v>
      </c>
      <c r="H109" s="11">
        <f>STDEV(Daily!H90:H109)*SQRT(Inputs!$B$16)</f>
        <v>0.41147650185791884</v>
      </c>
    </row>
    <row r="110" spans="1:8" x14ac:dyDescent="0.25">
      <c r="A110" s="18">
        <f>Prices!A110</f>
        <v>46108</v>
      </c>
      <c r="B110" s="11">
        <f>STDEV(Daily!B91:B110)*SQRT(Inputs!$B$16)</f>
        <v>0.24439142882713036</v>
      </c>
      <c r="C110" s="11">
        <f>STDEV(Daily!C91:C110)*SQRT(Inputs!$B$16)</f>
        <v>0.30674555904406686</v>
      </c>
      <c r="D110" s="11">
        <f>STDEV(Daily!D91:D110)*SQRT(Inputs!$B$16)</f>
        <v>0.30043293064182647</v>
      </c>
      <c r="E110" s="11">
        <f>STDEV(Daily!E91:E110)*SQRT(Inputs!$B$16)</f>
        <v>0.30045882897429238</v>
      </c>
      <c r="F110" s="11">
        <f>STDEV(Daily!F91:F110)*SQRT(Inputs!$B$16)</f>
        <v>0.21042769767609806</v>
      </c>
      <c r="G110" s="11">
        <f>STDEV(Daily!G91:G110)*SQRT(Inputs!$B$16)</f>
        <v>0.20430295668638554</v>
      </c>
      <c r="H110" s="11">
        <f>STDEV(Daily!H91:H110)*SQRT(Inputs!$B$16)</f>
        <v>0.40931854860584865</v>
      </c>
    </row>
    <row r="111" spans="1:8" x14ac:dyDescent="0.25">
      <c r="A111" s="18">
        <f>Prices!A111</f>
        <v>46111</v>
      </c>
      <c r="B111" s="11">
        <f>STDEV(Daily!B92:B111)*SQRT(Inputs!$B$16)</f>
        <v>0.2496727881601663</v>
      </c>
      <c r="C111" s="11">
        <f>STDEV(Daily!C92:C111)*SQRT(Inputs!$B$16)</f>
        <v>0.31353188157001488</v>
      </c>
      <c r="D111" s="11">
        <f>STDEV(Daily!D92:D111)*SQRT(Inputs!$B$16)</f>
        <v>0.31000830439109861</v>
      </c>
      <c r="E111" s="11">
        <f>STDEV(Daily!E92:E111)*SQRT(Inputs!$B$16)</f>
        <v>0.31681534954754209</v>
      </c>
      <c r="F111" s="11">
        <f>STDEV(Daily!F92:F111)*SQRT(Inputs!$B$16)</f>
        <v>0.21646149520853836</v>
      </c>
      <c r="G111" s="11">
        <f>STDEV(Daily!G92:G111)*SQRT(Inputs!$B$16)</f>
        <v>0.20908772394574371</v>
      </c>
      <c r="H111" s="11">
        <f>STDEV(Daily!H92:H111)*SQRT(Inputs!$B$16)</f>
        <v>0.40902581946269834</v>
      </c>
    </row>
    <row r="112" spans="1:8" x14ac:dyDescent="0.25">
      <c r="A112" s="18">
        <f>Prices!A112</f>
        <v>46113</v>
      </c>
      <c r="B112" s="11">
        <f>STDEV(Daily!B93:B112)*SQRT(Inputs!$B$16)</f>
        <v>0.26038635052250836</v>
      </c>
      <c r="C112" s="11">
        <f>STDEV(Daily!C93:C112)*SQRT(Inputs!$B$16)</f>
        <v>0.32841695239557339</v>
      </c>
      <c r="D112" s="11">
        <f>STDEV(Daily!D93:D112)*SQRT(Inputs!$B$16)</f>
        <v>0.33854793057335664</v>
      </c>
      <c r="E112" s="11">
        <f>STDEV(Daily!E93:E112)*SQRT(Inputs!$B$16)</f>
        <v>0.33757384666375861</v>
      </c>
      <c r="F112" s="11">
        <f>STDEV(Daily!F93:F112)*SQRT(Inputs!$B$16)</f>
        <v>0.23147541187903878</v>
      </c>
      <c r="G112" s="11">
        <f>STDEV(Daily!G93:G112)*SQRT(Inputs!$B$16)</f>
        <v>0.21638040390978622</v>
      </c>
      <c r="H112" s="11">
        <f>STDEV(Daily!H93:H112)*SQRT(Inputs!$B$16)</f>
        <v>0.41964874094355309</v>
      </c>
    </row>
    <row r="113" spans="1:8" x14ac:dyDescent="0.25">
      <c r="A113" s="18">
        <f>Prices!A113</f>
        <v>46114</v>
      </c>
      <c r="B113" s="11">
        <f>STDEV(Daily!B94:B113)*SQRT(Inputs!$B$16)</f>
        <v>0.25986514906799096</v>
      </c>
      <c r="C113" s="11">
        <f>STDEV(Daily!C94:C113)*SQRT(Inputs!$B$16)</f>
        <v>0.32570189308457642</v>
      </c>
      <c r="D113" s="11">
        <f>STDEV(Daily!D94:D113)*SQRT(Inputs!$B$16)</f>
        <v>0.33450038080470068</v>
      </c>
      <c r="E113" s="11">
        <f>STDEV(Daily!E94:E113)*SQRT(Inputs!$B$16)</f>
        <v>0.33904949406116952</v>
      </c>
      <c r="F113" s="11">
        <f>STDEV(Daily!F94:F113)*SQRT(Inputs!$B$16)</f>
        <v>0.24806330973745977</v>
      </c>
      <c r="G113" s="11">
        <f>STDEV(Daily!G94:G113)*SQRT(Inputs!$B$16)</f>
        <v>0.21758687629507037</v>
      </c>
      <c r="H113" s="11">
        <f>STDEV(Daily!H94:H113)*SQRT(Inputs!$B$16)</f>
        <v>0.41596977035062516</v>
      </c>
    </row>
    <row r="114" spans="1:8" x14ac:dyDescent="0.25">
      <c r="A114" s="18">
        <f>Prices!A114</f>
        <v>46118</v>
      </c>
      <c r="B114" s="11">
        <f>STDEV(Daily!B95:B114)*SQRT(Inputs!$B$16)</f>
        <v>0.26202792436726263</v>
      </c>
      <c r="C114" s="11">
        <f>STDEV(Daily!C95:C114)*SQRT(Inputs!$B$16)</f>
        <v>0.32526554557753501</v>
      </c>
      <c r="D114" s="11">
        <f>STDEV(Daily!D95:D114)*SQRT(Inputs!$B$16)</f>
        <v>0.33165108885218342</v>
      </c>
      <c r="E114" s="11">
        <f>STDEV(Daily!E95:E114)*SQRT(Inputs!$B$16)</f>
        <v>0.35017004047020528</v>
      </c>
      <c r="F114" s="11">
        <f>STDEV(Daily!F95:F114)*SQRT(Inputs!$B$16)</f>
        <v>0.24897877062355417</v>
      </c>
      <c r="G114" s="11">
        <f>STDEV(Daily!G95:G114)*SQRT(Inputs!$B$16)</f>
        <v>0.21508123377063598</v>
      </c>
      <c r="H114" s="11">
        <f>STDEV(Daily!H95:H114)*SQRT(Inputs!$B$16)</f>
        <v>0.41445534221375419</v>
      </c>
    </row>
    <row r="115" spans="1:8" x14ac:dyDescent="0.25">
      <c r="A115" s="18">
        <f>Prices!A115</f>
        <v>46119</v>
      </c>
      <c r="B115" s="11">
        <f>STDEV(Daily!B96:B115)*SQRT(Inputs!$B$16)</f>
        <v>0.25894216959285071</v>
      </c>
      <c r="C115" s="11">
        <f>STDEV(Daily!C96:C115)*SQRT(Inputs!$B$16)</f>
        <v>0.31930723237461606</v>
      </c>
      <c r="D115" s="11">
        <f>STDEV(Daily!D96:D115)*SQRT(Inputs!$B$16)</f>
        <v>0.32560185836294464</v>
      </c>
      <c r="E115" s="11">
        <f>STDEV(Daily!E96:E115)*SQRT(Inputs!$B$16)</f>
        <v>0.3491269368772944</v>
      </c>
      <c r="F115" s="11">
        <f>STDEV(Daily!F96:F115)*SQRT(Inputs!$B$16)</f>
        <v>0.26203745621162461</v>
      </c>
      <c r="G115" s="11">
        <f>STDEV(Daily!G96:G115)*SQRT(Inputs!$B$16)</f>
        <v>0.21739019274710764</v>
      </c>
      <c r="H115" s="11">
        <f>STDEV(Daily!H96:H115)*SQRT(Inputs!$B$16)</f>
        <v>0.40601266372991501</v>
      </c>
    </row>
    <row r="116" spans="1:8" x14ac:dyDescent="0.25">
      <c r="A116" s="18">
        <f>Prices!A116</f>
        <v>46120</v>
      </c>
      <c r="B116" s="11">
        <f>STDEV(Daily!B97:B116)*SQRT(Inputs!$B$16)</f>
        <v>0.29421161796346706</v>
      </c>
      <c r="C116" s="11">
        <f>STDEV(Daily!C97:C116)*SQRT(Inputs!$B$16)</f>
        <v>0.35308446936447446</v>
      </c>
      <c r="D116" s="11">
        <f>STDEV(Daily!D97:D116)*SQRT(Inputs!$B$16)</f>
        <v>0.36388428652124516</v>
      </c>
      <c r="E116" s="11">
        <f>STDEV(Daily!E97:E116)*SQRT(Inputs!$B$16)</f>
        <v>0.406868033606128</v>
      </c>
      <c r="F116" s="11">
        <f>STDEV(Daily!F97:F116)*SQRT(Inputs!$B$16)</f>
        <v>0.2621472074064134</v>
      </c>
      <c r="G116" s="11">
        <f>STDEV(Daily!G97:G116)*SQRT(Inputs!$B$16)</f>
        <v>0.22697684589569686</v>
      </c>
      <c r="H116" s="11">
        <f>STDEV(Daily!H97:H116)*SQRT(Inputs!$B$16)</f>
        <v>0.47946995191209013</v>
      </c>
    </row>
    <row r="117" spans="1:8" x14ac:dyDescent="0.25">
      <c r="A117" s="18">
        <f>Prices!A117</f>
        <v>46121</v>
      </c>
      <c r="B117" s="11">
        <f>STDEV(Daily!B98:B117)*SQRT(Inputs!$B$16)</f>
        <v>0.28958783262298748</v>
      </c>
      <c r="C117" s="11">
        <f>STDEV(Daily!C98:C117)*SQRT(Inputs!$B$16)</f>
        <v>0.34569644480173112</v>
      </c>
      <c r="D117" s="11">
        <f>STDEV(Daily!D98:D117)*SQRT(Inputs!$B$16)</f>
        <v>0.35395665264118659</v>
      </c>
      <c r="E117" s="11">
        <f>STDEV(Daily!E98:E117)*SQRT(Inputs!$B$16)</f>
        <v>0.39618690441913651</v>
      </c>
      <c r="F117" s="11">
        <f>STDEV(Daily!F98:F117)*SQRT(Inputs!$B$16)</f>
        <v>0.26207593254536965</v>
      </c>
      <c r="G117" s="11">
        <f>STDEV(Daily!G98:G117)*SQRT(Inputs!$B$16)</f>
        <v>0.22142656606340522</v>
      </c>
      <c r="H117" s="11">
        <f>STDEV(Daily!H98:H117)*SQRT(Inputs!$B$16)</f>
        <v>0.45654578181629024</v>
      </c>
    </row>
    <row r="118" spans="1:8" x14ac:dyDescent="0.25">
      <c r="A118" s="18">
        <f>Prices!A118</f>
        <v>46122</v>
      </c>
      <c r="B118" s="11">
        <f>STDEV(Daily!B99:B118)*SQRT(Inputs!$B$16)</f>
        <v>0.29052545403831803</v>
      </c>
      <c r="C118" s="11">
        <f>STDEV(Daily!C99:C118)*SQRT(Inputs!$B$16)</f>
        <v>0.34511016212016632</v>
      </c>
      <c r="D118" s="11">
        <f>STDEV(Daily!D99:D118)*SQRT(Inputs!$B$16)</f>
        <v>0.35092328231896031</v>
      </c>
      <c r="E118" s="11">
        <f>STDEV(Daily!E99:E118)*SQRT(Inputs!$B$16)</f>
        <v>0.39826543245986434</v>
      </c>
      <c r="F118" s="11">
        <f>STDEV(Daily!F99:F118)*SQRT(Inputs!$B$16)</f>
        <v>0.27221005877652871</v>
      </c>
      <c r="G118" s="11">
        <f>STDEV(Daily!G99:G118)*SQRT(Inputs!$B$16)</f>
        <v>0.22364219751228825</v>
      </c>
      <c r="H118" s="11">
        <f>STDEV(Daily!H99:H118)*SQRT(Inputs!$B$16)</f>
        <v>0.45443232805506095</v>
      </c>
    </row>
    <row r="119" spans="1:8" x14ac:dyDescent="0.25">
      <c r="A119" s="18">
        <f>Prices!A119</f>
        <v>46125</v>
      </c>
      <c r="B119" s="11">
        <f>STDEV(Daily!B100:B119)*SQRT(Inputs!$B$16)</f>
        <v>0.2861869252617692</v>
      </c>
      <c r="C119" s="11">
        <f>STDEV(Daily!C100:C119)*SQRT(Inputs!$B$16)</f>
        <v>0.34245458928511102</v>
      </c>
      <c r="D119" s="11">
        <f>STDEV(Daily!D100:D119)*SQRT(Inputs!$B$16)</f>
        <v>0.35113996317786955</v>
      </c>
      <c r="E119" s="11">
        <f>STDEV(Daily!E100:E119)*SQRT(Inputs!$B$16)</f>
        <v>0.3912472730024954</v>
      </c>
      <c r="F119" s="11">
        <f>STDEV(Daily!F100:F119)*SQRT(Inputs!$B$16)</f>
        <v>0.27168904852968884</v>
      </c>
      <c r="G119" s="11">
        <f>STDEV(Daily!G100:G119)*SQRT(Inputs!$B$16)</f>
        <v>0.22487624614330659</v>
      </c>
      <c r="H119" s="11">
        <f>STDEV(Daily!H100:H119)*SQRT(Inputs!$B$16)</f>
        <v>0.44606758462585744</v>
      </c>
    </row>
    <row r="120" spans="1:8" x14ac:dyDescent="0.25">
      <c r="A120" s="18">
        <f>Prices!A120</f>
        <v>46127</v>
      </c>
      <c r="B120" s="11">
        <f>STDEV(Daily!B101:B120)*SQRT(Inputs!$B$16)</f>
        <v>0.2893196903085728</v>
      </c>
      <c r="C120" s="11">
        <f>STDEV(Daily!C101:C120)*SQRT(Inputs!$B$16)</f>
        <v>0.3497012915977058</v>
      </c>
      <c r="D120" s="11">
        <f>STDEV(Daily!D101:D120)*SQRT(Inputs!$B$16)</f>
        <v>0.35835871448817247</v>
      </c>
      <c r="E120" s="11">
        <f>STDEV(Daily!E101:E120)*SQRT(Inputs!$B$16)</f>
        <v>0.39108762159564586</v>
      </c>
      <c r="F120" s="11">
        <f>STDEV(Daily!F101:F120)*SQRT(Inputs!$B$16)</f>
        <v>0.28685246606637754</v>
      </c>
      <c r="G120" s="11">
        <f>STDEV(Daily!G101:G120)*SQRT(Inputs!$B$16)</f>
        <v>0.22354932872071107</v>
      </c>
      <c r="H120" s="11">
        <f>STDEV(Daily!H101:H120)*SQRT(Inputs!$B$16)</f>
        <v>0.43152846538257511</v>
      </c>
    </row>
    <row r="121" spans="1:8" x14ac:dyDescent="0.25">
      <c r="A121" s="18">
        <f>Prices!A121</f>
        <v>46128</v>
      </c>
      <c r="B121" s="11">
        <f>STDEV(Daily!B102:B121)*SQRT(Inputs!$B$16)</f>
        <v>0.2777098484349721</v>
      </c>
      <c r="C121" s="11">
        <f>STDEV(Daily!C102:C121)*SQRT(Inputs!$B$16)</f>
        <v>0.33263811780983821</v>
      </c>
      <c r="D121" s="11">
        <f>STDEV(Daily!D102:D121)*SQRT(Inputs!$B$16)</f>
        <v>0.34321431605997554</v>
      </c>
      <c r="E121" s="11">
        <f>STDEV(Daily!E102:E121)*SQRT(Inputs!$B$16)</f>
        <v>0.3797877459098134</v>
      </c>
      <c r="F121" s="11">
        <f>STDEV(Daily!F102:F121)*SQRT(Inputs!$B$16)</f>
        <v>0.2768175990910946</v>
      </c>
      <c r="G121" s="11">
        <f>STDEV(Daily!G102:G121)*SQRT(Inputs!$B$16)</f>
        <v>0.22258167484520716</v>
      </c>
      <c r="H121" s="11">
        <f>STDEV(Daily!H102:H121)*SQRT(Inputs!$B$16)</f>
        <v>0.40738260863192061</v>
      </c>
    </row>
    <row r="122" spans="1:8" x14ac:dyDescent="0.25">
      <c r="A122" s="18">
        <f>Prices!A122</f>
        <v>46129</v>
      </c>
      <c r="B122" s="11">
        <f>STDEV(Daily!B103:B122)*SQRT(Inputs!$B$16)</f>
        <v>0.27624771160195472</v>
      </c>
      <c r="C122" s="11">
        <f>STDEV(Daily!C103:C122)*SQRT(Inputs!$B$16)</f>
        <v>0.33298416166895956</v>
      </c>
      <c r="D122" s="11">
        <f>STDEV(Daily!D103:D122)*SQRT(Inputs!$B$16)</f>
        <v>0.34302206807406471</v>
      </c>
      <c r="E122" s="11">
        <f>STDEV(Daily!E103:E122)*SQRT(Inputs!$B$16)</f>
        <v>0.37875838170959236</v>
      </c>
      <c r="F122" s="11">
        <f>STDEV(Daily!F103:F122)*SQRT(Inputs!$B$16)</f>
        <v>0.27662788138363054</v>
      </c>
      <c r="G122" s="11">
        <f>STDEV(Daily!G103:G122)*SQRT(Inputs!$B$16)</f>
        <v>0.23819036297518043</v>
      </c>
      <c r="H122" s="11">
        <f>STDEV(Daily!H103:H122)*SQRT(Inputs!$B$16)</f>
        <v>0.40495146206206595</v>
      </c>
    </row>
    <row r="123" spans="1:8" x14ac:dyDescent="0.25">
      <c r="A123" s="18">
        <f>Prices!A123</f>
        <v>46132</v>
      </c>
      <c r="B123" s="11">
        <f>STDEV(Daily!B104:B123)*SQRT(Inputs!$B$16)</f>
        <v>0.27559729533396121</v>
      </c>
      <c r="C123" s="11">
        <f>STDEV(Daily!C104:C123)*SQRT(Inputs!$B$16)</f>
        <v>0.33313360389347202</v>
      </c>
      <c r="D123" s="11">
        <f>STDEV(Daily!D104:D123)*SQRT(Inputs!$B$16)</f>
        <v>0.34481009111879474</v>
      </c>
      <c r="E123" s="11">
        <f>STDEV(Daily!E104:E123)*SQRT(Inputs!$B$16)</f>
        <v>0.37807042865008522</v>
      </c>
      <c r="F123" s="11">
        <f>STDEV(Daily!F104:F123)*SQRT(Inputs!$B$16)</f>
        <v>0.27495110955409946</v>
      </c>
      <c r="G123" s="11">
        <f>STDEV(Daily!G104:G123)*SQRT(Inputs!$B$16)</f>
        <v>0.23628341506905873</v>
      </c>
      <c r="H123" s="11">
        <f>STDEV(Daily!H104:H123)*SQRT(Inputs!$B$16)</f>
        <v>0.39985332097452925</v>
      </c>
    </row>
    <row r="124" spans="1:8" x14ac:dyDescent="0.25">
      <c r="A124" s="18">
        <f>Prices!A124</f>
        <v>46133</v>
      </c>
      <c r="B124" s="11">
        <f>STDEV(Daily!B105:B124)*SQRT(Inputs!$B$16)</f>
        <v>0.2757110661874429</v>
      </c>
      <c r="C124" s="11">
        <f>STDEV(Daily!C105:C124)*SQRT(Inputs!$B$16)</f>
        <v>0.32778471000845416</v>
      </c>
      <c r="D124" s="11">
        <f>STDEV(Daily!D105:D124)*SQRT(Inputs!$B$16)</f>
        <v>0.3423634652640703</v>
      </c>
      <c r="E124" s="11">
        <f>STDEV(Daily!E105:E124)*SQRT(Inputs!$B$16)</f>
        <v>0.37990574862954712</v>
      </c>
      <c r="F124" s="11">
        <f>STDEV(Daily!F105:F124)*SQRT(Inputs!$B$16)</f>
        <v>0.26129092178723545</v>
      </c>
      <c r="G124" s="11">
        <f>STDEV(Daily!G105:G124)*SQRT(Inputs!$B$16)</f>
        <v>0.25081794583104428</v>
      </c>
      <c r="H124" s="11">
        <f>STDEV(Daily!H105:H124)*SQRT(Inputs!$B$16)</f>
        <v>0.39531683753933194</v>
      </c>
    </row>
    <row r="125" spans="1:8" x14ac:dyDescent="0.25">
      <c r="A125" s="18">
        <f>Prices!A125</f>
        <v>46134</v>
      </c>
      <c r="B125" s="11">
        <f>STDEV(Daily!B106:B125)*SQRT(Inputs!$B$16)</f>
        <v>0.24738399986250448</v>
      </c>
      <c r="C125" s="11">
        <f>STDEV(Daily!C106:C125)*SQRT(Inputs!$B$16)</f>
        <v>0.30014797665309595</v>
      </c>
      <c r="D125" s="11">
        <f>STDEV(Daily!D106:D125)*SQRT(Inputs!$B$16)</f>
        <v>0.31853686238893486</v>
      </c>
      <c r="E125" s="11">
        <f>STDEV(Daily!E106:E125)*SQRT(Inputs!$B$16)</f>
        <v>0.35653997358464024</v>
      </c>
      <c r="F125" s="11">
        <f>STDEV(Daily!F106:F125)*SQRT(Inputs!$B$16)</f>
        <v>0.27251227828398417</v>
      </c>
      <c r="G125" s="11">
        <f>STDEV(Daily!G106:G125)*SQRT(Inputs!$B$16)</f>
        <v>0.227858814081247</v>
      </c>
      <c r="H125" s="11">
        <f>STDEV(Daily!H106:H125)*SQRT(Inputs!$B$16)</f>
        <v>0.36032442923741037</v>
      </c>
    </row>
    <row r="126" spans="1:8" x14ac:dyDescent="0.25">
      <c r="A126" s="18">
        <f>Prices!A126</f>
        <v>46135</v>
      </c>
      <c r="B126" s="11">
        <f>STDEV(Daily!B107:B126)*SQRT(Inputs!$B$16)</f>
        <v>0.2505396925476539</v>
      </c>
      <c r="C126" s="11">
        <f>STDEV(Daily!C107:C126)*SQRT(Inputs!$B$16)</f>
        <v>0.30187432195806463</v>
      </c>
      <c r="D126" s="11">
        <f>STDEV(Daily!D107:D126)*SQRT(Inputs!$B$16)</f>
        <v>0.32147081931652294</v>
      </c>
      <c r="E126" s="11">
        <f>STDEV(Daily!E107:E126)*SQRT(Inputs!$B$16)</f>
        <v>0.36198685969542266</v>
      </c>
      <c r="F126" s="11">
        <f>STDEV(Daily!F107:F126)*SQRT(Inputs!$B$16)</f>
        <v>0.26885113271349365</v>
      </c>
      <c r="G126" s="11">
        <f>STDEV(Daily!G107:G126)*SQRT(Inputs!$B$16)</f>
        <v>0.22870937967778449</v>
      </c>
      <c r="H126" s="11">
        <f>STDEV(Daily!H107:H126)*SQRT(Inputs!$B$16)</f>
        <v>0.37282094287377449</v>
      </c>
    </row>
    <row r="127" spans="1:8" x14ac:dyDescent="0.25">
      <c r="A127" s="18">
        <f>Prices!A127</f>
        <v>46136</v>
      </c>
      <c r="B127" s="11">
        <f>STDEV(Daily!B108:B127)*SQRT(Inputs!$B$16)</f>
        <v>0.23331549543259036</v>
      </c>
      <c r="C127" s="11">
        <f>STDEV(Daily!C108:C127)*SQRT(Inputs!$B$16)</f>
        <v>0.26085470225911289</v>
      </c>
      <c r="D127" s="11">
        <f>STDEV(Daily!D108:D127)*SQRT(Inputs!$B$16)</f>
        <v>0.27931404044659375</v>
      </c>
      <c r="E127" s="11">
        <f>STDEV(Daily!E108:E127)*SQRT(Inputs!$B$16)</f>
        <v>0.33098984661565334</v>
      </c>
      <c r="F127" s="11">
        <f>STDEV(Daily!F108:F127)*SQRT(Inputs!$B$16)</f>
        <v>0.33155325178112222</v>
      </c>
      <c r="G127" s="11">
        <f>STDEV(Daily!G108:G127)*SQRT(Inputs!$B$16)</f>
        <v>0.20633604467992084</v>
      </c>
      <c r="H127" s="11">
        <f>STDEV(Daily!H108:H127)*SQRT(Inputs!$B$16)</f>
        <v>0.3526024429570539</v>
      </c>
    </row>
    <row r="128" spans="1:8" x14ac:dyDescent="0.25">
      <c r="A128" s="18">
        <f>Prices!A128</f>
        <v>46139</v>
      </c>
      <c r="B128" s="11">
        <f>STDEV(Daily!B109:B128)*SQRT(Inputs!$B$16)</f>
        <v>0.22773211214306707</v>
      </c>
      <c r="C128" s="11">
        <f>STDEV(Daily!C109:C128)*SQRT(Inputs!$B$16)</f>
        <v>0.25239248268432668</v>
      </c>
      <c r="D128" s="11">
        <f>STDEV(Daily!D109:D128)*SQRT(Inputs!$B$16)</f>
        <v>0.27406013838299959</v>
      </c>
      <c r="E128" s="11">
        <f>STDEV(Daily!E109:E128)*SQRT(Inputs!$B$16)</f>
        <v>0.32396307294726495</v>
      </c>
      <c r="F128" s="11">
        <f>STDEV(Daily!F109:F128)*SQRT(Inputs!$B$16)</f>
        <v>0.33545074001133857</v>
      </c>
      <c r="G128" s="11">
        <f>STDEV(Daily!G109:G128)*SQRT(Inputs!$B$16)</f>
        <v>0.20455904024173024</v>
      </c>
      <c r="H128" s="11">
        <f>STDEV(Daily!H109:H128)*SQRT(Inputs!$B$16)</f>
        <v>0.34721197781454288</v>
      </c>
    </row>
    <row r="129" spans="1:8" x14ac:dyDescent="0.25">
      <c r="A129" s="18">
        <f>Prices!A129</f>
        <v>46140</v>
      </c>
      <c r="B129" s="11">
        <f>STDEV(Daily!B110:B129)*SQRT(Inputs!$B$16)</f>
        <v>0.22209406503765014</v>
      </c>
      <c r="C129" s="11">
        <f>STDEV(Daily!C110:C129)*SQRT(Inputs!$B$16)</f>
        <v>0.243883344798343</v>
      </c>
      <c r="D129" s="11">
        <f>STDEV(Daily!D110:D129)*SQRT(Inputs!$B$16)</f>
        <v>0.26529430314288477</v>
      </c>
      <c r="E129" s="11">
        <f>STDEV(Daily!E110:E129)*SQRT(Inputs!$B$16)</f>
        <v>0.32374766589576048</v>
      </c>
      <c r="F129" s="11">
        <f>STDEV(Daily!F110:F129)*SQRT(Inputs!$B$16)</f>
        <v>0.33611952504960468</v>
      </c>
      <c r="G129" s="11">
        <f>STDEV(Daily!G110:G129)*SQRT(Inputs!$B$16)</f>
        <v>0.19945642722504245</v>
      </c>
      <c r="H129" s="11">
        <f>STDEV(Daily!H110:H129)*SQRT(Inputs!$B$16)</f>
        <v>0.34278017639425923</v>
      </c>
    </row>
    <row r="130" spans="1:8" x14ac:dyDescent="0.25">
      <c r="A130" s="18">
        <f>Prices!A130</f>
        <v>46141</v>
      </c>
      <c r="B130" s="11">
        <f>STDEV(Daily!B111:B130)*SQRT(Inputs!$B$16)</f>
        <v>0.20637873772777821</v>
      </c>
      <c r="C130" s="11">
        <f>STDEV(Daily!C111:C130)*SQRT(Inputs!$B$16)</f>
        <v>0.22360619910273322</v>
      </c>
      <c r="D130" s="11">
        <f>STDEV(Daily!D111:D130)*SQRT(Inputs!$B$16)</f>
        <v>0.2501127548120114</v>
      </c>
      <c r="E130" s="11">
        <f>STDEV(Daily!E111:E130)*SQRT(Inputs!$B$16)</f>
        <v>0.30602149706206061</v>
      </c>
      <c r="F130" s="11">
        <f>STDEV(Daily!F111:F130)*SQRT(Inputs!$B$16)</f>
        <v>0.33801251837386664</v>
      </c>
      <c r="G130" s="11">
        <f>STDEV(Daily!G111:G130)*SQRT(Inputs!$B$16)</f>
        <v>0.18736346754322383</v>
      </c>
      <c r="H130" s="11">
        <f>STDEV(Daily!H111:H130)*SQRT(Inputs!$B$16)</f>
        <v>0.32542980821293072</v>
      </c>
    </row>
    <row r="131" spans="1:8" x14ac:dyDescent="0.25">
      <c r="A131" s="18">
        <f>Prices!A131</f>
        <v>46142</v>
      </c>
      <c r="B131" s="11">
        <f>STDEV(Daily!B112:B131)*SQRT(Inputs!$B$16)</f>
        <v>0.18981158671788292</v>
      </c>
      <c r="C131" s="11">
        <f>STDEV(Daily!C112:C131)*SQRT(Inputs!$B$16)</f>
        <v>0.19765178402567635</v>
      </c>
      <c r="D131" s="11">
        <f>STDEV(Daily!D112:D131)*SQRT(Inputs!$B$16)</f>
        <v>0.22084036629399478</v>
      </c>
      <c r="E131" s="11">
        <f>STDEV(Daily!E112:E131)*SQRT(Inputs!$B$16)</f>
        <v>0.26951753417286756</v>
      </c>
      <c r="F131" s="11">
        <f>STDEV(Daily!F112:F131)*SQRT(Inputs!$B$16)</f>
        <v>0.33292026106059469</v>
      </c>
      <c r="G131" s="11">
        <f>STDEV(Daily!G112:G131)*SQRT(Inputs!$B$16)</f>
        <v>0.17839252715895298</v>
      </c>
      <c r="H131" s="11">
        <f>STDEV(Daily!H112:H131)*SQRT(Inputs!$B$16)</f>
        <v>0.31141882046089392</v>
      </c>
    </row>
    <row r="132" spans="1:8" x14ac:dyDescent="0.25">
      <c r="A132" s="18">
        <f>Prices!A132</f>
        <v>46146</v>
      </c>
      <c r="B132" s="11">
        <f>STDEV(Daily!B113:B132)*SQRT(Inputs!$B$16)</f>
        <v>0.18465994758661464</v>
      </c>
      <c r="C132" s="11">
        <f>STDEV(Daily!C113:C132)*SQRT(Inputs!$B$16)</f>
        <v>0.18869132058258348</v>
      </c>
      <c r="D132" s="11">
        <f>STDEV(Daily!D113:D132)*SQRT(Inputs!$B$16)</f>
        <v>0.20064542261316498</v>
      </c>
      <c r="E132" s="11">
        <f>STDEV(Daily!E113:E132)*SQRT(Inputs!$B$16)</f>
        <v>0.26042951490098948</v>
      </c>
      <c r="F132" s="11">
        <f>STDEV(Daily!F113:F132)*SQRT(Inputs!$B$16)</f>
        <v>0.32589876763136022</v>
      </c>
      <c r="G132" s="11">
        <f>STDEV(Daily!G113:G132)*SQRT(Inputs!$B$16)</f>
        <v>0.17638600089931961</v>
      </c>
      <c r="H132" s="11">
        <f>STDEV(Daily!H113:H132)*SQRT(Inputs!$B$16)</f>
        <v>0.30618271705573691</v>
      </c>
    </row>
    <row r="133" spans="1:8" x14ac:dyDescent="0.25">
      <c r="A133" s="18">
        <f>Prices!A133</f>
        <v>46147</v>
      </c>
      <c r="B133" s="11">
        <f>STDEV(Daily!B114:B133)*SQRT(Inputs!$B$16)</f>
        <v>0.18613659612421279</v>
      </c>
      <c r="C133" s="11">
        <f>STDEV(Daily!C114:C133)*SQRT(Inputs!$B$16)</f>
        <v>0.18676914687155549</v>
      </c>
      <c r="D133" s="11">
        <f>STDEV(Daily!D114:D133)*SQRT(Inputs!$B$16)</f>
        <v>0.1971874705643146</v>
      </c>
      <c r="E133" s="11">
        <f>STDEV(Daily!E114:E133)*SQRT(Inputs!$B$16)</f>
        <v>0.2625376085777264</v>
      </c>
      <c r="F133" s="11">
        <f>STDEV(Daily!F114:F133)*SQRT(Inputs!$B$16)</f>
        <v>0.31030472561503769</v>
      </c>
      <c r="G133" s="11">
        <f>STDEV(Daily!G114:G133)*SQRT(Inputs!$B$16)</f>
        <v>0.17599254618275709</v>
      </c>
      <c r="H133" s="11">
        <f>STDEV(Daily!H114:H133)*SQRT(Inputs!$B$16)</f>
        <v>0.30403016166213359</v>
      </c>
    </row>
    <row r="134" spans="1:8" x14ac:dyDescent="0.25">
      <c r="A134" s="18">
        <f>Prices!A134</f>
        <v>46148</v>
      </c>
      <c r="B134" s="11">
        <f>STDEV(Daily!B115:B134)*SQRT(Inputs!$B$16)</f>
        <v>0.18687842799882207</v>
      </c>
      <c r="C134" s="11">
        <f>STDEV(Daily!C115:C134)*SQRT(Inputs!$B$16)</f>
        <v>0.18856969584744626</v>
      </c>
      <c r="D134" s="11">
        <f>STDEV(Daily!D115:D134)*SQRT(Inputs!$B$16)</f>
        <v>0.20076484444192419</v>
      </c>
      <c r="E134" s="11">
        <f>STDEV(Daily!E115:E134)*SQRT(Inputs!$B$16)</f>
        <v>0.26834702078041972</v>
      </c>
      <c r="F134" s="11">
        <f>STDEV(Daily!F115:F134)*SQRT(Inputs!$B$16)</f>
        <v>0.30999877525351649</v>
      </c>
      <c r="G134" s="11">
        <f>STDEV(Daily!G115:G134)*SQRT(Inputs!$B$16)</f>
        <v>0.17804950619864413</v>
      </c>
      <c r="H134" s="11">
        <f>STDEV(Daily!H115:H134)*SQRT(Inputs!$B$16)</f>
        <v>0.31132649124009082</v>
      </c>
    </row>
    <row r="135" spans="1:8" x14ac:dyDescent="0.25">
      <c r="A135" s="18">
        <f>Prices!A135</f>
        <v>46149</v>
      </c>
      <c r="B135" s="11">
        <f>STDEV(Daily!B116:B135)*SQRT(Inputs!$B$16)</f>
        <v>0.18662346579988895</v>
      </c>
      <c r="C135" s="11">
        <f>STDEV(Daily!C116:C135)*SQRT(Inputs!$B$16)</f>
        <v>0.18875288101126808</v>
      </c>
      <c r="D135" s="11">
        <f>STDEV(Daily!D116:D135)*SQRT(Inputs!$B$16)</f>
        <v>0.19822094064617782</v>
      </c>
      <c r="E135" s="11">
        <f>STDEV(Daily!E116:E135)*SQRT(Inputs!$B$16)</f>
        <v>0.26841484244367853</v>
      </c>
      <c r="F135" s="11">
        <f>STDEV(Daily!F116:F135)*SQRT(Inputs!$B$16)</f>
        <v>0.29332783913718952</v>
      </c>
      <c r="G135" s="11">
        <f>STDEV(Daily!G116:G135)*SQRT(Inputs!$B$16)</f>
        <v>0.18311262086399854</v>
      </c>
      <c r="H135" s="11">
        <f>STDEV(Daily!H116:H135)*SQRT(Inputs!$B$16)</f>
        <v>0.31491587440019603</v>
      </c>
    </row>
    <row r="136" spans="1:8" x14ac:dyDescent="0.25">
      <c r="A136" s="18">
        <f>Prices!A136</f>
        <v>46150</v>
      </c>
      <c r="B136" s="11">
        <f>STDEV(Daily!B117:B136)*SQRT(Inputs!$B$16)</f>
        <v>0.1347450141774113</v>
      </c>
      <c r="C136" s="11">
        <f>STDEV(Daily!C117:C136)*SQRT(Inputs!$B$16)</f>
        <v>0.14186706126076881</v>
      </c>
      <c r="D136" s="11">
        <f>STDEV(Daily!D117:D136)*SQRT(Inputs!$B$16)</f>
        <v>0.14820030246628432</v>
      </c>
      <c r="E136" s="11">
        <f>STDEV(Daily!E117:E136)*SQRT(Inputs!$B$16)</f>
        <v>0.18556565268086431</v>
      </c>
      <c r="F136" s="11">
        <f>STDEV(Daily!F117:F136)*SQRT(Inputs!$B$16)</f>
        <v>0.29710623807514225</v>
      </c>
      <c r="G136" s="11">
        <f>STDEV(Daily!G117:G136)*SQRT(Inputs!$B$16)</f>
        <v>0.17840031297928488</v>
      </c>
      <c r="H136" s="11">
        <f>STDEV(Daily!H117:H136)*SQRT(Inputs!$B$16)</f>
        <v>0.21854862446507403</v>
      </c>
    </row>
    <row r="137" spans="1:8" x14ac:dyDescent="0.25">
      <c r="A137" s="18">
        <f>Prices!A137</f>
        <v>46153</v>
      </c>
      <c r="B137" s="11">
        <f>STDEV(Daily!B118:B137)*SQRT(Inputs!$B$16)</f>
        <v>0.14143523867348556</v>
      </c>
      <c r="C137" s="11">
        <f>STDEV(Daily!C118:C137)*SQRT(Inputs!$B$16)</f>
        <v>0.15141100083565071</v>
      </c>
      <c r="D137" s="11">
        <f>STDEV(Daily!D118:D137)*SQRT(Inputs!$B$16)</f>
        <v>0.16020655609556339</v>
      </c>
      <c r="E137" s="11">
        <f>STDEV(Daily!E118:E137)*SQRT(Inputs!$B$16)</f>
        <v>0.18545904295625684</v>
      </c>
      <c r="F137" s="11">
        <f>STDEV(Daily!F118:F137)*SQRT(Inputs!$B$16)</f>
        <v>0.29641019059698948</v>
      </c>
      <c r="G137" s="11">
        <f>STDEV(Daily!G118:G137)*SQRT(Inputs!$B$16)</f>
        <v>0.17778795702109823</v>
      </c>
      <c r="H137" s="11">
        <f>STDEV(Daily!H118:H137)*SQRT(Inputs!$B$16)</f>
        <v>0.23011731038875652</v>
      </c>
    </row>
    <row r="138" spans="1:8" x14ac:dyDescent="0.25">
      <c r="A138" s="18">
        <f>Prices!A138</f>
        <v>46154</v>
      </c>
      <c r="B138" s="11">
        <f>STDEV(Daily!B119:B138)*SQRT(Inputs!$B$16)</f>
        <v>0.14892594364990799</v>
      </c>
      <c r="C138" s="11">
        <f>STDEV(Daily!C119:C138)*SQRT(Inputs!$B$16)</f>
        <v>0.1767980737079525</v>
      </c>
      <c r="D138" s="11">
        <f>STDEV(Daily!D119:D138)*SQRT(Inputs!$B$16)</f>
        <v>0.20256479344951275</v>
      </c>
      <c r="E138" s="11">
        <f>STDEV(Daily!E119:E138)*SQRT(Inputs!$B$16)</f>
        <v>0.17749523188778843</v>
      </c>
      <c r="F138" s="11">
        <f>STDEV(Daily!F119:F138)*SQRT(Inputs!$B$16)</f>
        <v>0.31545351237005342</v>
      </c>
      <c r="G138" s="11">
        <f>STDEV(Daily!G119:G138)*SQRT(Inputs!$B$16)</f>
        <v>0.18649905583865289</v>
      </c>
      <c r="H138" s="11">
        <f>STDEV(Daily!H119:H138)*SQRT(Inputs!$B$16)</f>
        <v>0.22285099297651093</v>
      </c>
    </row>
    <row r="139" spans="1:8" x14ac:dyDescent="0.25">
      <c r="A139" s="18">
        <f>Prices!A139</f>
        <v>46155</v>
      </c>
      <c r="B139" s="11">
        <f>STDEV(Daily!B120:B139)*SQRT(Inputs!$B$16)</f>
        <v>0.14667285058006882</v>
      </c>
      <c r="C139" s="11">
        <f>STDEV(Daily!C120:C139)*SQRT(Inputs!$B$16)</f>
        <v>0.17580395616795366</v>
      </c>
      <c r="D139" s="11">
        <f>STDEV(Daily!D120:D139)*SQRT(Inputs!$B$16)</f>
        <v>0.20042385981804989</v>
      </c>
      <c r="E139" s="11">
        <f>STDEV(Daily!E120:E139)*SQRT(Inputs!$B$16)</f>
        <v>0.17703727056955951</v>
      </c>
      <c r="F139" s="11">
        <f>STDEV(Daily!F120:F139)*SQRT(Inputs!$B$16)</f>
        <v>0.31534971061213196</v>
      </c>
      <c r="G139" s="11">
        <f>STDEV(Daily!G120:G139)*SQRT(Inputs!$B$16)</f>
        <v>0.17752283810064137</v>
      </c>
      <c r="H139" s="11">
        <f>STDEV(Daily!H120:H139)*SQRT(Inputs!$B$16)</f>
        <v>0.21282877367063124</v>
      </c>
    </row>
    <row r="140" spans="1:8" x14ac:dyDescent="0.25">
      <c r="A140" s="18">
        <f>Prices!A140</f>
        <v>46156</v>
      </c>
      <c r="B140" s="11">
        <f>STDEV(Daily!B121:B140)*SQRT(Inputs!$B$16)</f>
        <v>0.1404600984459502</v>
      </c>
      <c r="C140" s="11">
        <f>STDEV(Daily!C121:C140)*SQRT(Inputs!$B$16)</f>
        <v>0.16355405575215742</v>
      </c>
      <c r="D140" s="11">
        <f>STDEV(Daily!D121:D140)*SQRT(Inputs!$B$16)</f>
        <v>0.18636993443673808</v>
      </c>
      <c r="E140" s="11">
        <f>STDEV(Daily!E121:E140)*SQRT(Inputs!$B$16)</f>
        <v>0.1770946890966964</v>
      </c>
      <c r="F140" s="11">
        <f>STDEV(Daily!F121:F140)*SQRT(Inputs!$B$16)</f>
        <v>0.29449653191159125</v>
      </c>
      <c r="G140" s="11">
        <f>STDEV(Daily!G121:G140)*SQRT(Inputs!$B$16)</f>
        <v>0.17181772024649189</v>
      </c>
      <c r="H140" s="11">
        <f>STDEV(Daily!H121:H140)*SQRT(Inputs!$B$16)</f>
        <v>0.20636518477510321</v>
      </c>
    </row>
    <row r="141" spans="1:8" x14ac:dyDescent="0.25">
      <c r="A141" s="18">
        <f>Prices!A141</f>
        <v>46157</v>
      </c>
      <c r="B141" s="11">
        <f>STDEV(Daily!B122:B141)*SQRT(Inputs!$B$16)</f>
        <v>0.14048860166521501</v>
      </c>
      <c r="C141" s="11">
        <f>STDEV(Daily!C122:C141)*SQRT(Inputs!$B$16)</f>
        <v>0.16408365869368452</v>
      </c>
      <c r="D141" s="11">
        <f>STDEV(Daily!D122:D141)*SQRT(Inputs!$B$16)</f>
        <v>0.18706676864748178</v>
      </c>
      <c r="E141" s="11">
        <f>STDEV(Daily!E122:E141)*SQRT(Inputs!$B$16)</f>
        <v>0.17819561013116716</v>
      </c>
      <c r="F141" s="11">
        <f>STDEV(Daily!F122:F141)*SQRT(Inputs!$B$16)</f>
        <v>0.29785116735168837</v>
      </c>
      <c r="G141" s="11">
        <f>STDEV(Daily!G122:G141)*SQRT(Inputs!$B$16)</f>
        <v>0.1720713109550602</v>
      </c>
      <c r="H141" s="11">
        <f>STDEV(Daily!H122:H141)*SQRT(Inputs!$B$16)</f>
        <v>0.20611041933620283</v>
      </c>
    </row>
    <row r="142" spans="1:8" x14ac:dyDescent="0.25">
      <c r="A142" s="18">
        <f>Prices!A142</f>
        <v>46160</v>
      </c>
      <c r="B142" s="11">
        <f>STDEV(Daily!B123:B142)*SQRT(Inputs!$B$16)</f>
        <v>0.13773648677728179</v>
      </c>
      <c r="C142" s="11">
        <f>STDEV(Daily!C123:C142)*SQRT(Inputs!$B$16)</f>
        <v>0.15857936792139848</v>
      </c>
      <c r="D142" s="11">
        <f>STDEV(Daily!D123:D142)*SQRT(Inputs!$B$16)</f>
        <v>0.18688482302203643</v>
      </c>
      <c r="E142" s="11">
        <f>STDEV(Daily!E123:E142)*SQRT(Inputs!$B$16)</f>
        <v>0.17370875760445245</v>
      </c>
      <c r="F142" s="11">
        <f>STDEV(Daily!F123:F142)*SQRT(Inputs!$B$16)</f>
        <v>0.31700744269549197</v>
      </c>
      <c r="G142" s="11">
        <f>STDEV(Daily!G123:G142)*SQRT(Inputs!$B$16)</f>
        <v>0.14836838732318997</v>
      </c>
      <c r="H142" s="11">
        <f>STDEV(Daily!H123:H142)*SQRT(Inputs!$B$16)</f>
        <v>0.21404507538108966</v>
      </c>
    </row>
    <row r="143" spans="1:8" x14ac:dyDescent="0.25">
      <c r="A143" s="18">
        <f>Prices!A143</f>
        <v>46161</v>
      </c>
      <c r="B143" s="11">
        <f>STDEV(Daily!B124:B143)*SQRT(Inputs!$B$16)</f>
        <v>0.1375562141556359</v>
      </c>
      <c r="C143" s="11">
        <f>STDEV(Daily!C124:C143)*SQRT(Inputs!$B$16)</f>
        <v>0.16113651195608525</v>
      </c>
      <c r="D143" s="11">
        <f>STDEV(Daily!D124:D143)*SQRT(Inputs!$B$16)</f>
        <v>0.19017068816500213</v>
      </c>
      <c r="E143" s="11">
        <f>STDEV(Daily!E124:E143)*SQRT(Inputs!$B$16)</f>
        <v>0.17335792202871217</v>
      </c>
      <c r="F143" s="11">
        <f>STDEV(Daily!F124:F143)*SQRT(Inputs!$B$16)</f>
        <v>0.34409975736518544</v>
      </c>
      <c r="G143" s="11">
        <f>STDEV(Daily!G124:G143)*SQRT(Inputs!$B$16)</f>
        <v>0.14798048494189919</v>
      </c>
      <c r="H143" s="11">
        <f>STDEV(Daily!H124:H143)*SQRT(Inputs!$B$16)</f>
        <v>0.21393282316629791</v>
      </c>
    </row>
    <row r="144" spans="1:8" x14ac:dyDescent="0.25">
      <c r="A144" s="18">
        <f>Prices!A144</f>
        <v>46162</v>
      </c>
      <c r="B144" s="11">
        <f>STDEV(Daily!B125:B144)*SQRT(Inputs!$B$16)</f>
        <v>0.1328438202758</v>
      </c>
      <c r="C144" s="11">
        <f>STDEV(Daily!C125:C144)*SQRT(Inputs!$B$16)</f>
        <v>0.1611326209198492</v>
      </c>
      <c r="D144" s="11">
        <f>STDEV(Daily!D125:D144)*SQRT(Inputs!$B$16)</f>
        <v>0.18798151994479059</v>
      </c>
      <c r="E144" s="11">
        <f>STDEV(Daily!E125:E144)*SQRT(Inputs!$B$16)</f>
        <v>0.16331105265325885</v>
      </c>
      <c r="F144" s="11">
        <f>STDEV(Daily!F125:F144)*SQRT(Inputs!$B$16)</f>
        <v>0.34278458765018427</v>
      </c>
      <c r="G144" s="11">
        <f>STDEV(Daily!G125:G144)*SQRT(Inputs!$B$16)</f>
        <v>0.12005472369217128</v>
      </c>
      <c r="H144" s="11">
        <f>STDEV(Daily!H125:H144)*SQRT(Inputs!$B$16)</f>
        <v>0.21602156322628227</v>
      </c>
    </row>
    <row r="145" spans="1:8" x14ac:dyDescent="0.25">
      <c r="A145" s="18">
        <f>Prices!A145</f>
        <v>46163</v>
      </c>
      <c r="B145" s="11">
        <f>STDEV(Daily!B126:B145)*SQRT(Inputs!$B$16)</f>
        <v>0.1308909952133181</v>
      </c>
      <c r="C145" s="11">
        <f>STDEV(Daily!C126:C145)*SQRT(Inputs!$B$16)</f>
        <v>0.16117772199289235</v>
      </c>
      <c r="D145" s="11">
        <f>STDEV(Daily!D126:D145)*SQRT(Inputs!$B$16)</f>
        <v>0.1850736252014559</v>
      </c>
      <c r="E145" s="11">
        <f>STDEV(Daily!E126:E145)*SQRT(Inputs!$B$16)</f>
        <v>0.1633159409941296</v>
      </c>
      <c r="F145" s="11">
        <f>STDEV(Daily!F126:F145)*SQRT(Inputs!$B$16)</f>
        <v>0.31724183474625312</v>
      </c>
      <c r="G145" s="11">
        <f>STDEV(Daily!G126:G145)*SQRT(Inputs!$B$16)</f>
        <v>0.11758176960702392</v>
      </c>
      <c r="H145" s="11">
        <f>STDEV(Daily!H126:H145)*SQRT(Inputs!$B$16)</f>
        <v>0.21552311889649509</v>
      </c>
    </row>
    <row r="146" spans="1:8" x14ac:dyDescent="0.25">
      <c r="A146" s="18">
        <f>Prices!A146</f>
        <v>46164</v>
      </c>
      <c r="B146" s="11">
        <f>STDEV(Daily!B127:B146)*SQRT(Inputs!$B$16)</f>
        <v>0.12901917840277341</v>
      </c>
      <c r="C146" s="11">
        <f>STDEV(Daily!C127:C146)*SQRT(Inputs!$B$16)</f>
        <v>0.16005510070927206</v>
      </c>
      <c r="D146" s="11">
        <f>STDEV(Daily!D127:D146)*SQRT(Inputs!$B$16)</f>
        <v>0.18331307531982216</v>
      </c>
      <c r="E146" s="11">
        <f>STDEV(Daily!E127:E146)*SQRT(Inputs!$B$16)</f>
        <v>0.16586427302373796</v>
      </c>
      <c r="F146" s="11">
        <f>STDEV(Daily!F127:F146)*SQRT(Inputs!$B$16)</f>
        <v>0.31515084439727925</v>
      </c>
      <c r="G146" s="11">
        <f>STDEV(Daily!G127:G146)*SQRT(Inputs!$B$16)</f>
        <v>0.11759801231197291</v>
      </c>
      <c r="H146" s="11">
        <f>STDEV(Daily!H127:H146)*SQRT(Inputs!$B$16)</f>
        <v>0.19811184395025874</v>
      </c>
    </row>
    <row r="147" spans="1:8" x14ac:dyDescent="0.25">
      <c r="A147" s="18">
        <f>Prices!A147</f>
        <v>46167</v>
      </c>
      <c r="B147" s="11">
        <f>STDEV(Daily!B128:B147)*SQRT(Inputs!$B$16)</f>
        <v>0.1320054348523251</v>
      </c>
      <c r="C147" s="11">
        <f>STDEV(Daily!C128:C147)*SQRT(Inputs!$B$16)</f>
        <v>0.15714423441801356</v>
      </c>
      <c r="D147" s="11">
        <f>STDEV(Daily!D128:D147)*SQRT(Inputs!$B$16)</f>
        <v>0.18532357538187508</v>
      </c>
      <c r="E147" s="11">
        <f>STDEV(Daily!E128:E147)*SQRT(Inputs!$B$16)</f>
        <v>0.18764586625127314</v>
      </c>
      <c r="F147" s="11">
        <f>STDEV(Daily!F128:F147)*SQRT(Inputs!$B$16)</f>
        <v>0.25094758291053587</v>
      </c>
      <c r="G147" s="11">
        <f>STDEV(Daily!G128:G147)*SQRT(Inputs!$B$16)</f>
        <v>0.11518481147513926</v>
      </c>
      <c r="H147" s="11">
        <f>STDEV(Daily!H128:H147)*SQRT(Inputs!$B$16)</f>
        <v>0.20463728892565541</v>
      </c>
    </row>
    <row r="148" spans="1:8" x14ac:dyDescent="0.25">
      <c r="A148" s="18">
        <f>Prices!A148</f>
        <v>46168</v>
      </c>
      <c r="B148" s="11">
        <f>STDEV(Daily!B129:B148)*SQRT(Inputs!$B$16)</f>
        <v>0.12984369733497278</v>
      </c>
      <c r="C148" s="11">
        <f>STDEV(Daily!C129:C148)*SQRT(Inputs!$B$16)</f>
        <v>0.15062815709643695</v>
      </c>
      <c r="D148" s="11">
        <f>STDEV(Daily!D129:D148)*SQRT(Inputs!$B$16)</f>
        <v>0.17415403867235268</v>
      </c>
      <c r="E148" s="11">
        <f>STDEV(Daily!E129:E148)*SQRT(Inputs!$B$16)</f>
        <v>0.18737988809388895</v>
      </c>
      <c r="F148" s="11">
        <f>STDEV(Daily!F129:F148)*SQRT(Inputs!$B$16)</f>
        <v>0.23820459651535589</v>
      </c>
      <c r="G148" s="11">
        <f>STDEV(Daily!G129:G148)*SQRT(Inputs!$B$16)</f>
        <v>0.11319992467997972</v>
      </c>
      <c r="H148" s="11">
        <f>STDEV(Daily!H129:H148)*SQRT(Inputs!$B$16)</f>
        <v>0.19787020732151014</v>
      </c>
    </row>
    <row r="149" spans="1:8" x14ac:dyDescent="0.25">
      <c r="A149" s="18">
        <f>Prices!A149</f>
        <v>46169</v>
      </c>
      <c r="B149" s="11">
        <f>STDEV(Daily!B130:B149)*SQRT(Inputs!$B$16)</f>
        <v>0.12911231719453556</v>
      </c>
      <c r="C149" s="11">
        <f>STDEV(Daily!C130:C149)*SQRT(Inputs!$B$16)</f>
        <v>0.15083405705714154</v>
      </c>
      <c r="D149" s="11">
        <f>STDEV(Daily!D130:D149)*SQRT(Inputs!$B$16)</f>
        <v>0.17376964045901244</v>
      </c>
      <c r="E149" s="11">
        <f>STDEV(Daily!E130:E149)*SQRT(Inputs!$B$16)</f>
        <v>0.18011452024083349</v>
      </c>
      <c r="F149" s="11">
        <f>STDEV(Daily!F130:F149)*SQRT(Inputs!$B$16)</f>
        <v>0.2370959692575805</v>
      </c>
      <c r="G149" s="11">
        <f>STDEV(Daily!G130:G149)*SQRT(Inputs!$B$16)</f>
        <v>0.11289805200594065</v>
      </c>
      <c r="H149" s="11">
        <f>STDEV(Daily!H130:H149)*SQRT(Inputs!$B$16)</f>
        <v>0.19901896291006566</v>
      </c>
    </row>
    <row r="150" spans="1:8" x14ac:dyDescent="0.25">
      <c r="A150" s="18">
        <f>Prices!A150</f>
        <v>46171</v>
      </c>
      <c r="B150" s="11">
        <f>STDEV(Daily!B131:B150)*SQRT(Inputs!$B$16)</f>
        <v>0.13591779063989345</v>
      </c>
      <c r="C150" s="11">
        <f>STDEV(Daily!C131:C150)*SQRT(Inputs!$B$16)</f>
        <v>0.16000011328998082</v>
      </c>
      <c r="D150" s="11">
        <f>STDEV(Daily!D131:D150)*SQRT(Inputs!$B$16)</f>
        <v>0.17554115026023501</v>
      </c>
      <c r="E150" s="11">
        <f>STDEV(Daily!E131:E150)*SQRT(Inputs!$B$16)</f>
        <v>0.18409897778885692</v>
      </c>
      <c r="F150" s="11">
        <f>STDEV(Daily!F131:F150)*SQRT(Inputs!$B$16)</f>
        <v>0.23536442718352818</v>
      </c>
      <c r="G150" s="11">
        <f>STDEV(Daily!G131:G150)*SQRT(Inputs!$B$16)</f>
        <v>0.10205038348146367</v>
      </c>
      <c r="H150" s="11">
        <f>STDEV(Daily!H131:H150)*SQRT(Inputs!$B$16)</f>
        <v>0.20988559551620375</v>
      </c>
    </row>
    <row r="151" spans="1:8" x14ac:dyDescent="0.25">
      <c r="A151" s="18">
        <f>Prices!A151</f>
        <v>46174</v>
      </c>
      <c r="B151" s="11">
        <f>STDEV(Daily!B132:B151)*SQRT(Inputs!$B$16)</f>
        <v>0.13566428875660363</v>
      </c>
      <c r="C151" s="11">
        <f>STDEV(Daily!C132:C151)*SQRT(Inputs!$B$16)</f>
        <v>0.16506912223613984</v>
      </c>
      <c r="D151" s="11">
        <f>STDEV(Daily!D132:D151)*SQRT(Inputs!$B$16)</f>
        <v>0.17760383531683649</v>
      </c>
      <c r="E151" s="11">
        <f>STDEV(Daily!E132:E151)*SQRT(Inputs!$B$16)</f>
        <v>0.18493098407136702</v>
      </c>
      <c r="F151" s="11">
        <f>STDEV(Daily!F132:F151)*SQRT(Inputs!$B$16)</f>
        <v>0.25371626328178015</v>
      </c>
      <c r="G151" s="11">
        <f>STDEV(Daily!G132:G151)*SQRT(Inputs!$B$16)</f>
        <v>0.11982442126362439</v>
      </c>
      <c r="H151" s="11">
        <f>STDEV(Daily!H132:H151)*SQRT(Inputs!$B$16)</f>
        <v>0.21771005734374568</v>
      </c>
    </row>
    <row r="152" spans="1:8" x14ac:dyDescent="0.25">
      <c r="A152" s="18">
        <f>Prices!A152</f>
        <v>46175</v>
      </c>
      <c r="B152" s="11">
        <f>STDEV(Daily!B133:B152)*SQRT(Inputs!$B$16)</f>
        <v>0.13522176264676719</v>
      </c>
      <c r="C152" s="11">
        <f>STDEV(Daily!C133:C152)*SQRT(Inputs!$B$16)</f>
        <v>0.16391152209783319</v>
      </c>
      <c r="D152" s="11">
        <f>STDEV(Daily!D133:D152)*SQRT(Inputs!$B$16)</f>
        <v>0.17637782329204665</v>
      </c>
      <c r="E152" s="11">
        <f>STDEV(Daily!E133:E152)*SQRT(Inputs!$B$16)</f>
        <v>0.18507038971872683</v>
      </c>
      <c r="F152" s="11">
        <f>STDEV(Daily!F133:F152)*SQRT(Inputs!$B$16)</f>
        <v>0.28946990002778067</v>
      </c>
      <c r="G152" s="11">
        <f>STDEV(Daily!G133:G152)*SQRT(Inputs!$B$16)</f>
        <v>0.12328074492601684</v>
      </c>
      <c r="H152" s="11">
        <f>STDEV(Daily!H133:H152)*SQRT(Inputs!$B$16)</f>
        <v>0.21873525674542468</v>
      </c>
    </row>
    <row r="153" spans="1:8" x14ac:dyDescent="0.25">
      <c r="A153" s="18">
        <f>Prices!A153</f>
        <v>46176</v>
      </c>
      <c r="B153" s="11">
        <f>STDEV(Daily!B134:B153)*SQRT(Inputs!$B$16)</f>
        <v>0.1351652016518122</v>
      </c>
      <c r="C153" s="11">
        <f>STDEV(Daily!C134:C153)*SQRT(Inputs!$B$16)</f>
        <v>0.16475701418608055</v>
      </c>
      <c r="D153" s="11">
        <f>STDEV(Daily!D134:D153)*SQRT(Inputs!$B$16)</f>
        <v>0.17606454419033443</v>
      </c>
      <c r="E153" s="11">
        <f>STDEV(Daily!E134:E153)*SQRT(Inputs!$B$16)</f>
        <v>0.18718573866979193</v>
      </c>
      <c r="F153" s="11">
        <f>STDEV(Daily!F134:F153)*SQRT(Inputs!$B$16)</f>
        <v>0.35789495301631591</v>
      </c>
      <c r="G153" s="11">
        <f>STDEV(Daily!G134:G153)*SQRT(Inputs!$B$16)</f>
        <v>0.12113474555544283</v>
      </c>
      <c r="H153" s="11">
        <f>STDEV(Daily!H134:H153)*SQRT(Inputs!$B$16)</f>
        <v>0.21754607028307607</v>
      </c>
    </row>
    <row r="154" spans="1:8" x14ac:dyDescent="0.25">
      <c r="A154" s="18">
        <f>Prices!A154</f>
        <v>46177</v>
      </c>
      <c r="B154" s="11">
        <f>STDEV(Daily!B135:B154)*SQRT(Inputs!$B$16)</f>
        <v>0.12541616909463779</v>
      </c>
      <c r="C154" s="11">
        <f>STDEV(Daily!C135:C154)*SQRT(Inputs!$B$16)</f>
        <v>0.15274744264494614</v>
      </c>
      <c r="D154" s="11">
        <f>STDEV(Daily!D135:D154)*SQRT(Inputs!$B$16)</f>
        <v>0.16151053162908033</v>
      </c>
      <c r="E154" s="11">
        <f>STDEV(Daily!E135:E154)*SQRT(Inputs!$B$16)</f>
        <v>0.15933002671972893</v>
      </c>
      <c r="F154" s="11">
        <f>STDEV(Daily!F135:F154)*SQRT(Inputs!$B$16)</f>
        <v>0.35763888845266573</v>
      </c>
      <c r="G154" s="11">
        <f>STDEV(Daily!G135:G154)*SQRT(Inputs!$B$16)</f>
        <v>0.1226019330506808</v>
      </c>
      <c r="H154" s="11">
        <f>STDEV(Daily!H135:H154)*SQRT(Inputs!$B$16)</f>
        <v>0.19824099008104643</v>
      </c>
    </row>
    <row r="155" spans="1:8" x14ac:dyDescent="0.25">
      <c r="A155" s="18">
        <f>Prices!A155</f>
        <v>46178</v>
      </c>
      <c r="B155" s="11">
        <f>STDEV(Daily!B136:B155)*SQRT(Inputs!$B$16)</f>
        <v>0.12525509439618793</v>
      </c>
      <c r="C155" s="11">
        <f>STDEV(Daily!C136:C155)*SQRT(Inputs!$B$16)</f>
        <v>0.1471134762744124</v>
      </c>
      <c r="D155" s="11">
        <f>STDEV(Daily!D136:D155)*SQRT(Inputs!$B$16)</f>
        <v>0.15735090096458365</v>
      </c>
      <c r="E155" s="11">
        <f>STDEV(Daily!E136:E155)*SQRT(Inputs!$B$16)</f>
        <v>0.16003918702830067</v>
      </c>
      <c r="F155" s="11">
        <f>STDEV(Daily!F136:F155)*SQRT(Inputs!$B$16)</f>
        <v>0.35838791861938452</v>
      </c>
      <c r="G155" s="11">
        <f>STDEV(Daily!G136:G155)*SQRT(Inputs!$B$16)</f>
        <v>0.12267708300114843</v>
      </c>
      <c r="H155" s="11">
        <f>STDEV(Daily!H136:H155)*SQRT(Inputs!$B$16)</f>
        <v>0.18321105306022262</v>
      </c>
    </row>
    <row r="156" spans="1:8" x14ac:dyDescent="0.25">
      <c r="A156" s="18">
        <f>Prices!A156</f>
        <v>46181</v>
      </c>
      <c r="B156" s="11">
        <f>STDEV(Daily!B137:B156)*SQRT(Inputs!$B$16)</f>
        <v>0.1280192647305291</v>
      </c>
      <c r="C156" s="11">
        <f>STDEV(Daily!C137:C156)*SQRT(Inputs!$B$16)</f>
        <v>0.15420099101000773</v>
      </c>
      <c r="D156" s="11">
        <f>STDEV(Daily!D137:D156)*SQRT(Inputs!$B$16)</f>
        <v>0.16847194835454987</v>
      </c>
      <c r="E156" s="11">
        <f>STDEV(Daily!E137:E156)*SQRT(Inputs!$B$16)</f>
        <v>0.15596366614142157</v>
      </c>
      <c r="F156" s="11">
        <f>STDEV(Daily!F137:F156)*SQRT(Inputs!$B$16)</f>
        <v>0.35810684015587219</v>
      </c>
      <c r="G156" s="11">
        <f>STDEV(Daily!G137:G156)*SQRT(Inputs!$B$16)</f>
        <v>0.12151262295688432</v>
      </c>
      <c r="H156" s="11">
        <f>STDEV(Daily!H137:H156)*SQRT(Inputs!$B$16)</f>
        <v>0.19223198976754402</v>
      </c>
    </row>
    <row r="157" spans="1:8" x14ac:dyDescent="0.25">
      <c r="A157" s="18">
        <f>Prices!A157</f>
        <v>46182</v>
      </c>
      <c r="B157" s="11">
        <f>STDEV(Daily!B138:B157)*SQRT(Inputs!$B$16)</f>
        <v>0.12122353930438626</v>
      </c>
      <c r="C157" s="11">
        <f>STDEV(Daily!C138:C157)*SQRT(Inputs!$B$16)</f>
        <v>0.15926533465066178</v>
      </c>
      <c r="D157" s="11">
        <f>STDEV(Daily!D138:D157)*SQRT(Inputs!$B$16)</f>
        <v>0.17862999833042881</v>
      </c>
      <c r="E157" s="11">
        <f>STDEV(Daily!E138:E157)*SQRT(Inputs!$B$16)</f>
        <v>0.16435464377223485</v>
      </c>
      <c r="F157" s="11">
        <f>STDEV(Daily!F138:F157)*SQRT(Inputs!$B$16)</f>
        <v>0.35833694357607143</v>
      </c>
      <c r="G157" s="11">
        <f>STDEV(Daily!G138:G157)*SQRT(Inputs!$B$16)</f>
        <v>0.12630108751571711</v>
      </c>
      <c r="H157" s="11">
        <f>STDEV(Daily!H138:H157)*SQRT(Inputs!$B$16)</f>
        <v>0.19115507287902847</v>
      </c>
    </row>
    <row r="158" spans="1:8" x14ac:dyDescent="0.25">
      <c r="A158" s="18">
        <f>Prices!A158</f>
        <v>46183</v>
      </c>
      <c r="B158" s="11">
        <f>STDEV(Daily!B139:B158)*SQRT(Inputs!$B$16)</f>
        <v>0.10299825549467492</v>
      </c>
      <c r="C158" s="11">
        <f>STDEV(Daily!C139:C158)*SQRT(Inputs!$B$16)</f>
        <v>0.14077964141349444</v>
      </c>
      <c r="D158" s="11">
        <f>STDEV(Daily!D139:D158)*SQRT(Inputs!$B$16)</f>
        <v>0.14603512237706795</v>
      </c>
      <c r="E158" s="11">
        <f>STDEV(Daily!E139:E158)*SQRT(Inputs!$B$16)</f>
        <v>0.15206215345226493</v>
      </c>
      <c r="F158" s="11">
        <f>STDEV(Daily!F139:F158)*SQRT(Inputs!$B$16)</f>
        <v>0.3334368549589356</v>
      </c>
      <c r="G158" s="11">
        <f>STDEV(Daily!G139:G158)*SQRT(Inputs!$B$16)</f>
        <v>0.12636259512853121</v>
      </c>
      <c r="H158" s="11">
        <f>STDEV(Daily!H139:H158)*SQRT(Inputs!$B$16)</f>
        <v>0.17529294832546932</v>
      </c>
    </row>
    <row r="159" spans="1:8" x14ac:dyDescent="0.25">
      <c r="A159" s="18">
        <f>Prices!A159</f>
        <v>46184</v>
      </c>
      <c r="B159" s="11">
        <f>STDEV(Daily!B140:B159)*SQRT(Inputs!$B$16)</f>
        <v>0.10300601854468622</v>
      </c>
      <c r="C159" s="11">
        <f>STDEV(Daily!C140:C159)*SQRT(Inputs!$B$16)</f>
        <v>0.14067688729380581</v>
      </c>
      <c r="D159" s="11">
        <f>STDEV(Daily!D140:D159)*SQRT(Inputs!$B$16)</f>
        <v>0.14718629920075152</v>
      </c>
      <c r="E159" s="11">
        <f>STDEV(Daily!E140:E159)*SQRT(Inputs!$B$16)</f>
        <v>0.15155923072607019</v>
      </c>
      <c r="F159" s="11">
        <f>STDEV(Daily!F140:F159)*SQRT(Inputs!$B$16)</f>
        <v>0.33616866023648984</v>
      </c>
      <c r="G159" s="11">
        <f>STDEV(Daily!G140:G159)*SQRT(Inputs!$B$16)</f>
        <v>0.12782236599978522</v>
      </c>
      <c r="H159" s="11">
        <f>STDEV(Daily!H140:H159)*SQRT(Inputs!$B$16)</f>
        <v>0.17201045718808458</v>
      </c>
    </row>
    <row r="160" spans="1:8" x14ac:dyDescent="0.25">
      <c r="A160" s="18">
        <f>Prices!A160</f>
        <v>46185</v>
      </c>
      <c r="B160" s="11">
        <f>STDEV(Daily!B141:B160)*SQRT(Inputs!$B$16)</f>
        <v>0.11867056199184779</v>
      </c>
      <c r="C160" s="11">
        <f>STDEV(Daily!C141:C160)*SQRT(Inputs!$B$16)</f>
        <v>0.16149651545559932</v>
      </c>
      <c r="D160" s="11">
        <f>STDEV(Daily!D141:D160)*SQRT(Inputs!$B$16)</f>
        <v>0.17911378655032451</v>
      </c>
      <c r="E160" s="11">
        <f>STDEV(Daily!E141:E160)*SQRT(Inputs!$B$16)</f>
        <v>0.17783684495237551</v>
      </c>
      <c r="F160" s="11">
        <f>STDEV(Daily!F141:F160)*SQRT(Inputs!$B$16)</f>
        <v>0.32786025656843454</v>
      </c>
      <c r="G160" s="11">
        <f>STDEV(Daily!G141:G160)*SQRT(Inputs!$B$16)</f>
        <v>0.1298438071040848</v>
      </c>
      <c r="H160" s="11">
        <f>STDEV(Daily!H141:H160)*SQRT(Inputs!$B$16)</f>
        <v>0.18455737435253902</v>
      </c>
    </row>
    <row r="161" spans="1:8" x14ac:dyDescent="0.25">
      <c r="A161" s="18">
        <f>Prices!A161</f>
        <v>46188</v>
      </c>
      <c r="B161" s="11">
        <f>STDEV(Daily!B142:B161)*SQRT(Inputs!$B$16)</f>
        <v>0.12347136000178217</v>
      </c>
      <c r="C161" s="11">
        <f>STDEV(Daily!C142:C161)*SQRT(Inputs!$B$16)</f>
        <v>0.16677503203926489</v>
      </c>
      <c r="D161" s="11">
        <f>STDEV(Daily!D142:D161)*SQRT(Inputs!$B$16)</f>
        <v>0.18098561849846295</v>
      </c>
      <c r="E161" s="11">
        <f>STDEV(Daily!E142:E161)*SQRT(Inputs!$B$16)</f>
        <v>0.17419725588213983</v>
      </c>
      <c r="F161" s="11">
        <f>STDEV(Daily!F142:F161)*SQRT(Inputs!$B$16)</f>
        <v>0.3264803488235854</v>
      </c>
      <c r="G161" s="11">
        <f>STDEV(Daily!G142:G161)*SQRT(Inputs!$B$16)</f>
        <v>0.12918486513275326</v>
      </c>
      <c r="H161" s="11">
        <f>STDEV(Daily!H142:H161)*SQRT(Inputs!$B$16)</f>
        <v>0.20553157334182953</v>
      </c>
    </row>
    <row r="162" spans="1:8" x14ac:dyDescent="0.25">
      <c r="A162" s="18">
        <f>Prices!A162</f>
        <v>46189</v>
      </c>
      <c r="B162" s="11">
        <f>STDEV(Daily!B143:B162)*SQRT(Inputs!$B$16)</f>
        <v>0.12483478710696223</v>
      </c>
      <c r="C162" s="11">
        <f>STDEV(Daily!C143:C162)*SQRT(Inputs!$B$16)</f>
        <v>0.1669012762632221</v>
      </c>
      <c r="D162" s="11">
        <f>STDEV(Daily!D143:D162)*SQRT(Inputs!$B$16)</f>
        <v>0.17327164222068225</v>
      </c>
      <c r="E162" s="11">
        <f>STDEV(Daily!E143:E162)*SQRT(Inputs!$B$16)</f>
        <v>0.17265152491306879</v>
      </c>
      <c r="F162" s="11">
        <f>STDEV(Daily!F143:F162)*SQRT(Inputs!$B$16)</f>
        <v>0.32109170068547699</v>
      </c>
      <c r="G162" s="11">
        <f>STDEV(Daily!G143:G162)*SQRT(Inputs!$B$16)</f>
        <v>0.13853599699364819</v>
      </c>
      <c r="H162" s="11">
        <f>STDEV(Daily!H143:H162)*SQRT(Inputs!$B$16)</f>
        <v>0.19416106145291029</v>
      </c>
    </row>
    <row r="163" spans="1:8" x14ac:dyDescent="0.25">
      <c r="A163" s="18">
        <f>Prices!A163</f>
        <v>46190</v>
      </c>
      <c r="B163" s="11">
        <f>STDEV(Daily!B144:B163)*SQRT(Inputs!$B$16)</f>
        <v>0.12509776309168272</v>
      </c>
      <c r="C163" s="11">
        <f>STDEV(Daily!C144:C163)*SQRT(Inputs!$B$16)</f>
        <v>0.16501981018915118</v>
      </c>
      <c r="D163" s="11">
        <f>STDEV(Daily!D144:D163)*SQRT(Inputs!$B$16)</f>
        <v>0.17103574001054911</v>
      </c>
      <c r="E163" s="11">
        <f>STDEV(Daily!E144:E163)*SQRT(Inputs!$B$16)</f>
        <v>0.17132398524488754</v>
      </c>
      <c r="F163" s="11">
        <f>STDEV(Daily!F144:F163)*SQRT(Inputs!$B$16)</f>
        <v>0.30019519606298589</v>
      </c>
      <c r="G163" s="11">
        <f>STDEV(Daily!G144:G163)*SQRT(Inputs!$B$16)</f>
        <v>0.13850698604450121</v>
      </c>
      <c r="H163" s="11">
        <f>STDEV(Daily!H144:H163)*SQRT(Inputs!$B$16)</f>
        <v>0.19658482862333942</v>
      </c>
    </row>
    <row r="164" spans="1:8" x14ac:dyDescent="0.25">
      <c r="A164" s="18">
        <f>Prices!A164</f>
        <v>46191</v>
      </c>
      <c r="B164" s="11">
        <f>STDEV(Daily!B145:B164)*SQRT(Inputs!$B$16)</f>
        <v>0.12536909575420174</v>
      </c>
      <c r="C164" s="11">
        <f>STDEV(Daily!C145:C164)*SQRT(Inputs!$B$16)</f>
        <v>0.16478267242984043</v>
      </c>
      <c r="D164" s="11">
        <f>STDEV(Daily!D145:D164)*SQRT(Inputs!$B$16)</f>
        <v>0.17109122078079006</v>
      </c>
      <c r="E164" s="11">
        <f>STDEV(Daily!E145:E164)*SQRT(Inputs!$B$16)</f>
        <v>0.1715544763306423</v>
      </c>
      <c r="F164" s="11">
        <f>STDEV(Daily!F145:F164)*SQRT(Inputs!$B$16)</f>
        <v>0.3026305994051407</v>
      </c>
      <c r="G164" s="11">
        <f>STDEV(Daily!G145:G164)*SQRT(Inputs!$B$16)</f>
        <v>0.137177790842684</v>
      </c>
      <c r="H164" s="11">
        <f>STDEV(Daily!H145:H164)*SQRT(Inputs!$B$16)</f>
        <v>0.19516952533926488</v>
      </c>
    </row>
    <row r="165" spans="1:8" x14ac:dyDescent="0.25">
      <c r="A165" s="18">
        <f>Prices!A165</f>
        <v>46192</v>
      </c>
      <c r="B165" s="11">
        <f>STDEV(Daily!B146:B165)*SQRT(Inputs!$B$16)</f>
        <v>0.12812838308637658</v>
      </c>
      <c r="C165" s="11">
        <f>STDEV(Daily!C146:C165)*SQRT(Inputs!$B$16)</f>
        <v>0.16477264415665147</v>
      </c>
      <c r="D165" s="11">
        <f>STDEV(Daily!D146:D165)*SQRT(Inputs!$B$16)</f>
        <v>0.17061831227389257</v>
      </c>
      <c r="E165" s="11">
        <f>STDEV(Daily!E146:E165)*SQRT(Inputs!$B$16)</f>
        <v>0.17299926040928512</v>
      </c>
      <c r="F165" s="11">
        <f>STDEV(Daily!F146:F165)*SQRT(Inputs!$B$16)</f>
        <v>0.32763366937152077</v>
      </c>
      <c r="G165" s="11">
        <f>STDEV(Daily!G146:G165)*SQRT(Inputs!$B$16)</f>
        <v>0.13633296947519535</v>
      </c>
      <c r="H165" s="11">
        <f>STDEV(Daily!H146:H165)*SQRT(Inputs!$B$16)</f>
        <v>0.19702470362147104</v>
      </c>
    </row>
    <row r="166" spans="1:8" x14ac:dyDescent="0.25">
      <c r="A166" s="18">
        <f>Prices!A166</f>
        <v>46195</v>
      </c>
      <c r="B166" s="11">
        <f>STDEV(Daily!B147:B166)*SQRT(Inputs!$B$16)</f>
        <v>0.12838154471950264</v>
      </c>
      <c r="C166" s="11">
        <f>STDEV(Daily!C147:C166)*SQRT(Inputs!$B$16)</f>
        <v>0.1649810211397098</v>
      </c>
      <c r="D166" s="11">
        <f>STDEV(Daily!D147:D166)*SQRT(Inputs!$B$16)</f>
        <v>0.17051654583704448</v>
      </c>
      <c r="E166" s="11">
        <f>STDEV(Daily!E147:E166)*SQRT(Inputs!$B$16)</f>
        <v>0.17065434705635582</v>
      </c>
      <c r="F166" s="11">
        <f>STDEV(Daily!F147:F166)*SQRT(Inputs!$B$16)</f>
        <v>0.32949043358495717</v>
      </c>
      <c r="G166" s="11">
        <f>STDEV(Daily!G147:G166)*SQRT(Inputs!$B$16)</f>
        <v>0.13686332696218423</v>
      </c>
      <c r="H166" s="11">
        <f>STDEV(Daily!H147:H166)*SQRT(Inputs!$B$16)</f>
        <v>0.19737410574611597</v>
      </c>
    </row>
    <row r="167" spans="1:8" x14ac:dyDescent="0.25">
      <c r="A167" s="18">
        <f>Prices!A167</f>
        <v>46196</v>
      </c>
      <c r="B167" s="11">
        <f>STDEV(Daily!B148:B167)*SQRT(Inputs!$B$16)</f>
        <v>0.12687302400969205</v>
      </c>
      <c r="C167" s="11">
        <f>STDEV(Daily!C148:C167)*SQRT(Inputs!$B$16)</f>
        <v>0.16686251912071157</v>
      </c>
      <c r="D167" s="11">
        <f>STDEV(Daily!D148:D167)*SQRT(Inputs!$B$16)</f>
        <v>0.16715651948745294</v>
      </c>
      <c r="E167" s="11">
        <f>STDEV(Daily!E148:E167)*SQRT(Inputs!$B$16)</f>
        <v>0.16401016553900538</v>
      </c>
      <c r="F167" s="11">
        <f>STDEV(Daily!F148:F167)*SQRT(Inputs!$B$16)</f>
        <v>0.33666732397351534</v>
      </c>
      <c r="G167" s="11">
        <f>STDEV(Daily!G148:G167)*SQRT(Inputs!$B$16)</f>
        <v>0.13804873847922916</v>
      </c>
      <c r="H167" s="11">
        <f>STDEV(Daily!H148:H167)*SQRT(Inputs!$B$16)</f>
        <v>0.19066750298689267</v>
      </c>
    </row>
    <row r="168" spans="1:8" x14ac:dyDescent="0.25">
      <c r="A168" s="18">
        <f>Prices!A168</f>
        <v>46197</v>
      </c>
      <c r="B168" s="11">
        <f>STDEV(Daily!B149:B168)*SQRT(Inputs!$B$16)</f>
        <v>0.12928506634789252</v>
      </c>
      <c r="C168" s="11">
        <f>STDEV(Daily!C149:C168)*SQRT(Inputs!$B$16)</f>
        <v>0.16576914487274011</v>
      </c>
      <c r="D168" s="11">
        <f>STDEV(Daily!D149:D168)*SQRT(Inputs!$B$16)</f>
        <v>0.16721444261748081</v>
      </c>
      <c r="E168" s="11">
        <f>STDEV(Daily!E149:E168)*SQRT(Inputs!$B$16)</f>
        <v>0.17114598135488551</v>
      </c>
      <c r="F168" s="11">
        <f>STDEV(Daily!F149:F168)*SQRT(Inputs!$B$16)</f>
        <v>0.34706542922966671</v>
      </c>
      <c r="G168" s="11">
        <f>STDEV(Daily!G149:G168)*SQRT(Inputs!$B$16)</f>
        <v>0.13787980067516187</v>
      </c>
      <c r="H168" s="11">
        <f>STDEV(Daily!H149:H168)*SQRT(Inputs!$B$16)</f>
        <v>0.19127764845048603</v>
      </c>
    </row>
    <row r="169" spans="1:8" x14ac:dyDescent="0.25">
      <c r="A169" s="18">
        <f>Prices!A169</f>
        <v>46198</v>
      </c>
      <c r="B169" s="11">
        <f>STDEV(Daily!B150:B169)*SQRT(Inputs!$B$16)</f>
        <v>0.12933378081168376</v>
      </c>
      <c r="C169" s="11">
        <f>STDEV(Daily!C150:C169)*SQRT(Inputs!$B$16)</f>
        <v>0.16602103995357659</v>
      </c>
      <c r="D169" s="11">
        <f>STDEV(Daily!D150:D169)*SQRT(Inputs!$B$16)</f>
        <v>0.16876050881851756</v>
      </c>
      <c r="E169" s="11">
        <f>STDEV(Daily!E150:E169)*SQRT(Inputs!$B$16)</f>
        <v>0.16934464434420465</v>
      </c>
      <c r="F169" s="11">
        <f>STDEV(Daily!F150:F169)*SQRT(Inputs!$B$16)</f>
        <v>0.34778458167836251</v>
      </c>
      <c r="G169" s="11">
        <f>STDEV(Daily!G150:G169)*SQRT(Inputs!$B$16)</f>
        <v>0.14067844157596521</v>
      </c>
      <c r="H169" s="11">
        <f>STDEV(Daily!H150:H169)*SQRT(Inputs!$B$16)</f>
        <v>0.20122836888522977</v>
      </c>
    </row>
    <row r="170" spans="1:8" x14ac:dyDescent="0.25">
      <c r="A170" s="18">
        <f>Prices!A170</f>
        <v>46202</v>
      </c>
      <c r="B170" s="11">
        <f>STDEV(Daily!B151:B170)*SQRT(Inputs!$B$16)</f>
        <v>0.11763589685741684</v>
      </c>
      <c r="C170" s="11">
        <f>STDEV(Daily!C151:C170)*SQRT(Inputs!$B$16)</f>
        <v>0.15957055893528282</v>
      </c>
      <c r="D170" s="11">
        <f>STDEV(Daily!D151:D170)*SQRT(Inputs!$B$16)</f>
        <v>0.16718685483511589</v>
      </c>
      <c r="E170" s="11">
        <f>STDEV(Daily!E151:E170)*SQRT(Inputs!$B$16)</f>
        <v>0.16589252923391037</v>
      </c>
      <c r="F170" s="11">
        <f>STDEV(Daily!F151:F170)*SQRT(Inputs!$B$16)</f>
        <v>0.34737781916967525</v>
      </c>
      <c r="G170" s="11">
        <f>STDEV(Daily!G151:G170)*SQRT(Inputs!$B$16)</f>
        <v>0.13163878799244663</v>
      </c>
      <c r="H170" s="11">
        <f>STDEV(Daily!H151:H170)*SQRT(Inputs!$B$16)</f>
        <v>0.20282766822491055</v>
      </c>
    </row>
    <row r="171" spans="1:8" x14ac:dyDescent="0.25">
      <c r="A171" s="18">
        <f>Prices!A171</f>
        <v>46203</v>
      </c>
      <c r="B171" s="11">
        <f>STDEV(Daily!B152:B171)*SQRT(Inputs!$B$16)</f>
        <v>0.11507836562717783</v>
      </c>
      <c r="C171" s="11">
        <f>STDEV(Daily!C152:C171)*SQRT(Inputs!$B$16)</f>
        <v>0.15057179902208298</v>
      </c>
      <c r="D171" s="11">
        <f>STDEV(Daily!D152:D171)*SQRT(Inputs!$B$16)</f>
        <v>0.16526158427555032</v>
      </c>
      <c r="E171" s="11">
        <f>STDEV(Daily!E152:E171)*SQRT(Inputs!$B$16)</f>
        <v>0.15924018671393425</v>
      </c>
      <c r="F171" s="11">
        <f>STDEV(Daily!F152:F171)*SQRT(Inputs!$B$16)</f>
        <v>0.33821335245650958</v>
      </c>
      <c r="G171" s="11">
        <f>STDEV(Daily!G152:G171)*SQRT(Inputs!$B$16)</f>
        <v>0.1041579804058775</v>
      </c>
      <c r="H171" s="11">
        <f>STDEV(Daily!H152:H171)*SQRT(Inputs!$B$16)</f>
        <v>0.19244853815267718</v>
      </c>
    </row>
    <row r="172" spans="1:8" x14ac:dyDescent="0.25">
      <c r="A172" s="18">
        <f>Prices!A172</f>
        <v>46204</v>
      </c>
      <c r="B172" s="11">
        <f>STDEV(Daily!B153:B172)*SQRT(Inputs!$B$16)</f>
        <v>0.11579335984655913</v>
      </c>
      <c r="C172" s="11">
        <f>STDEV(Daily!C153:C172)*SQRT(Inputs!$B$16)</f>
        <v>0.15081230525970135</v>
      </c>
      <c r="D172" s="11">
        <f>STDEV(Daily!D153:D172)*SQRT(Inputs!$B$16)</f>
        <v>0.16521409042802035</v>
      </c>
      <c r="E172" s="11">
        <f>STDEV(Daily!E153:E172)*SQRT(Inputs!$B$16)</f>
        <v>0.15994702375522779</v>
      </c>
      <c r="F172" s="11">
        <f>STDEV(Daily!F153:F172)*SQRT(Inputs!$B$16)</f>
        <v>0.28872726301425783</v>
      </c>
      <c r="G172" s="11">
        <f>STDEV(Daily!G153:G172)*SQRT(Inputs!$B$16)</f>
        <v>0.12442634970220921</v>
      </c>
      <c r="H172" s="11">
        <f>STDEV(Daily!H153:H172)*SQRT(Inputs!$B$16)</f>
        <v>0.19477324378287267</v>
      </c>
    </row>
    <row r="173" spans="1:8" x14ac:dyDescent="0.25">
      <c r="A173" s="18">
        <f>Prices!A173</f>
        <v>46205</v>
      </c>
      <c r="B173" s="11">
        <f>STDEV(Daily!B154:B173)*SQRT(Inputs!$B$16)</f>
        <v>0.11637823882206876</v>
      </c>
      <c r="C173" s="11">
        <f>STDEV(Daily!C154:C173)*SQRT(Inputs!$B$16)</f>
        <v>0.15016578950284484</v>
      </c>
      <c r="D173" s="11">
        <f>STDEV(Daily!D154:D173)*SQRT(Inputs!$B$16)</f>
        <v>0.1683791505478178</v>
      </c>
      <c r="E173" s="11">
        <f>STDEV(Daily!E154:E173)*SQRT(Inputs!$B$16)</f>
        <v>0.15945501299557469</v>
      </c>
      <c r="F173" s="11">
        <f>STDEV(Daily!F154:F173)*SQRT(Inputs!$B$16)</f>
        <v>0.29809147322625945</v>
      </c>
      <c r="G173" s="11">
        <f>STDEV(Daily!G154:G173)*SQRT(Inputs!$B$16)</f>
        <v>0.11779617708582042</v>
      </c>
      <c r="H173" s="11">
        <f>STDEV(Daily!H154:H173)*SQRT(Inputs!$B$16)</f>
        <v>0.19840313004618462</v>
      </c>
    </row>
    <row r="174" spans="1:8" x14ac:dyDescent="0.25">
      <c r="A174" s="18">
        <f>Prices!A174</f>
        <v>46206</v>
      </c>
      <c r="B174" s="11">
        <f>STDEV(Daily!B155:B174)*SQRT(Inputs!$B$16)</f>
        <v>0.11656373187844093</v>
      </c>
      <c r="C174" s="11">
        <f>STDEV(Daily!C155:C174)*SQRT(Inputs!$B$16)</f>
        <v>0.15007403361736163</v>
      </c>
      <c r="D174" s="11">
        <f>STDEV(Daily!D155:D174)*SQRT(Inputs!$B$16)</f>
        <v>0.16850104063143181</v>
      </c>
      <c r="E174" s="11">
        <f>STDEV(Daily!E155:E174)*SQRT(Inputs!$B$16)</f>
        <v>0.16043414331534633</v>
      </c>
      <c r="F174" s="11">
        <f>STDEV(Daily!F155:F174)*SQRT(Inputs!$B$16)</f>
        <v>0.30791599979942758</v>
      </c>
      <c r="G174" s="11">
        <f>STDEV(Daily!G155:G174)*SQRT(Inputs!$B$16)</f>
        <v>0.11796802998377658</v>
      </c>
      <c r="H174" s="11">
        <f>STDEV(Daily!H155:H174)*SQRT(Inputs!$B$16)</f>
        <v>0.19970576913665286</v>
      </c>
    </row>
    <row r="175" spans="1:8" x14ac:dyDescent="0.25">
      <c r="A175" s="18">
        <f>Prices!A175</f>
        <v>46209</v>
      </c>
      <c r="B175" s="11">
        <f>STDEV(Daily!B156:B175)*SQRT(Inputs!$B$16)</f>
        <v>0.11674684372298465</v>
      </c>
      <c r="C175" s="11">
        <f>STDEV(Daily!C156:C175)*SQRT(Inputs!$B$16)</f>
        <v>0.14957005974956095</v>
      </c>
      <c r="D175" s="11">
        <f>STDEV(Daily!D156:D175)*SQRT(Inputs!$B$16)</f>
        <v>0.16873778111143997</v>
      </c>
      <c r="E175" s="11">
        <f>STDEV(Daily!E156:E175)*SQRT(Inputs!$B$16)</f>
        <v>0.16074320402132658</v>
      </c>
      <c r="F175" s="11">
        <f>STDEV(Daily!F156:F175)*SQRT(Inputs!$B$16)</f>
        <v>0.3070729852326981</v>
      </c>
      <c r="G175" s="11">
        <f>STDEV(Daily!G156:G175)*SQRT(Inputs!$B$16)</f>
        <v>0.11796685186648652</v>
      </c>
      <c r="H175" s="11">
        <f>STDEV(Daily!H156:H175)*SQRT(Inputs!$B$16)</f>
        <v>0.20406171522093716</v>
      </c>
    </row>
    <row r="176" spans="1:8" x14ac:dyDescent="0.25">
      <c r="A176" s="18">
        <f>Prices!A176</f>
        <v>46210</v>
      </c>
      <c r="B176" s="11">
        <f>STDEV(Daily!B157:B176)*SQRT(Inputs!$B$16)</f>
        <v>0.10774057253191054</v>
      </c>
      <c r="C176" s="11">
        <f>STDEV(Daily!C157:C176)*SQRT(Inputs!$B$16)</f>
        <v>0.1392778820346488</v>
      </c>
      <c r="D176" s="11">
        <f>STDEV(Daily!D157:D176)*SQRT(Inputs!$B$16)</f>
        <v>0.15062093920027875</v>
      </c>
      <c r="E176" s="11">
        <f>STDEV(Daily!E157:E176)*SQRT(Inputs!$B$16)</f>
        <v>0.15629939073072097</v>
      </c>
      <c r="F176" s="11">
        <f>STDEV(Daily!F157:F176)*SQRT(Inputs!$B$16)</f>
        <v>0.319442876583099</v>
      </c>
      <c r="G176" s="11">
        <f>STDEV(Daily!G157:G176)*SQRT(Inputs!$B$16)</f>
        <v>0.11584713336576029</v>
      </c>
      <c r="H176" s="11">
        <f>STDEV(Daily!H157:H176)*SQRT(Inputs!$B$16)</f>
        <v>0.18915229307816978</v>
      </c>
    </row>
    <row r="177" spans="1:8" x14ac:dyDescent="0.25">
      <c r="A177" s="18">
        <f>Prices!A177</f>
        <v>46211</v>
      </c>
      <c r="B177" s="11">
        <f>STDEV(Daily!B158:B177)*SQRT(Inputs!$B$16)</f>
        <v>0.13651559582440956</v>
      </c>
      <c r="C177" s="11">
        <f>STDEV(Daily!C158:C177)*SQRT(Inputs!$B$16)</f>
        <v>0.14529935667757665</v>
      </c>
      <c r="D177" s="11">
        <f>STDEV(Daily!D158:D177)*SQRT(Inputs!$B$16)</f>
        <v>0.16930215275769797</v>
      </c>
      <c r="E177" s="11">
        <f>STDEV(Daily!E158:E177)*SQRT(Inputs!$B$16)</f>
        <v>0.17352309382287073</v>
      </c>
      <c r="F177" s="11">
        <f>STDEV(Daily!F158:F177)*SQRT(Inputs!$B$16)</f>
        <v>0.32239233202637424</v>
      </c>
      <c r="G177" s="11">
        <f>STDEV(Daily!G158:G177)*SQRT(Inputs!$B$16)</f>
        <v>0.14866294171139599</v>
      </c>
      <c r="H177" s="11">
        <f>STDEV(Daily!H158:H177)*SQRT(Inputs!$B$16)</f>
        <v>0.20541594858625351</v>
      </c>
    </row>
    <row r="178" spans="1:8" x14ac:dyDescent="0.25">
      <c r="A178" s="18">
        <f>Prices!A178</f>
        <v>46212</v>
      </c>
      <c r="B178" s="11">
        <f>STDEV(Daily!B159:B178)*SQRT(Inputs!$B$16)</f>
        <v>0.13633805944385147</v>
      </c>
      <c r="C178" s="11">
        <f>STDEV(Daily!C159:C178)*SQRT(Inputs!$B$16)</f>
        <v>0.14043659400622829</v>
      </c>
      <c r="D178" s="11">
        <f>STDEV(Daily!D159:D178)*SQRT(Inputs!$B$16)</f>
        <v>0.16811907754798991</v>
      </c>
      <c r="E178" s="11">
        <f>STDEV(Daily!E159:E178)*SQRT(Inputs!$B$16)</f>
        <v>0.17509434471010718</v>
      </c>
      <c r="F178" s="11">
        <f>STDEV(Daily!F159:F178)*SQRT(Inputs!$B$16)</f>
        <v>0.32146787303225238</v>
      </c>
      <c r="G178" s="11">
        <f>STDEV(Daily!G159:G178)*SQRT(Inputs!$B$16)</f>
        <v>0.14642756922879319</v>
      </c>
      <c r="H178" s="11">
        <f>STDEV(Daily!H159:H178)*SQRT(Inputs!$B$16)</f>
        <v>0.20326672426992895</v>
      </c>
    </row>
    <row r="179" spans="1:8" x14ac:dyDescent="0.25">
      <c r="A179" s="18">
        <f>Prices!A179</f>
        <v>46213</v>
      </c>
      <c r="B179" s="11">
        <f>STDEV(Daily!B160:B179)*SQRT(Inputs!$B$16)</f>
        <v>0.13875835535179915</v>
      </c>
      <c r="C179" s="11">
        <f>STDEV(Daily!C160:C179)*SQRT(Inputs!$B$16)</f>
        <v>0.14131133124135192</v>
      </c>
      <c r="D179" s="11">
        <f>STDEV(Daily!D160:D179)*SQRT(Inputs!$B$16)</f>
        <v>0.1685341802710412</v>
      </c>
      <c r="E179" s="11">
        <f>STDEV(Daily!E160:E179)*SQRT(Inputs!$B$16)</f>
        <v>0.18006471625739071</v>
      </c>
      <c r="F179" s="11">
        <f>STDEV(Daily!F160:F179)*SQRT(Inputs!$B$16)</f>
        <v>0.32449733626481914</v>
      </c>
      <c r="G179" s="11">
        <f>STDEV(Daily!G160:G179)*SQRT(Inputs!$B$16)</f>
        <v>0.14235019062050069</v>
      </c>
      <c r="H179" s="11">
        <f>STDEV(Daily!H160:H179)*SQRT(Inputs!$B$16)</f>
        <v>0.20367040303517603</v>
      </c>
    </row>
    <row r="180" spans="1:8" x14ac:dyDescent="0.25">
      <c r="A180" s="18">
        <f>Prices!A180</f>
        <v>46216</v>
      </c>
      <c r="B180" s="11">
        <f>STDEV(Daily!B161:B180)*SQRT(Inputs!$B$16)</f>
        <v>0.12211066935794174</v>
      </c>
      <c r="C180" s="11">
        <f>STDEV(Daily!C161:C180)*SQRT(Inputs!$B$16)</f>
        <v>0.11710777032568902</v>
      </c>
      <c r="D180" s="11">
        <f>STDEV(Daily!D161:D180)*SQRT(Inputs!$B$16)</f>
        <v>0.14480295654412673</v>
      </c>
      <c r="E180" s="11">
        <f>STDEV(Daily!E161:E180)*SQRT(Inputs!$B$16)</f>
        <v>0.14892915700863968</v>
      </c>
      <c r="F180" s="11">
        <f>STDEV(Daily!F161:F180)*SQRT(Inputs!$B$16)</f>
        <v>0.34778757318573544</v>
      </c>
      <c r="G180" s="11">
        <f>STDEV(Daily!G161:G180)*SQRT(Inputs!$B$16)</f>
        <v>0.14592291144574435</v>
      </c>
      <c r="H180" s="11">
        <f>STDEV(Daily!H161:H180)*SQRT(Inputs!$B$16)</f>
        <v>0.19335775883996417</v>
      </c>
    </row>
    <row r="181" spans="1:8" x14ac:dyDescent="0.25">
      <c r="A181" s="18">
        <f>Prices!A181</f>
        <v>46217</v>
      </c>
      <c r="B181" s="11">
        <f>STDEV(Daily!B162:B181)*SQRT(Inputs!$B$16)</f>
        <v>0.1207597813541703</v>
      </c>
      <c r="C181" s="11">
        <f>STDEV(Daily!C162:C181)*SQRT(Inputs!$B$16)</f>
        <v>0.11147380386559154</v>
      </c>
      <c r="D181" s="11">
        <f>STDEV(Daily!D162:D181)*SQRT(Inputs!$B$16)</f>
        <v>0.14909606684509805</v>
      </c>
      <c r="E181" s="11">
        <f>STDEV(Daily!E162:E181)*SQRT(Inputs!$B$16)</f>
        <v>0.15390219413778328</v>
      </c>
      <c r="F181" s="11">
        <f>STDEV(Daily!F162:F181)*SQRT(Inputs!$B$16)</f>
        <v>0.34929866721108993</v>
      </c>
      <c r="G181" s="11">
        <f>STDEV(Daily!G162:G181)*SQRT(Inputs!$B$16)</f>
        <v>0.14636493804408743</v>
      </c>
      <c r="H181" s="11">
        <f>STDEV(Daily!H162:H181)*SQRT(Inputs!$B$16)</f>
        <v>0.17943960240940407</v>
      </c>
    </row>
    <row r="182" spans="1:8" x14ac:dyDescent="0.25">
      <c r="A182" s="18">
        <f>Prices!A182</f>
        <v>46218</v>
      </c>
      <c r="B182" s="11">
        <f>STDEV(Daily!B163:B182)*SQRT(Inputs!$B$16)</f>
        <v>0.1192150745928805</v>
      </c>
      <c r="C182" s="11">
        <f>STDEV(Daily!C163:C182)*SQRT(Inputs!$B$16)</f>
        <v>0.1110930461889187</v>
      </c>
      <c r="D182" s="11">
        <f>STDEV(Daily!D163:D182)*SQRT(Inputs!$B$16)</f>
        <v>0.14977310243540895</v>
      </c>
      <c r="E182" s="11">
        <f>STDEV(Daily!E163:E182)*SQRT(Inputs!$B$16)</f>
        <v>0.15480574575762535</v>
      </c>
      <c r="F182" s="11">
        <f>STDEV(Daily!F163:F182)*SQRT(Inputs!$B$16)</f>
        <v>0.34481161866102589</v>
      </c>
      <c r="G182" s="11">
        <f>STDEV(Daily!G163:G182)*SQRT(Inputs!$B$16)</f>
        <v>0.13909324367381481</v>
      </c>
      <c r="H182" s="11">
        <f>STDEV(Daily!H163:H182)*SQRT(Inputs!$B$16)</f>
        <v>0.17985299346381073</v>
      </c>
    </row>
    <row r="183" spans="1:8" x14ac:dyDescent="0.25">
      <c r="A183" s="18">
        <f>Prices!A183</f>
        <v>46219</v>
      </c>
      <c r="B183" s="11">
        <f>STDEV(Daily!B164:B183)*SQRT(Inputs!$B$16)</f>
        <v>0.11836454149396723</v>
      </c>
      <c r="C183" s="11">
        <f>STDEV(Daily!C164:C183)*SQRT(Inputs!$B$16)</f>
        <v>0.11125279624771946</v>
      </c>
      <c r="D183" s="11">
        <f>STDEV(Daily!D164:D183)*SQRT(Inputs!$B$16)</f>
        <v>0.14875081263229778</v>
      </c>
      <c r="E183" s="11">
        <f>STDEV(Daily!E164:E183)*SQRT(Inputs!$B$16)</f>
        <v>0.15428806191625119</v>
      </c>
      <c r="F183" s="11">
        <f>STDEV(Daily!F164:F183)*SQRT(Inputs!$B$16)</f>
        <v>0.34430133053454148</v>
      </c>
      <c r="G183" s="11">
        <f>STDEV(Daily!G164:G183)*SQRT(Inputs!$B$16)</f>
        <v>0.13975278776477962</v>
      </c>
      <c r="H183" s="11">
        <f>STDEV(Daily!H164:H183)*SQRT(Inputs!$B$16)</f>
        <v>0.17930907926563741</v>
      </c>
    </row>
    <row r="184" spans="1:8" x14ac:dyDescent="0.25">
      <c r="A184" s="18">
        <f>Prices!A184</f>
        <v>46220</v>
      </c>
      <c r="B184" s="11">
        <f>STDEV(Daily!B165:B184)*SQRT(Inputs!$B$16)</f>
        <v>0.12403335562971846</v>
      </c>
      <c r="C184" s="11">
        <f>STDEV(Daily!C165:C184)*SQRT(Inputs!$B$16)</f>
        <v>0.11152037514274937</v>
      </c>
      <c r="D184" s="11">
        <f>STDEV(Daily!D165:D184)*SQRT(Inputs!$B$16)</f>
        <v>0.14908649814457542</v>
      </c>
      <c r="E184" s="11">
        <f>STDEV(Daily!E165:E184)*SQRT(Inputs!$B$16)</f>
        <v>0.1633564003919703</v>
      </c>
      <c r="F184" s="11">
        <f>STDEV(Daily!F165:F184)*SQRT(Inputs!$B$16)</f>
        <v>0.34657636046792989</v>
      </c>
      <c r="G184" s="11">
        <f>STDEV(Daily!G165:G184)*SQRT(Inputs!$B$16)</f>
        <v>0.14237472562871986</v>
      </c>
      <c r="H184" s="11">
        <f>STDEV(Daily!H165:H184)*SQRT(Inputs!$B$16)</f>
        <v>0.18453473121260808</v>
      </c>
    </row>
    <row r="185" spans="1:8" x14ac:dyDescent="0.25">
      <c r="A185" s="18">
        <f>Prices!A185</f>
        <v>46223</v>
      </c>
      <c r="B185" s="11">
        <f>STDEV(Daily!B166:B185)*SQRT(Inputs!$B$16)</f>
        <v>0.12254198596321435</v>
      </c>
      <c r="C185" s="11">
        <f>STDEV(Daily!C166:C185)*SQRT(Inputs!$B$16)</f>
        <v>0.11327576035384265</v>
      </c>
      <c r="D185" s="11">
        <f>STDEV(Daily!D166:D185)*SQRT(Inputs!$B$16)</f>
        <v>0.14876577049468034</v>
      </c>
      <c r="E185" s="11">
        <f>STDEV(Daily!E166:E185)*SQRT(Inputs!$B$16)</f>
        <v>0.16649559981343404</v>
      </c>
      <c r="F185" s="11">
        <f>STDEV(Daily!F166:F185)*SQRT(Inputs!$B$16)</f>
        <v>0.31671064345041716</v>
      </c>
      <c r="G185" s="11">
        <f>STDEV(Daily!G166:G185)*SQRT(Inputs!$B$16)</f>
        <v>0.14470232535712182</v>
      </c>
      <c r="H185" s="11">
        <f>STDEV(Daily!H166:H185)*SQRT(Inputs!$B$16)</f>
        <v>0.18324330842163986</v>
      </c>
    </row>
    <row r="186" spans="1:8" x14ac:dyDescent="0.25">
      <c r="A186" s="18">
        <f>Prices!A186</f>
        <v>46224</v>
      </c>
      <c r="B186" s="11">
        <f>STDEV(Daily!B167:B186)*SQRT(Inputs!$B$16)</f>
        <v>0.12224345757217357</v>
      </c>
      <c r="C186" s="11">
        <f>STDEV(Daily!C167:C186)*SQRT(Inputs!$B$16)</f>
        <v>0.11312848770578431</v>
      </c>
      <c r="D186" s="11">
        <f>STDEV(Daily!D167:D186)*SQRT(Inputs!$B$16)</f>
        <v>0.14849190500067452</v>
      </c>
      <c r="E186" s="11">
        <f>STDEV(Daily!E167:E186)*SQRT(Inputs!$B$16)</f>
        <v>0.16595014095415961</v>
      </c>
      <c r="F186" s="11">
        <f>STDEV(Daily!F167:F186)*SQRT(Inputs!$B$16)</f>
        <v>0.31799601672320427</v>
      </c>
      <c r="G186" s="11">
        <f>STDEV(Daily!G167:G186)*SQRT(Inputs!$B$16)</f>
        <v>0.1443996796014973</v>
      </c>
      <c r="H186" s="11">
        <f>STDEV(Daily!H167:H186)*SQRT(Inputs!$B$16)</f>
        <v>0.18529190522477015</v>
      </c>
    </row>
    <row r="187" spans="1:8" x14ac:dyDescent="0.25">
      <c r="A187" s="18">
        <f>Prices!A187</f>
        <v>46225</v>
      </c>
      <c r="B187" s="11">
        <f>STDEV(Daily!B168:B187)*SQRT(Inputs!$B$16)</f>
        <v>0.1181999549412775</v>
      </c>
      <c r="C187" s="11">
        <f>STDEV(Daily!C168:C187)*SQRT(Inputs!$B$16)</f>
        <v>0.11364650451056978</v>
      </c>
      <c r="D187" s="11">
        <f>STDEV(Daily!D168:D187)*SQRT(Inputs!$B$16)</f>
        <v>0.15876074382457514</v>
      </c>
      <c r="E187" s="11">
        <f>STDEV(Daily!E168:E187)*SQRT(Inputs!$B$16)</f>
        <v>0.16521736446984375</v>
      </c>
      <c r="F187" s="11">
        <f>STDEV(Daily!F168:F187)*SQRT(Inputs!$B$16)</f>
        <v>0.31138543100903981</v>
      </c>
      <c r="G187" s="11">
        <f>STDEV(Daily!G168:G187)*SQRT(Inputs!$B$16)</f>
        <v>0.14477857654712314</v>
      </c>
      <c r="H187" s="11">
        <f>STDEV(Daily!H168:H187)*SQRT(Inputs!$B$16)</f>
        <v>0.18229521605577684</v>
      </c>
    </row>
    <row r="188" spans="1:8" x14ac:dyDescent="0.25">
      <c r="A188" s="18">
        <f>Prices!A188</f>
        <v>46226</v>
      </c>
      <c r="B188" s="11">
        <f>STDEV(Daily!B169:B188)*SQRT(Inputs!$B$16)</f>
        <v>0.11595586855036148</v>
      </c>
      <c r="C188" s="11">
        <f>STDEV(Daily!C169:C188)*SQRT(Inputs!$B$16)</f>
        <v>0.11906948429047608</v>
      </c>
      <c r="D188" s="11">
        <f>STDEV(Daily!D169:D188)*SQRT(Inputs!$B$16)</f>
        <v>0.16295995750620987</v>
      </c>
      <c r="E188" s="11">
        <f>STDEV(Daily!E169:E188)*SQRT(Inputs!$B$16)</f>
        <v>0.15560620015138207</v>
      </c>
      <c r="F188" s="11">
        <f>STDEV(Daily!F169:F188)*SQRT(Inputs!$B$16)</f>
        <v>0.30451773217751965</v>
      </c>
      <c r="G188" s="11">
        <f>STDEV(Daily!G169:G188)*SQRT(Inputs!$B$16)</f>
        <v>0.14556708430774215</v>
      </c>
      <c r="H188" s="11">
        <f>STDEV(Daily!H169:H188)*SQRT(Inputs!$B$16)</f>
        <v>0.18187663149038535</v>
      </c>
    </row>
    <row r="189" spans="1:8" x14ac:dyDescent="0.25">
      <c r="A189" s="18">
        <f>Prices!A189</f>
        <v>46227</v>
      </c>
      <c r="B189" s="11">
        <f>STDEV(Daily!B170:B189)*SQRT(Inputs!$B$16)</f>
        <v>0.11660063604443224</v>
      </c>
      <c r="C189" s="11">
        <f>STDEV(Daily!C170:C189)*SQRT(Inputs!$B$16)</f>
        <v>0.11756409850732555</v>
      </c>
      <c r="D189" s="11">
        <f>STDEV(Daily!D170:D189)*SQRT(Inputs!$B$16)</f>
        <v>0.162455238911382</v>
      </c>
      <c r="E189" s="11">
        <f>STDEV(Daily!E170:E189)*SQRT(Inputs!$B$16)</f>
        <v>0.15587943846811092</v>
      </c>
      <c r="F189" s="11">
        <f>STDEV(Daily!F170:F189)*SQRT(Inputs!$B$16)</f>
        <v>0.30269527847218713</v>
      </c>
      <c r="G189" s="11">
        <f>STDEV(Daily!G170:G189)*SQRT(Inputs!$B$16)</f>
        <v>0.14334583892304401</v>
      </c>
      <c r="H189" s="11">
        <f>STDEV(Daily!H170:H189)*SQRT(Inputs!$B$16)</f>
        <v>0.17077285587155697</v>
      </c>
    </row>
    <row r="190" spans="1:8" x14ac:dyDescent="0.25">
      <c r="A190" s="18">
        <f>Prices!A190</f>
        <v>46230</v>
      </c>
      <c r="B190" s="11">
        <f>STDEV(Daily!B171:B190)*SQRT(Inputs!$B$16)</f>
        <v>0.12095212767469263</v>
      </c>
      <c r="C190" s="11">
        <f>STDEV(Daily!C171:C190)*SQRT(Inputs!$B$16)</f>
        <v>0.12313456748165617</v>
      </c>
      <c r="D190" s="11">
        <f>STDEV(Daily!D171:D190)*SQRT(Inputs!$B$16)</f>
        <v>0.16664033586404381</v>
      </c>
      <c r="E190" s="11">
        <f>STDEV(Daily!E171:E190)*SQRT(Inputs!$B$16)</f>
        <v>0.15648403836347433</v>
      </c>
      <c r="F190" s="11">
        <f>STDEV(Daily!F171:F190)*SQRT(Inputs!$B$16)</f>
        <v>0.30681734705474512</v>
      </c>
      <c r="G190" s="11">
        <f>STDEV(Daily!G171:G190)*SQRT(Inputs!$B$16)</f>
        <v>0.14661406715112862</v>
      </c>
      <c r="H190" s="11">
        <f>STDEV(Daily!H171:H190)*SQRT(Inputs!$B$16)</f>
        <v>0.1595547946807804</v>
      </c>
    </row>
    <row r="191" spans="1:8" x14ac:dyDescent="0.25">
      <c r="A191" s="18">
        <f>Prices!A191</f>
        <v>46231</v>
      </c>
      <c r="B191" s="11">
        <f>STDEV(Daily!B172:B191)*SQRT(Inputs!$B$16)</f>
        <v>0.12027588945717206</v>
      </c>
      <c r="C191" s="11">
        <f>STDEV(Daily!C172:C191)*SQRT(Inputs!$B$16)</f>
        <v>0.12258672314467153</v>
      </c>
      <c r="D191" s="11">
        <f>STDEV(Daily!D172:D191)*SQRT(Inputs!$B$16)</f>
        <v>0.16360219818013425</v>
      </c>
      <c r="E191" s="11">
        <f>STDEV(Daily!E172:E191)*SQRT(Inputs!$B$16)</f>
        <v>0.15735117910569643</v>
      </c>
      <c r="F191" s="11">
        <f>STDEV(Daily!F172:F191)*SQRT(Inputs!$B$16)</f>
        <v>0.29874083486504266</v>
      </c>
      <c r="G191" s="11">
        <f>STDEV(Daily!G172:G191)*SQRT(Inputs!$B$16)</f>
        <v>0.15318264080793087</v>
      </c>
      <c r="H191" s="11">
        <f>STDEV(Daily!H172:H191)*SQRT(Inputs!$B$16)</f>
        <v>0.16037124008818193</v>
      </c>
    </row>
    <row r="192" spans="1:8" x14ac:dyDescent="0.25">
      <c r="A192" s="18">
        <f>Prices!A192</f>
        <v>46232</v>
      </c>
      <c r="B192" s="11">
        <f>STDEV(Daily!B173:B192)*SQRT(Inputs!$B$16)</f>
        <v>0.12478224155782586</v>
      </c>
      <c r="C192" s="11">
        <f>STDEV(Daily!C173:C192)*SQRT(Inputs!$B$16)</f>
        <v>0.12524960998718734</v>
      </c>
      <c r="D192" s="11">
        <f>STDEV(Daily!D173:D192)*SQRT(Inputs!$B$16)</f>
        <v>0.1709271981908547</v>
      </c>
      <c r="E192" s="11">
        <f>STDEV(Daily!E173:E192)*SQRT(Inputs!$B$16)</f>
        <v>0.15691335217116861</v>
      </c>
      <c r="F192" s="11">
        <f>STDEV(Daily!F173:F192)*SQRT(Inputs!$B$16)</f>
        <v>0.2849114647941256</v>
      </c>
      <c r="G192" s="11">
        <f>STDEV(Daily!G173:G192)*SQRT(Inputs!$B$16)</f>
        <v>0.14626390128168051</v>
      </c>
      <c r="H192" s="11">
        <f>STDEV(Daily!H173:H192)*SQRT(Inputs!$B$16)</f>
        <v>0.15719113577428845</v>
      </c>
    </row>
    <row r="193" spans="1:8" x14ac:dyDescent="0.25">
      <c r="A193" s="18">
        <f>Prices!A193</f>
        <v>46233</v>
      </c>
      <c r="B193" s="11">
        <f>STDEV(Daily!B174:B193)*SQRT(Inputs!$B$16)</f>
        <v>0.12270587226748136</v>
      </c>
      <c r="C193" s="11">
        <f>STDEV(Daily!C174:C193)*SQRT(Inputs!$B$16)</f>
        <v>0.12511462604257328</v>
      </c>
      <c r="D193" s="11">
        <f>STDEV(Daily!D174:D193)*SQRT(Inputs!$B$16)</f>
        <v>0.16704434072507424</v>
      </c>
      <c r="E193" s="11">
        <f>STDEV(Daily!E174:E193)*SQRT(Inputs!$B$16)</f>
        <v>0.15689874612300342</v>
      </c>
      <c r="F193" s="11">
        <f>STDEV(Daily!F174:F193)*SQRT(Inputs!$B$16)</f>
        <v>0.25037585990421524</v>
      </c>
      <c r="G193" s="11">
        <f>STDEV(Daily!G174:G193)*SQRT(Inputs!$B$16)</f>
        <v>0.14474509433029753</v>
      </c>
      <c r="H193" s="11">
        <f>STDEV(Daily!H174:H193)*SQRT(Inputs!$B$16)</f>
        <v>0.16138944036369221</v>
      </c>
    </row>
    <row r="194" spans="1:8" x14ac:dyDescent="0.25">
      <c r="A194" s="18">
        <f>Prices!A194</f>
        <v>46234</v>
      </c>
      <c r="B194" s="11">
        <f>STDEV(Daily!B175:B194)*SQRT(Inputs!$B$16)</f>
        <v>0.12230936595146788</v>
      </c>
      <c r="C194" s="11">
        <f>STDEV(Daily!C175:C194)*SQRT(Inputs!$B$16)</f>
        <v>0.12563511162038393</v>
      </c>
      <c r="D194" s="11">
        <f>STDEV(Daily!D175:D194)*SQRT(Inputs!$B$16)</f>
        <v>0.16769285855640459</v>
      </c>
      <c r="E194" s="11">
        <f>STDEV(Daily!E175:E194)*SQRT(Inputs!$B$16)</f>
        <v>0.1571624775190594</v>
      </c>
      <c r="F194" s="11">
        <f>STDEV(Daily!F175:F194)*SQRT(Inputs!$B$16)</f>
        <v>0.26000676115767601</v>
      </c>
      <c r="G194" s="11">
        <f>STDEV(Daily!G175:G194)*SQRT(Inputs!$B$16)</f>
        <v>0.14906115953089624</v>
      </c>
      <c r="H194" s="11">
        <f>STDEV(Daily!H175:H194)*SQRT(Inputs!$B$16)</f>
        <v>0.16698734871720622</v>
      </c>
    </row>
    <row r="195" spans="1:8" x14ac:dyDescent="0.25">
      <c r="A195" s="18">
        <f>Prices!A195</f>
        <v>46237</v>
      </c>
      <c r="B195" s="11">
        <f>STDEV(Daily!B176:B195)*SQRT(Inputs!$B$16)</f>
        <v>0.13291919154911785</v>
      </c>
      <c r="C195" s="11">
        <f>STDEV(Daily!C176:C195)*SQRT(Inputs!$B$16)</f>
        <v>0.13155632454904803</v>
      </c>
      <c r="D195" s="11">
        <f>STDEV(Daily!D176:D195)*SQRT(Inputs!$B$16)</f>
        <v>0.17174315795067752</v>
      </c>
      <c r="E195" s="11">
        <f>STDEV(Daily!E176:E195)*SQRT(Inputs!$B$16)</f>
        <v>0.16790884032040759</v>
      </c>
      <c r="F195" s="11">
        <f>STDEV(Daily!F176:F195)*SQRT(Inputs!$B$16)</f>
        <v>0.27287394461952247</v>
      </c>
      <c r="G195" s="11">
        <f>STDEV(Daily!G176:G195)*SQRT(Inputs!$B$16)</f>
        <v>0.16220857305771982</v>
      </c>
      <c r="H195" s="11">
        <f>STDEV(Daily!H176:H195)*SQRT(Inputs!$B$16)</f>
        <v>0.16804516897558983</v>
      </c>
    </row>
    <row r="196" spans="1:8" x14ac:dyDescent="0.25">
      <c r="A196" s="18">
        <f>Prices!A196</f>
        <v>46238</v>
      </c>
      <c r="B196" s="11">
        <f>STDEV(Daily!B177:B196)*SQRT(Inputs!$B$16)</f>
        <v>0.1351912167641966</v>
      </c>
      <c r="C196" s="11">
        <f>STDEV(Daily!C177:C196)*SQRT(Inputs!$B$16)</f>
        <v>0.13154317372074409</v>
      </c>
      <c r="D196" s="11">
        <f>STDEV(Daily!D177:D196)*SQRT(Inputs!$B$16)</f>
        <v>0.17022174192731254</v>
      </c>
      <c r="E196" s="11">
        <f>STDEV(Daily!E177:E196)*SQRT(Inputs!$B$16)</f>
        <v>0.16912920184213678</v>
      </c>
      <c r="F196" s="11">
        <f>STDEV(Daily!F177:F196)*SQRT(Inputs!$B$16)</f>
        <v>0.271067788410709</v>
      </c>
      <c r="G196" s="11">
        <f>STDEV(Daily!G177:G196)*SQRT(Inputs!$B$16)</f>
        <v>0.16500165341677214</v>
      </c>
      <c r="H196" s="11">
        <f>STDEV(Daily!H177:H196)*SQRT(Inputs!$B$16)</f>
        <v>0.16978577244901663</v>
      </c>
    </row>
    <row r="197" spans="1:8" x14ac:dyDescent="0.25">
      <c r="A197" s="18">
        <f>Prices!A197</f>
        <v>46239</v>
      </c>
      <c r="B197" s="11">
        <f>STDEV(Daily!B178:B197)*SQRT(Inputs!$B$16)</f>
        <v>0.10840129685121951</v>
      </c>
      <c r="C197" s="11">
        <f>STDEV(Daily!C178:C197)*SQRT(Inputs!$B$16)</f>
        <v>0.11630793593443779</v>
      </c>
      <c r="D197" s="11">
        <f>STDEV(Daily!D178:D197)*SQRT(Inputs!$B$16)</f>
        <v>0.14692209238012355</v>
      </c>
      <c r="E197" s="11">
        <f>STDEV(Daily!E178:E197)*SQRT(Inputs!$B$16)</f>
        <v>0.14206242590323315</v>
      </c>
      <c r="F197" s="11">
        <f>STDEV(Daily!F178:F197)*SQRT(Inputs!$B$16)</f>
        <v>0.26258204262049206</v>
      </c>
      <c r="G197" s="11">
        <f>STDEV(Daily!G178:G197)*SQRT(Inputs!$B$16)</f>
        <v>0.13856580869488325</v>
      </c>
      <c r="H197" s="11">
        <f>STDEV(Daily!H178:H197)*SQRT(Inputs!$B$16)</f>
        <v>0.14390472632611184</v>
      </c>
    </row>
    <row r="198" spans="1:8" x14ac:dyDescent="0.25">
      <c r="A198" s="18">
        <f>Prices!A198</f>
        <v>46240</v>
      </c>
      <c r="B198" s="11">
        <f>STDEV(Daily!B179:B198)*SQRT(Inputs!$B$16)</f>
        <v>0.10824404429720261</v>
      </c>
      <c r="C198" s="11">
        <f>STDEV(Daily!C179:C198)*SQRT(Inputs!$B$16)</f>
        <v>0.10928345455827421</v>
      </c>
      <c r="D198" s="11">
        <f>STDEV(Daily!D179:D198)*SQRT(Inputs!$B$16)</f>
        <v>0.13569670816402049</v>
      </c>
      <c r="E198" s="11">
        <f>STDEV(Daily!E179:E198)*SQRT(Inputs!$B$16)</f>
        <v>0.14000615819290499</v>
      </c>
      <c r="F198" s="11">
        <f>STDEV(Daily!F179:F198)*SQRT(Inputs!$B$16)</f>
        <v>0.26670921951746263</v>
      </c>
      <c r="G198" s="11">
        <f>STDEV(Daily!G179:G198)*SQRT(Inputs!$B$16)</f>
        <v>0.13596310407237133</v>
      </c>
      <c r="H198" s="11">
        <f>STDEV(Daily!H179:H198)*SQRT(Inputs!$B$16)</f>
        <v>0.15163366788276661</v>
      </c>
    </row>
    <row r="199" spans="1:8" x14ac:dyDescent="0.25">
      <c r="A199" s="18">
        <f>Prices!A199</f>
        <v>46241</v>
      </c>
      <c r="B199" s="11">
        <f>STDEV(Daily!B180:B199)*SQRT(Inputs!$B$16)</f>
        <v>0.10394287101687449</v>
      </c>
      <c r="C199" s="11">
        <f>STDEV(Daily!C180:C199)*SQRT(Inputs!$B$16)</f>
        <v>9.804043284570986E-2</v>
      </c>
      <c r="D199" s="11">
        <f>STDEV(Daily!D180:D199)*SQRT(Inputs!$B$16)</f>
        <v>0.12615886687702738</v>
      </c>
      <c r="E199" s="11">
        <f>STDEV(Daily!E180:E199)*SQRT(Inputs!$B$16)</f>
        <v>0.13259764632654999</v>
      </c>
      <c r="F199" s="11">
        <f>STDEV(Daily!F180:F199)*SQRT(Inputs!$B$16)</f>
        <v>0.26380932717970179</v>
      </c>
      <c r="G199" s="11">
        <f>STDEV(Daily!G180:G199)*SQRT(Inputs!$B$16)</f>
        <v>0.13599487915911618</v>
      </c>
      <c r="H199" s="11">
        <f>STDEV(Daily!H180:H199)*SQRT(Inputs!$B$16)</f>
        <v>0.15937173899667648</v>
      </c>
    </row>
    <row r="200" spans="1:8" x14ac:dyDescent="0.25">
      <c r="A200" s="18">
        <f>Prices!A200</f>
        <v>46244</v>
      </c>
      <c r="B200" s="11">
        <f>STDEV(Daily!B181:B200)*SQRT(Inputs!$B$16)</f>
        <v>0.10392311644721892</v>
      </c>
      <c r="C200" s="11">
        <f>STDEV(Daily!C181:C200)*SQRT(Inputs!$B$16)</f>
        <v>0.10017906382307953</v>
      </c>
      <c r="D200" s="11">
        <f>STDEV(Daily!D181:D200)*SQRT(Inputs!$B$16)</f>
        <v>0.12689006989923104</v>
      </c>
      <c r="E200" s="11">
        <f>STDEV(Daily!E181:E200)*SQRT(Inputs!$B$16)</f>
        <v>0.13246987305338073</v>
      </c>
      <c r="F200" s="11">
        <f>STDEV(Daily!F181:F200)*SQRT(Inputs!$B$16)</f>
        <v>0.23924519240586287</v>
      </c>
      <c r="G200" s="11">
        <f>STDEV(Daily!G181:G200)*SQRT(Inputs!$B$16)</f>
        <v>0.13064270892531199</v>
      </c>
      <c r="H200" s="11">
        <f>STDEV(Daily!H181:H200)*SQRT(Inputs!$B$16)</f>
        <v>0.16075981900657638</v>
      </c>
    </row>
    <row r="201" spans="1:8" x14ac:dyDescent="0.25">
      <c r="A201" s="18">
        <f>Prices!A201</f>
        <v>46245</v>
      </c>
      <c r="B201" s="11">
        <f>STDEV(Daily!B182:B201)*SQRT(Inputs!$B$16)</f>
        <v>0.102272796546893</v>
      </c>
      <c r="C201" s="11">
        <f>STDEV(Daily!C182:C201)*SQRT(Inputs!$B$16)</f>
        <v>9.8489001819633451E-2</v>
      </c>
      <c r="D201" s="11">
        <f>STDEV(Daily!D182:D201)*SQRT(Inputs!$B$16)</f>
        <v>0.1199401672323067</v>
      </c>
      <c r="E201" s="11">
        <f>STDEV(Daily!E182:E201)*SQRT(Inputs!$B$16)</f>
        <v>0.1267057025026368</v>
      </c>
      <c r="F201" s="11">
        <f>STDEV(Daily!F182:F201)*SQRT(Inputs!$B$16)</f>
        <v>0.23308136822360465</v>
      </c>
      <c r="G201" s="11">
        <f>STDEV(Daily!G182:G201)*SQRT(Inputs!$B$16)</f>
        <v>0.13597568480620795</v>
      </c>
      <c r="H201" s="11">
        <f>STDEV(Daily!H182:H201)*SQRT(Inputs!$B$16)</f>
        <v>0.14628370683995681</v>
      </c>
    </row>
    <row r="202" spans="1:8" x14ac:dyDescent="0.25">
      <c r="A202" s="18">
        <f>Prices!A202</f>
        <v>46246</v>
      </c>
      <c r="B202" s="11">
        <f>STDEV(Daily!B183:B202)*SQRT(Inputs!$B$16)</f>
        <v>0.10260479712436069</v>
      </c>
      <c r="C202" s="11">
        <f>STDEV(Daily!C183:C202)*SQRT(Inputs!$B$16)</f>
        <v>9.8491946579750259E-2</v>
      </c>
      <c r="D202" s="11">
        <f>STDEV(Daily!D183:D202)*SQRT(Inputs!$B$16)</f>
        <v>0.11899708347996603</v>
      </c>
      <c r="E202" s="11">
        <f>STDEV(Daily!E183:E202)*SQRT(Inputs!$B$16)</f>
        <v>0.1283545472718112</v>
      </c>
      <c r="F202" s="11">
        <f>STDEV(Daily!F183:F202)*SQRT(Inputs!$B$16)</f>
        <v>0.24092241134886183</v>
      </c>
      <c r="G202" s="11">
        <f>STDEV(Daily!G183:G202)*SQRT(Inputs!$B$16)</f>
        <v>0.13748101518130737</v>
      </c>
      <c r="H202" s="11">
        <f>STDEV(Daily!H183:H202)*SQRT(Inputs!$B$16)</f>
        <v>0.14930471314077493</v>
      </c>
    </row>
    <row r="203" spans="1:8" x14ac:dyDescent="0.25">
      <c r="A203" s="18">
        <f>Prices!A203</f>
        <v>46247</v>
      </c>
      <c r="B203" s="11">
        <f>STDEV(Daily!B184:B203)*SQRT(Inputs!$B$16)</f>
        <v>0.10290554946984812</v>
      </c>
      <c r="C203" s="11">
        <f>STDEV(Daily!C184:C203)*SQRT(Inputs!$B$16)</f>
        <v>9.6753409547260583E-2</v>
      </c>
      <c r="D203" s="11">
        <f>STDEV(Daily!D184:D203)*SQRT(Inputs!$B$16)</f>
        <v>0.11881018853484548</v>
      </c>
      <c r="E203" s="11">
        <f>STDEV(Daily!E184:E203)*SQRT(Inputs!$B$16)</f>
        <v>0.12885889357762342</v>
      </c>
      <c r="F203" s="11">
        <f>STDEV(Daily!F184:F203)*SQRT(Inputs!$B$16)</f>
        <v>0.24083895674865236</v>
      </c>
      <c r="G203" s="11">
        <f>STDEV(Daily!G184:G203)*SQRT(Inputs!$B$16)</f>
        <v>0.14037917221211593</v>
      </c>
      <c r="H203" s="11">
        <f>STDEV(Daily!H184:H203)*SQRT(Inputs!$B$16)</f>
        <v>0.1499523012952606</v>
      </c>
    </row>
    <row r="204" spans="1:8" x14ac:dyDescent="0.25">
      <c r="A204" s="18">
        <f>Prices!A204</f>
        <v>46248</v>
      </c>
      <c r="B204" s="11">
        <f>STDEV(Daily!B185:B204)*SQRT(Inputs!$B$16)</f>
        <v>9.574454540942566E-2</v>
      </c>
      <c r="C204" s="11">
        <f>STDEV(Daily!C185:C204)*SQRT(Inputs!$B$16)</f>
        <v>9.7681076547145779E-2</v>
      </c>
      <c r="D204" s="11">
        <f>STDEV(Daily!D185:D204)*SQRT(Inputs!$B$16)</f>
        <v>0.12185501519046026</v>
      </c>
      <c r="E204" s="11">
        <f>STDEV(Daily!E185:E204)*SQRT(Inputs!$B$16)</f>
        <v>0.11385672701961251</v>
      </c>
      <c r="F204" s="11">
        <f>STDEV(Daily!F185:F204)*SQRT(Inputs!$B$16)</f>
        <v>0.23729580043540902</v>
      </c>
      <c r="G204" s="11">
        <f>STDEV(Daily!G185:G204)*SQRT(Inputs!$B$16)</f>
        <v>0.13921952988102779</v>
      </c>
      <c r="H204" s="11">
        <f>STDEV(Daily!H185:H204)*SQRT(Inputs!$B$16)</f>
        <v>0.15190908979686671</v>
      </c>
    </row>
    <row r="205" spans="1:8" x14ac:dyDescent="0.25">
      <c r="A205" s="18">
        <f>Prices!A205</f>
        <v>46251</v>
      </c>
      <c r="B205" s="11">
        <f>STDEV(Daily!B186:B205)*SQRT(Inputs!$B$16)</f>
        <v>9.5376492573564189E-2</v>
      </c>
      <c r="C205" s="11">
        <f>STDEV(Daily!C186:C205)*SQRT(Inputs!$B$16)</f>
        <v>9.5959173707938342E-2</v>
      </c>
      <c r="D205" s="11">
        <f>STDEV(Daily!D186:D205)*SQRT(Inputs!$B$16)</f>
        <v>0.12215357802038762</v>
      </c>
      <c r="E205" s="11">
        <f>STDEV(Daily!E186:E205)*SQRT(Inputs!$B$16)</f>
        <v>0.10880826189951381</v>
      </c>
      <c r="F205" s="11">
        <f>STDEV(Daily!F186:F205)*SQRT(Inputs!$B$16)</f>
        <v>0.24828118518153436</v>
      </c>
      <c r="G205" s="11">
        <f>STDEV(Daily!G186:G205)*SQRT(Inputs!$B$16)</f>
        <v>0.14155146011766212</v>
      </c>
      <c r="H205" s="11">
        <f>STDEV(Daily!H186:H205)*SQRT(Inputs!$B$16)</f>
        <v>0.15110861597970943</v>
      </c>
    </row>
    <row r="206" spans="1:8" x14ac:dyDescent="0.25">
      <c r="A206" s="18">
        <f>Prices!A206</f>
        <v>46252</v>
      </c>
      <c r="B206" s="11">
        <f>STDEV(Daily!B187:B206)*SQRT(Inputs!$B$16)</f>
        <v>9.714778917694035E-2</v>
      </c>
      <c r="C206" s="11">
        <f>STDEV(Daily!C187:C206)*SQRT(Inputs!$B$16)</f>
        <v>9.7295618087556102E-2</v>
      </c>
      <c r="D206" s="11">
        <f>STDEV(Daily!D187:D206)*SQRT(Inputs!$B$16)</f>
        <v>0.12129810631231924</v>
      </c>
      <c r="E206" s="11">
        <f>STDEV(Daily!E187:E206)*SQRT(Inputs!$B$16)</f>
        <v>0.10949665978519524</v>
      </c>
      <c r="F206" s="11">
        <f>STDEV(Daily!F187:F206)*SQRT(Inputs!$B$16)</f>
        <v>0.25879845075291757</v>
      </c>
      <c r="G206" s="11">
        <f>STDEV(Daily!G187:G206)*SQRT(Inputs!$B$16)</f>
        <v>0.14341142281022246</v>
      </c>
      <c r="H206" s="11">
        <f>STDEV(Daily!H187:H206)*SQRT(Inputs!$B$16)</f>
        <v>0.14974366672626643</v>
      </c>
    </row>
    <row r="207" spans="1:8" x14ac:dyDescent="0.25">
      <c r="A207" s="18">
        <f>Prices!A207</f>
        <v>46253</v>
      </c>
      <c r="B207" s="11">
        <f>STDEV(Daily!B188:B207)*SQRT(Inputs!$B$16)</f>
        <v>9.344261019134309E-2</v>
      </c>
      <c r="C207" s="11">
        <f>STDEV(Daily!C188:C207)*SQRT(Inputs!$B$16)</f>
        <v>8.8239296465281378E-2</v>
      </c>
      <c r="D207" s="11">
        <f>STDEV(Daily!D188:D207)*SQRT(Inputs!$B$16)</f>
        <v>0.10763142585552965</v>
      </c>
      <c r="E207" s="11">
        <f>STDEV(Daily!E188:E207)*SQRT(Inputs!$B$16)</f>
        <v>0.10028523090609059</v>
      </c>
      <c r="F207" s="11">
        <f>STDEV(Daily!F188:F207)*SQRT(Inputs!$B$16)</f>
        <v>0.2511294912773081</v>
      </c>
      <c r="G207" s="11">
        <f>STDEV(Daily!G188:G207)*SQRT(Inputs!$B$16)</f>
        <v>0.14120207890205247</v>
      </c>
      <c r="H207" s="11">
        <f>STDEV(Daily!H188:H207)*SQRT(Inputs!$B$16)</f>
        <v>0.15129064681625531</v>
      </c>
    </row>
    <row r="208" spans="1:8" x14ac:dyDescent="0.25">
      <c r="A208" s="18">
        <f>Prices!A208</f>
        <v>46254</v>
      </c>
      <c r="B208" s="11">
        <f>STDEV(Daily!B189:B208)*SQRT(Inputs!$B$16)</f>
        <v>9.356027146060418E-2</v>
      </c>
      <c r="C208" s="11">
        <f>STDEV(Daily!C189:C208)*SQRT(Inputs!$B$16)</f>
        <v>7.9088568608312496E-2</v>
      </c>
      <c r="D208" s="11">
        <f>STDEV(Daily!D189:D208)*SQRT(Inputs!$B$16)</f>
        <v>9.9925325135393553E-2</v>
      </c>
      <c r="E208" s="11">
        <f>STDEV(Daily!E189:E208)*SQRT(Inputs!$B$16)</f>
        <v>9.4816698537609739E-2</v>
      </c>
      <c r="F208" s="11">
        <f>STDEV(Daily!F189:F208)*SQRT(Inputs!$B$16)</f>
        <v>0.25118720274640122</v>
      </c>
      <c r="G208" s="11">
        <f>STDEV(Daily!G189:G208)*SQRT(Inputs!$B$16)</f>
        <v>0.14522373481360829</v>
      </c>
      <c r="H208" s="11">
        <f>STDEV(Daily!H189:H208)*SQRT(Inputs!$B$16)</f>
        <v>0.15070086587237744</v>
      </c>
    </row>
    <row r="209" spans="1:8" x14ac:dyDescent="0.25">
      <c r="A209" s="18">
        <f>Prices!A209</f>
        <v>46255</v>
      </c>
      <c r="B209" s="11">
        <f>STDEV(Daily!B190:B209)*SQRT(Inputs!$B$16)</f>
        <v>9.164114865781943E-2</v>
      </c>
      <c r="C209" s="11">
        <f>STDEV(Daily!C190:C209)*SQRT(Inputs!$B$16)</f>
        <v>7.8525808515058929E-2</v>
      </c>
      <c r="D209" s="11">
        <f>STDEV(Daily!D190:D209)*SQRT(Inputs!$B$16)</f>
        <v>9.885221645675453E-2</v>
      </c>
      <c r="E209" s="11">
        <f>STDEV(Daily!E190:E209)*SQRT(Inputs!$B$16)</f>
        <v>9.5735868948060424E-2</v>
      </c>
      <c r="F209" s="11">
        <f>STDEV(Daily!F190:F209)*SQRT(Inputs!$B$16)</f>
        <v>0.25227170236626856</v>
      </c>
      <c r="G209" s="11">
        <f>STDEV(Daily!G190:G209)*SQRT(Inputs!$B$16)</f>
        <v>0.1467162727143948</v>
      </c>
      <c r="H209" s="11">
        <f>STDEV(Daily!H190:H209)*SQRT(Inputs!$B$16)</f>
        <v>0.14544568128096111</v>
      </c>
    </row>
    <row r="210" spans="1:8" x14ac:dyDescent="0.25">
      <c r="A210" s="18">
        <f>Prices!A210</f>
        <v>46258</v>
      </c>
      <c r="B210" s="11">
        <f>STDEV(Daily!B191:B210)*SQRT(Inputs!$B$16)</f>
        <v>8.6112062500322148E-2</v>
      </c>
      <c r="C210" s="11">
        <f>STDEV(Daily!C191:C210)*SQRT(Inputs!$B$16)</f>
        <v>7.0313694405131758E-2</v>
      </c>
      <c r="D210" s="11">
        <f>STDEV(Daily!D191:D210)*SQRT(Inputs!$B$16)</f>
        <v>9.2745662641962254E-2</v>
      </c>
      <c r="E210" s="11">
        <f>STDEV(Daily!E191:E210)*SQRT(Inputs!$B$16)</f>
        <v>9.4576821342239006E-2</v>
      </c>
      <c r="F210" s="11">
        <f>STDEV(Daily!F191:F210)*SQRT(Inputs!$B$16)</f>
        <v>0.24056641682288213</v>
      </c>
      <c r="G210" s="11">
        <f>STDEV(Daily!G191:G210)*SQRT(Inputs!$B$16)</f>
        <v>0.14000811846263331</v>
      </c>
      <c r="H210" s="11">
        <f>STDEV(Daily!H191:H210)*SQRT(Inputs!$B$16)</f>
        <v>0.13823802283579087</v>
      </c>
    </row>
    <row r="211" spans="1:8" x14ac:dyDescent="0.25">
      <c r="A211" s="18">
        <f>Prices!A211</f>
        <v>46259</v>
      </c>
      <c r="B211" s="11">
        <f>STDEV(Daily!B192:B211)*SQRT(Inputs!$B$16)</f>
        <v>8.7352417833937476E-2</v>
      </c>
      <c r="C211" s="11">
        <f>STDEV(Daily!C192:C211)*SQRT(Inputs!$B$16)</f>
        <v>7.1845193556668463E-2</v>
      </c>
      <c r="D211" s="11">
        <f>STDEV(Daily!D192:D211)*SQRT(Inputs!$B$16)</f>
        <v>9.2117774552236312E-2</v>
      </c>
      <c r="E211" s="11">
        <f>STDEV(Daily!E192:E211)*SQRT(Inputs!$B$16)</f>
        <v>9.1747360902346323E-2</v>
      </c>
      <c r="F211" s="11">
        <f>STDEV(Daily!F192:F211)*SQRT(Inputs!$B$16)</f>
        <v>0.21141978441314369</v>
      </c>
      <c r="G211" s="11">
        <f>STDEV(Daily!G192:G211)*SQRT(Inputs!$B$16)</f>
        <v>0.13424813448723916</v>
      </c>
      <c r="H211" s="11">
        <f>STDEV(Daily!H192:H211)*SQRT(Inputs!$B$16)</f>
        <v>0.13742055761575653</v>
      </c>
    </row>
    <row r="212" spans="1:8" x14ac:dyDescent="0.25">
      <c r="A212" s="18">
        <f>Prices!A212</f>
        <v>46260</v>
      </c>
      <c r="B212" s="11">
        <f>STDEV(Daily!B193:B212)*SQRT(Inputs!$B$16)</f>
        <v>8.0722178857128138E-2</v>
      </c>
      <c r="C212" s="11">
        <f>STDEV(Daily!C193:C212)*SQRT(Inputs!$B$16)</f>
        <v>6.7666376141494192E-2</v>
      </c>
      <c r="D212" s="11">
        <f>STDEV(Daily!D193:D212)*SQRT(Inputs!$B$16)</f>
        <v>8.2520346693301008E-2</v>
      </c>
      <c r="E212" s="11">
        <f>STDEV(Daily!E193:E212)*SQRT(Inputs!$B$16)</f>
        <v>8.9025702337105467E-2</v>
      </c>
      <c r="F212" s="11">
        <f>STDEV(Daily!F193:F212)*SQRT(Inputs!$B$16)</f>
        <v>0.20041348490694594</v>
      </c>
      <c r="G212" s="11">
        <f>STDEV(Daily!G193:G212)*SQRT(Inputs!$B$16)</f>
        <v>0.11966182073690237</v>
      </c>
      <c r="H212" s="11">
        <f>STDEV(Daily!H193:H212)*SQRT(Inputs!$B$16)</f>
        <v>0.14148411143394415</v>
      </c>
    </row>
    <row r="213" spans="1:8" x14ac:dyDescent="0.25">
      <c r="A213" s="18">
        <f>Prices!A213</f>
        <v>46261</v>
      </c>
      <c r="B213" s="11">
        <f>STDEV(Daily!B194:B213)*SQRT(Inputs!$B$16)</f>
        <v>8.1675524609109096E-2</v>
      </c>
      <c r="C213" s="11">
        <f>STDEV(Daily!C194:C213)*SQRT(Inputs!$B$16)</f>
        <v>6.6034652107643685E-2</v>
      </c>
      <c r="D213" s="11">
        <f>STDEV(Daily!D194:D213)*SQRT(Inputs!$B$16)</f>
        <v>7.8779571010855351E-2</v>
      </c>
      <c r="E213" s="11">
        <f>STDEV(Daily!E194:E213)*SQRT(Inputs!$B$16)</f>
        <v>9.0837248526682318E-2</v>
      </c>
      <c r="F213" s="11">
        <f>STDEV(Daily!F194:F213)*SQRT(Inputs!$B$16)</f>
        <v>0.2000818432572832</v>
      </c>
      <c r="G213" s="11">
        <f>STDEV(Daily!G194:G213)*SQRT(Inputs!$B$16)</f>
        <v>0.11977113672543978</v>
      </c>
      <c r="H213" s="11">
        <f>STDEV(Daily!H194:H213)*SQRT(Inputs!$B$16)</f>
        <v>0.1325744799684474</v>
      </c>
    </row>
    <row r="214" spans="1:8" x14ac:dyDescent="0.25">
      <c r="A214" s="18">
        <f>Prices!A214</f>
        <v>46262</v>
      </c>
      <c r="B214" s="11">
        <f>STDEV(Daily!B195:B214)*SQRT(Inputs!$B$16)</f>
        <v>8.2129635587032818E-2</v>
      </c>
      <c r="C214" s="11">
        <f>STDEV(Daily!C195:C214)*SQRT(Inputs!$B$16)</f>
        <v>6.4918962751456144E-2</v>
      </c>
      <c r="D214" s="11">
        <f>STDEV(Daily!D195:D214)*SQRT(Inputs!$B$16)</f>
        <v>7.826357743866981E-2</v>
      </c>
      <c r="E214" s="11">
        <f>STDEV(Daily!E195:E214)*SQRT(Inputs!$B$16)</f>
        <v>9.0625045084558389E-2</v>
      </c>
      <c r="F214" s="11">
        <f>STDEV(Daily!F195:F214)*SQRT(Inputs!$B$16)</f>
        <v>0.2312516122333072</v>
      </c>
      <c r="G214" s="11">
        <f>STDEV(Daily!G195:G214)*SQRT(Inputs!$B$16)</f>
        <v>0.11644363882551918</v>
      </c>
      <c r="H214" s="11">
        <f>STDEV(Daily!H195:H214)*SQRT(Inputs!$B$16)</f>
        <v>0.119618759819507</v>
      </c>
    </row>
    <row r="215" spans="1:8" x14ac:dyDescent="0.25">
      <c r="A215" s="18">
        <f>Prices!A215</f>
        <v>46265</v>
      </c>
      <c r="B215" s="11">
        <f>STDEV(Daily!B196:B215)*SQRT(Inputs!$B$16)</f>
        <v>5.5332512011994586E-2</v>
      </c>
      <c r="C215" s="11">
        <f>STDEV(Daily!C196:C215)*SQRT(Inputs!$B$16)</f>
        <v>5.0104092513162071E-2</v>
      </c>
      <c r="D215" s="11">
        <f>STDEV(Daily!D196:D215)*SQRT(Inputs!$B$16)</f>
        <v>7.3371894484504332E-2</v>
      </c>
      <c r="E215" s="11">
        <f>STDEV(Daily!E196:E215)*SQRT(Inputs!$B$16)</f>
        <v>7.3681115765817942E-2</v>
      </c>
      <c r="F215" s="11">
        <f>STDEV(Daily!F196:F215)*SQRT(Inputs!$B$16)</f>
        <v>0.19867054915406179</v>
      </c>
      <c r="G215" s="11">
        <f>STDEV(Daily!G196:G215)*SQRT(Inputs!$B$16)</f>
        <v>0.1024509486372386</v>
      </c>
      <c r="H215" s="11">
        <f>STDEV(Daily!H196:H215)*SQRT(Inputs!$B$16)</f>
        <v>0.10652438202605266</v>
      </c>
    </row>
    <row r="216" spans="1:8" x14ac:dyDescent="0.25">
      <c r="A216" s="18">
        <f>Prices!A216</f>
        <v>46266</v>
      </c>
      <c r="B216" s="11">
        <f>STDEV(Daily!B197:B216)*SQRT(Inputs!$B$16)</f>
        <v>5.2057692512132707E-2</v>
      </c>
      <c r="C216" s="11">
        <f>STDEV(Daily!C197:C216)*SQRT(Inputs!$B$16)</f>
        <v>7.0635995084469896E-2</v>
      </c>
      <c r="D216" s="11">
        <f>STDEV(Daily!D197:D216)*SQRT(Inputs!$B$16)</f>
        <v>7.3977888394671107E-2</v>
      </c>
      <c r="E216" s="11">
        <f>STDEV(Daily!E197:E216)*SQRT(Inputs!$B$16)</f>
        <v>8.0179478754971847E-2</v>
      </c>
      <c r="F216" s="11">
        <f>STDEV(Daily!F197:F216)*SQRT(Inputs!$B$16)</f>
        <v>0.19997122665065931</v>
      </c>
      <c r="G216" s="11">
        <f>STDEV(Daily!G197:G216)*SQRT(Inputs!$B$16)</f>
        <v>0.1112946102457969</v>
      </c>
      <c r="H216" s="11">
        <f>STDEV(Daily!H197:H216)*SQRT(Inputs!$B$16)</f>
        <v>0.11357635168148937</v>
      </c>
    </row>
    <row r="217" spans="1:8" x14ac:dyDescent="0.25">
      <c r="A217" s="18">
        <f>Prices!A217</f>
        <v>46267</v>
      </c>
      <c r="B217" s="11">
        <f>STDEV(Daily!B198:B217)*SQRT(Inputs!$B$16)</f>
        <v>5.4310178360884004E-2</v>
      </c>
      <c r="C217" s="11">
        <f>STDEV(Daily!C198:C217)*SQRT(Inputs!$B$16)</f>
        <v>7.2519435809475827E-2</v>
      </c>
      <c r="D217" s="11">
        <f>STDEV(Daily!D198:D217)*SQRT(Inputs!$B$16)</f>
        <v>7.0760674833713871E-2</v>
      </c>
      <c r="E217" s="11">
        <f>STDEV(Daily!E198:E217)*SQRT(Inputs!$B$16)</f>
        <v>8.0810542137183083E-2</v>
      </c>
      <c r="F217" s="11">
        <f>STDEV(Daily!F198:F217)*SQRT(Inputs!$B$16)</f>
        <v>0.20491580413473701</v>
      </c>
      <c r="G217" s="11">
        <f>STDEV(Daily!G198:G217)*SQRT(Inputs!$B$16)</f>
        <v>0.11141342744092758</v>
      </c>
      <c r="H217" s="11">
        <f>STDEV(Daily!H198:H217)*SQRT(Inputs!$B$16)</f>
        <v>0.11661986961065786</v>
      </c>
    </row>
    <row r="218" spans="1:8" x14ac:dyDescent="0.25">
      <c r="A218" s="18">
        <f>Prices!A218</f>
        <v>46268</v>
      </c>
      <c r="B218" s="11">
        <f>STDEV(Daily!B199:B218)*SQRT(Inputs!$B$16)</f>
        <v>5.383837332579304E-2</v>
      </c>
      <c r="C218" s="11">
        <f>STDEV(Daily!C199:C218)*SQRT(Inputs!$B$16)</f>
        <v>7.2415280176868463E-2</v>
      </c>
      <c r="D218" s="11">
        <f>STDEV(Daily!D199:D218)*SQRT(Inputs!$B$16)</f>
        <v>8.1089481589665308E-2</v>
      </c>
      <c r="E218" s="11">
        <f>STDEV(Daily!E199:E218)*SQRT(Inputs!$B$16)</f>
        <v>7.9135960641185624E-2</v>
      </c>
      <c r="F218" s="11">
        <f>STDEV(Daily!F199:F218)*SQRT(Inputs!$B$16)</f>
        <v>0.20436069251016958</v>
      </c>
      <c r="G218" s="11">
        <f>STDEV(Daily!G199:G218)*SQRT(Inputs!$B$16)</f>
        <v>0.11128206292889024</v>
      </c>
      <c r="H218" s="11">
        <f>STDEV(Daily!H199:H218)*SQRT(Inputs!$B$16)</f>
        <v>0.11357616321673795</v>
      </c>
    </row>
    <row r="219" spans="1:8" x14ac:dyDescent="0.25">
      <c r="A219" s="18">
        <f>Prices!A219</f>
        <v>46269</v>
      </c>
      <c r="B219" s="11">
        <f>STDEV(Daily!B200:B219)*SQRT(Inputs!$B$16)</f>
        <v>5.4427319798138536E-2</v>
      </c>
      <c r="C219" s="11">
        <f>STDEV(Daily!C200:C219)*SQRT(Inputs!$B$16)</f>
        <v>7.2395602726967809E-2</v>
      </c>
      <c r="D219" s="11">
        <f>STDEV(Daily!D200:D219)*SQRT(Inputs!$B$16)</f>
        <v>8.1241858103342363E-2</v>
      </c>
      <c r="E219" s="11">
        <f>STDEV(Daily!E200:E219)*SQRT(Inputs!$B$16)</f>
        <v>7.7005165872878201E-2</v>
      </c>
      <c r="F219" s="11">
        <f>STDEV(Daily!F200:F219)*SQRT(Inputs!$B$16)</f>
        <v>0.19740110284089524</v>
      </c>
      <c r="G219" s="11">
        <f>STDEV(Daily!G200:G219)*SQRT(Inputs!$B$16)</f>
        <v>0.1101213876229387</v>
      </c>
      <c r="H219" s="11">
        <f>STDEV(Daily!H200:H219)*SQRT(Inputs!$B$16)</f>
        <v>8.3725093869479392E-2</v>
      </c>
    </row>
    <row r="220" spans="1:8" x14ac:dyDescent="0.25">
      <c r="A220" s="18">
        <f>Prices!A220</f>
        <v>46272</v>
      </c>
      <c r="B220" s="11">
        <f>STDEV(Daily!B201:B220)*SQRT(Inputs!$B$16)</f>
        <v>5.5348178591162839E-2</v>
      </c>
      <c r="C220" s="11">
        <f>STDEV(Daily!C201:C220)*SQRT(Inputs!$B$16)</f>
        <v>6.9703920018529444E-2</v>
      </c>
      <c r="D220" s="11">
        <f>STDEV(Daily!D201:D220)*SQRT(Inputs!$B$16)</f>
        <v>8.0326051707937121E-2</v>
      </c>
      <c r="E220" s="11">
        <f>STDEV(Daily!E201:E220)*SQRT(Inputs!$B$16)</f>
        <v>7.8690988365008221E-2</v>
      </c>
      <c r="F220" s="11">
        <f>STDEV(Daily!F201:F220)*SQRT(Inputs!$B$16)</f>
        <v>0.21086631805850153</v>
      </c>
      <c r="G220" s="11">
        <f>STDEV(Daily!G201:G220)*SQRT(Inputs!$B$16)</f>
        <v>0.11023419738290587</v>
      </c>
      <c r="H220" s="11">
        <f>STDEV(Daily!H201:H220)*SQRT(Inputs!$B$16)</f>
        <v>8.3935727451451198E-2</v>
      </c>
    </row>
    <row r="221" spans="1:8" x14ac:dyDescent="0.25">
      <c r="A221" s="18">
        <f>Prices!A221</f>
        <v>46273</v>
      </c>
      <c r="B221" s="11">
        <f>STDEV(Daily!B202:B221)*SQRT(Inputs!$B$16)</f>
        <v>5.6630786787776562E-2</v>
      </c>
      <c r="C221" s="11">
        <f>STDEV(Daily!C202:C221)*SQRT(Inputs!$B$16)</f>
        <v>7.0435954131750494E-2</v>
      </c>
      <c r="D221" s="11">
        <f>STDEV(Daily!D202:D221)*SQRT(Inputs!$B$16)</f>
        <v>8.0224040632378923E-2</v>
      </c>
      <c r="E221" s="11">
        <f>STDEV(Daily!E202:E221)*SQRT(Inputs!$B$16)</f>
        <v>7.9599557327962936E-2</v>
      </c>
      <c r="F221" s="11">
        <f>STDEV(Daily!F202:F221)*SQRT(Inputs!$B$16)</f>
        <v>0.2084016056241462</v>
      </c>
      <c r="G221" s="11">
        <f>STDEV(Daily!G202:G221)*SQRT(Inputs!$B$16)</f>
        <v>0.10925228431926028</v>
      </c>
      <c r="H221" s="11">
        <f>STDEV(Daily!H202:H221)*SQRT(Inputs!$B$16)</f>
        <v>8.6222891037633476E-2</v>
      </c>
    </row>
    <row r="222" spans="1:8" x14ac:dyDescent="0.25">
      <c r="A222" s="18">
        <f>Prices!A222</f>
        <v>46274</v>
      </c>
      <c r="B222" s="11">
        <f>STDEV(Daily!B203:B222)*SQRT(Inputs!$B$16)</f>
        <v>6.1647579702811525E-2</v>
      </c>
      <c r="C222" s="11">
        <f>STDEV(Daily!C203:C222)*SQRT(Inputs!$B$16)</f>
        <v>7.0782014251194764E-2</v>
      </c>
      <c r="D222" s="11">
        <f>STDEV(Daily!D203:D222)*SQRT(Inputs!$B$16)</f>
        <v>8.2163212667255014E-2</v>
      </c>
      <c r="E222" s="11">
        <f>STDEV(Daily!E203:E222)*SQRT(Inputs!$B$16)</f>
        <v>7.8083216215896076E-2</v>
      </c>
      <c r="F222" s="11">
        <f>STDEV(Daily!F203:F222)*SQRT(Inputs!$B$16)</f>
        <v>0.22948958403666339</v>
      </c>
      <c r="G222" s="11">
        <f>STDEV(Daily!G203:G222)*SQRT(Inputs!$B$16)</f>
        <v>0.11069620129635166</v>
      </c>
      <c r="H222" s="11">
        <f>STDEV(Daily!H203:H222)*SQRT(Inputs!$B$16)</f>
        <v>8.6375846968596473E-2</v>
      </c>
    </row>
    <row r="223" spans="1:8" x14ac:dyDescent="0.25">
      <c r="A223" s="18">
        <f>Prices!A223</f>
        <v>46275</v>
      </c>
      <c r="B223" s="11">
        <f>STDEV(Daily!B204:B223)*SQRT(Inputs!$B$16)</f>
        <v>6.3310974073040316E-2</v>
      </c>
      <c r="C223" s="11">
        <f>STDEV(Daily!C204:C223)*SQRT(Inputs!$B$16)</f>
        <v>7.0652866269066444E-2</v>
      </c>
      <c r="D223" s="11">
        <f>STDEV(Daily!D204:D223)*SQRT(Inputs!$B$16)</f>
        <v>8.1880195467658567E-2</v>
      </c>
      <c r="E223" s="11">
        <f>STDEV(Daily!E204:E223)*SQRT(Inputs!$B$16)</f>
        <v>7.8835044252644759E-2</v>
      </c>
      <c r="F223" s="11">
        <f>STDEV(Daily!F204:F223)*SQRT(Inputs!$B$16)</f>
        <v>0.22798286028938461</v>
      </c>
      <c r="G223" s="11">
        <f>STDEV(Daily!G204:G223)*SQRT(Inputs!$B$16)</f>
        <v>0.10174597648824063</v>
      </c>
      <c r="H223" s="11">
        <f>STDEV(Daily!H204:H223)*SQRT(Inputs!$B$16)</f>
        <v>8.5147959911118176E-2</v>
      </c>
    </row>
    <row r="224" spans="1:8" x14ac:dyDescent="0.25">
      <c r="A224" s="18">
        <f>Prices!A224</f>
        <v>46276</v>
      </c>
      <c r="B224" s="11">
        <f>STDEV(Daily!B205:B224)*SQRT(Inputs!$B$16)</f>
        <v>6.3468317644420597E-2</v>
      </c>
      <c r="C224" s="11">
        <f>STDEV(Daily!C205:C224)*SQRT(Inputs!$B$16)</f>
        <v>6.930274909882965E-2</v>
      </c>
      <c r="D224" s="11">
        <f>STDEV(Daily!D205:D224)*SQRT(Inputs!$B$16)</f>
        <v>8.0678244270000907E-2</v>
      </c>
      <c r="E224" s="11">
        <f>STDEV(Daily!E205:E224)*SQRT(Inputs!$B$16)</f>
        <v>7.9511228860305774E-2</v>
      </c>
      <c r="F224" s="11">
        <f>STDEV(Daily!F205:F224)*SQRT(Inputs!$B$16)</f>
        <v>0.22870991513475558</v>
      </c>
      <c r="G224" s="11">
        <f>STDEV(Daily!G205:G224)*SQRT(Inputs!$B$16)</f>
        <v>0.10176374452596532</v>
      </c>
      <c r="H224" s="11">
        <f>STDEV(Daily!H205:H224)*SQRT(Inputs!$B$16)</f>
        <v>8.6627459062076514E-2</v>
      </c>
    </row>
    <row r="225" spans="1:8" x14ac:dyDescent="0.25">
      <c r="A225" s="18">
        <f>Prices!A225</f>
        <v>46280</v>
      </c>
      <c r="B225" s="11">
        <f>STDEV(Daily!B206:B225)*SQRT(Inputs!$B$16)</f>
        <v>7.2567343371887721E-2</v>
      </c>
      <c r="C225" s="11">
        <f>STDEV(Daily!C206:C225)*SQRT(Inputs!$B$16)</f>
        <v>9.8636651849442328E-2</v>
      </c>
      <c r="D225" s="11">
        <f>STDEV(Daily!D206:D225)*SQRT(Inputs!$B$16)</f>
        <v>0.11824154907484273</v>
      </c>
      <c r="E225" s="11">
        <f>STDEV(Daily!E206:E225)*SQRT(Inputs!$B$16)</f>
        <v>9.2835344707384401E-2</v>
      </c>
      <c r="F225" s="11">
        <f>STDEV(Daily!F206:F225)*SQRT(Inputs!$B$16)</f>
        <v>0.24017993690473496</v>
      </c>
      <c r="G225" s="11">
        <f>STDEV(Daily!G206:G225)*SQRT(Inputs!$B$16)</f>
        <v>9.8775673875339559E-2</v>
      </c>
      <c r="H225" s="11">
        <f>STDEV(Daily!H206:H225)*SQRT(Inputs!$B$16)</f>
        <v>0.1043945098020778</v>
      </c>
    </row>
    <row r="226" spans="1:8" x14ac:dyDescent="0.25">
      <c r="A226" s="18">
        <f>Prices!A226</f>
        <v>46281</v>
      </c>
      <c r="B226" s="11">
        <f>STDEV(Daily!B207:B226)*SQRT(Inputs!$B$16)</f>
        <v>7.5395130773608654E-2</v>
      </c>
      <c r="C226" s="11">
        <f>STDEV(Daily!C207:C226)*SQRT(Inputs!$B$16)</f>
        <v>9.8648508698958304E-2</v>
      </c>
      <c r="D226" s="11">
        <f>STDEV(Daily!D207:D226)*SQRT(Inputs!$B$16)</f>
        <v>0.11821948446904211</v>
      </c>
      <c r="E226" s="11">
        <f>STDEV(Daily!E207:E226)*SQRT(Inputs!$B$16)</f>
        <v>9.9257704566918653E-2</v>
      </c>
      <c r="F226" s="11">
        <f>STDEV(Daily!F207:F226)*SQRT(Inputs!$B$16)</f>
        <v>0.23715695542952817</v>
      </c>
      <c r="G226" s="11">
        <f>STDEV(Daily!G207:G226)*SQRT(Inputs!$B$16)</f>
        <v>0.11967862095876999</v>
      </c>
      <c r="H226" s="11">
        <f>STDEV(Daily!H207:H226)*SQRT(Inputs!$B$16)</f>
        <v>0.10664453811051149</v>
      </c>
    </row>
    <row r="227" spans="1:8" x14ac:dyDescent="0.25">
      <c r="A227" s="18">
        <f>Prices!A227</f>
        <v>46282</v>
      </c>
      <c r="B227" s="11">
        <f>STDEV(Daily!B208:B227)*SQRT(Inputs!$B$16)</f>
        <v>7.6712970761830701E-2</v>
      </c>
      <c r="C227" s="11">
        <f>STDEV(Daily!C208:C227)*SQRT(Inputs!$B$16)</f>
        <v>0.10647775236954715</v>
      </c>
      <c r="D227" s="11">
        <f>STDEV(Daily!D208:D227)*SQRT(Inputs!$B$16)</f>
        <v>0.1209900969975477</v>
      </c>
      <c r="E227" s="11">
        <f>STDEV(Daily!E208:E227)*SQRT(Inputs!$B$16)</f>
        <v>9.9952484349443399E-2</v>
      </c>
      <c r="F227" s="11">
        <f>STDEV(Daily!F208:F227)*SQRT(Inputs!$B$16)</f>
        <v>0.23529699462520931</v>
      </c>
      <c r="G227" s="11">
        <f>STDEV(Daily!G208:G227)*SQRT(Inputs!$B$16)</f>
        <v>0.11940756719425594</v>
      </c>
      <c r="H227" s="11">
        <f>STDEV(Daily!H208:H227)*SQRT(Inputs!$B$16)</f>
        <v>0.11774084992347349</v>
      </c>
    </row>
    <row r="228" spans="1:8" x14ac:dyDescent="0.25">
      <c r="A228" s="18">
        <f>Prices!A228</f>
        <v>46283</v>
      </c>
      <c r="B228" s="11">
        <f>STDEV(Daily!B209:B228)*SQRT(Inputs!$B$16)</f>
        <v>7.3072751100829905E-2</v>
      </c>
      <c r="C228" s="11">
        <f>STDEV(Daily!C209:C228)*SQRT(Inputs!$B$16)</f>
        <v>0.11588947409032942</v>
      </c>
      <c r="D228" s="11">
        <f>STDEV(Daily!D209:D228)*SQRT(Inputs!$B$16)</f>
        <v>0.13446408901421075</v>
      </c>
      <c r="E228" s="11">
        <f>STDEV(Daily!E209:E228)*SQRT(Inputs!$B$16)</f>
        <v>0.10068264827338122</v>
      </c>
      <c r="F228" s="11">
        <f>STDEV(Daily!F209:F228)*SQRT(Inputs!$B$16)</f>
        <v>0.23398634760890771</v>
      </c>
      <c r="G228" s="11">
        <f>STDEV(Daily!G209:G228)*SQRT(Inputs!$B$16)</f>
        <v>0.11314481398284601</v>
      </c>
      <c r="H228" s="11">
        <f>STDEV(Daily!H209:H228)*SQRT(Inputs!$B$16)</f>
        <v>0.11475741489212891</v>
      </c>
    </row>
    <row r="229" spans="1:8" x14ac:dyDescent="0.25">
      <c r="A229" s="18">
        <f>Prices!A229</f>
        <v>46286</v>
      </c>
      <c r="B229" s="11">
        <f>STDEV(Daily!B210:B229)*SQRT(Inputs!$B$16)</f>
        <v>7.4442389632935688E-2</v>
      </c>
      <c r="C229" s="11">
        <f>STDEV(Daily!C210:C229)*SQRT(Inputs!$B$16)</f>
        <v>0.11574811616080131</v>
      </c>
      <c r="D229" s="11">
        <f>STDEV(Daily!D210:D229)*SQRT(Inputs!$B$16)</f>
        <v>0.13208924199906763</v>
      </c>
      <c r="E229" s="11">
        <f>STDEV(Daily!E210:E229)*SQRT(Inputs!$B$16)</f>
        <v>9.9157040562928123E-2</v>
      </c>
      <c r="F229" s="11">
        <f>STDEV(Daily!F210:F229)*SQRT(Inputs!$B$16)</f>
        <v>0.23401818311696998</v>
      </c>
      <c r="G229" s="11">
        <f>STDEV(Daily!G210:G229)*SQRT(Inputs!$B$16)</f>
        <v>0.11934084171421437</v>
      </c>
      <c r="H229" s="11">
        <f>STDEV(Daily!H210:H229)*SQRT(Inputs!$B$16)</f>
        <v>0.11557337349122429</v>
      </c>
    </row>
    <row r="230" spans="1:8" x14ac:dyDescent="0.25">
      <c r="A230" s="18">
        <f>Prices!A230</f>
        <v>46287</v>
      </c>
      <c r="B230" s="11">
        <f>STDEV(Daily!B211:B230)*SQRT(Inputs!$B$16)</f>
        <v>7.4726007221798355E-2</v>
      </c>
      <c r="C230" s="11">
        <f>STDEV(Daily!C211:C230)*SQRT(Inputs!$B$16)</f>
        <v>0.11535760715245311</v>
      </c>
      <c r="D230" s="11">
        <f>STDEV(Daily!D211:D230)*SQRT(Inputs!$B$16)</f>
        <v>0.13203788246381862</v>
      </c>
      <c r="E230" s="11">
        <f>STDEV(Daily!E211:E230)*SQRT(Inputs!$B$16)</f>
        <v>9.9340449926522578E-2</v>
      </c>
      <c r="F230" s="11">
        <f>STDEV(Daily!F211:F230)*SQRT(Inputs!$B$16)</f>
        <v>0.23415686073325689</v>
      </c>
      <c r="G230" s="11">
        <f>STDEV(Daily!G211:G230)*SQRT(Inputs!$B$16)</f>
        <v>0.11973876340626965</v>
      </c>
      <c r="H230" s="11">
        <f>STDEV(Daily!H211:H230)*SQRT(Inputs!$B$16)</f>
        <v>0.11522267537475955</v>
      </c>
    </row>
    <row r="231" spans="1:8" x14ac:dyDescent="0.25">
      <c r="A231" s="18">
        <f>Prices!A231</f>
        <v>46288</v>
      </c>
      <c r="B231" s="11">
        <f>STDEV(Daily!B212:B231)*SQRT(Inputs!$B$16)</f>
        <v>7.5061950701941743E-2</v>
      </c>
      <c r="C231" s="11">
        <f>STDEV(Daily!C212:C231)*SQRT(Inputs!$B$16)</f>
        <v>0.11672946784022607</v>
      </c>
      <c r="D231" s="11">
        <f>STDEV(Daily!D212:D231)*SQRT(Inputs!$B$16)</f>
        <v>0.13589430376390557</v>
      </c>
      <c r="E231" s="11">
        <f>STDEV(Daily!E212:E231)*SQRT(Inputs!$B$16)</f>
        <v>0.10243887418174531</v>
      </c>
      <c r="F231" s="11">
        <f>STDEV(Daily!F212:F231)*SQRT(Inputs!$B$16)</f>
        <v>0.23237606497088417</v>
      </c>
      <c r="G231" s="11">
        <f>STDEV(Daily!G212:G231)*SQRT(Inputs!$B$16)</f>
        <v>0.12994810863194037</v>
      </c>
      <c r="H231" s="11">
        <f>STDEV(Daily!H212:H231)*SQRT(Inputs!$B$16)</f>
        <v>0.11415332529658966</v>
      </c>
    </row>
    <row r="232" spans="1:8" x14ac:dyDescent="0.25">
      <c r="A232" s="18">
        <f>Prices!A232</f>
        <v>46289</v>
      </c>
      <c r="B232" s="11">
        <f>STDEV(Daily!B213:B232)*SQRT(Inputs!$B$16)</f>
        <v>9.0539935288854359E-2</v>
      </c>
      <c r="C232" s="11">
        <f>STDEV(Daily!C213:C232)*SQRT(Inputs!$B$16)</f>
        <v>0.1387748466107894</v>
      </c>
      <c r="D232" s="11">
        <f>STDEV(Daily!D213:D232)*SQRT(Inputs!$B$16)</f>
        <v>0.14323350961178918</v>
      </c>
      <c r="E232" s="11">
        <f>STDEV(Daily!E213:E232)*SQRT(Inputs!$B$16)</f>
        <v>0.11996260476982749</v>
      </c>
      <c r="F232" s="11">
        <f>STDEV(Daily!F213:F232)*SQRT(Inputs!$B$16)</f>
        <v>0.22893469722517618</v>
      </c>
      <c r="G232" s="11">
        <f>STDEV(Daily!G213:G232)*SQRT(Inputs!$B$16)</f>
        <v>0.13107953594110366</v>
      </c>
      <c r="H232" s="11">
        <f>STDEV(Daily!H213:H232)*SQRT(Inputs!$B$16)</f>
        <v>0.12141309183964336</v>
      </c>
    </row>
    <row r="233" spans="1:8" x14ac:dyDescent="0.25">
      <c r="A233" s="18">
        <f>Prices!A233</f>
        <v>46290</v>
      </c>
      <c r="B233" s="11">
        <f>STDEV(Daily!B214:B233)*SQRT(Inputs!$B$16)</f>
        <v>9.2276665820833298E-2</v>
      </c>
      <c r="C233" s="11">
        <f>STDEV(Daily!C214:C233)*SQRT(Inputs!$B$16)</f>
        <v>0.1387324123887784</v>
      </c>
      <c r="D233" s="11">
        <f>STDEV(Daily!D214:D233)*SQRT(Inputs!$B$16)</f>
        <v>0.14348956258892667</v>
      </c>
      <c r="E233" s="11">
        <f>STDEV(Daily!E214:E233)*SQRT(Inputs!$B$16)</f>
        <v>0.12058264246527742</v>
      </c>
      <c r="F233" s="11">
        <f>STDEV(Daily!F214:F233)*SQRT(Inputs!$B$16)</f>
        <v>0.22902311451709417</v>
      </c>
      <c r="G233" s="11">
        <f>STDEV(Daily!G214:G233)*SQRT(Inputs!$B$16)</f>
        <v>0.13194608986010459</v>
      </c>
      <c r="H233" s="11">
        <f>STDEV(Daily!H214:H233)*SQRT(Inputs!$B$16)</f>
        <v>0.12980670186751897</v>
      </c>
    </row>
    <row r="234" spans="1:8" x14ac:dyDescent="0.25">
      <c r="A234" s="18">
        <f>Prices!A234</f>
        <v>46293</v>
      </c>
      <c r="B234" s="11">
        <f>STDEV(Daily!B215:B234)*SQRT(Inputs!$B$16)</f>
        <v>0.10155663581312259</v>
      </c>
      <c r="C234" s="11">
        <f>STDEV(Daily!C215:C234)*SQRT(Inputs!$B$16)</f>
        <v>0.14653541279669494</v>
      </c>
      <c r="D234" s="11">
        <f>STDEV(Daily!D215:D234)*SQRT(Inputs!$B$16)</f>
        <v>0.15608873143302077</v>
      </c>
      <c r="E234" s="11">
        <f>STDEV(Daily!E215:E234)*SQRT(Inputs!$B$16)</f>
        <v>0.13668484175255771</v>
      </c>
      <c r="F234" s="11">
        <f>STDEV(Daily!F215:F234)*SQRT(Inputs!$B$16)</f>
        <v>0.17842971611883893</v>
      </c>
      <c r="G234" s="11">
        <f>STDEV(Daily!G215:G234)*SQRT(Inputs!$B$16)</f>
        <v>0.14012941782547073</v>
      </c>
      <c r="H234" s="11">
        <f>STDEV(Daily!H215:H234)*SQRT(Inputs!$B$16)</f>
        <v>0.13738742885760147</v>
      </c>
    </row>
    <row r="235" spans="1:8" x14ac:dyDescent="0.25">
      <c r="A235" s="18">
        <f>Prices!A235</f>
        <v>46294</v>
      </c>
      <c r="B235" s="11">
        <f>STDEV(Daily!B216:B235)*SQRT(Inputs!$B$16)</f>
        <v>0.10148951640588304</v>
      </c>
      <c r="C235" s="11">
        <f>STDEV(Daily!C216:C235)*SQRT(Inputs!$B$16)</f>
        <v>0.1466885374558545</v>
      </c>
      <c r="D235" s="11">
        <f>STDEV(Daily!D216:D235)*SQRT(Inputs!$B$16)</f>
        <v>0.15646901248469106</v>
      </c>
      <c r="E235" s="11">
        <f>STDEV(Daily!E216:E235)*SQRT(Inputs!$B$16)</f>
        <v>0.12932263039345573</v>
      </c>
      <c r="F235" s="11">
        <f>STDEV(Daily!F216:F235)*SQRT(Inputs!$B$16)</f>
        <v>0.18128889783539501</v>
      </c>
      <c r="G235" s="11">
        <f>STDEV(Daily!G216:G235)*SQRT(Inputs!$B$16)</f>
        <v>0.13255669064753497</v>
      </c>
      <c r="H235" s="11">
        <f>STDEV(Daily!H216:H235)*SQRT(Inputs!$B$16)</f>
        <v>0.14025467546585374</v>
      </c>
    </row>
    <row r="236" spans="1:8" x14ac:dyDescent="0.25">
      <c r="A236" s="18">
        <f>Prices!A236</f>
        <v>46295</v>
      </c>
      <c r="B236" s="11">
        <f>STDEV(Daily!B217:B236)*SQRT(Inputs!$B$16)</f>
        <v>0.1013417807041652</v>
      </c>
      <c r="C236" s="11">
        <f>STDEV(Daily!C217:C236)*SQRT(Inputs!$B$16)</f>
        <v>0.14248986911013356</v>
      </c>
      <c r="D236" s="11">
        <f>STDEV(Daily!D217:D236)*SQRT(Inputs!$B$16)</f>
        <v>0.15728545080975717</v>
      </c>
      <c r="E236" s="11">
        <f>STDEV(Daily!E217:E236)*SQRT(Inputs!$B$16)</f>
        <v>0.1311307403486551</v>
      </c>
      <c r="F236" s="11">
        <f>STDEV(Daily!F217:F236)*SQRT(Inputs!$B$16)</f>
        <v>0.17387128532592896</v>
      </c>
      <c r="G236" s="11">
        <f>STDEV(Daily!G217:G236)*SQRT(Inputs!$B$16)</f>
        <v>0.12734219074669356</v>
      </c>
      <c r="H236" s="11">
        <f>STDEV(Daily!H217:H236)*SQRT(Inputs!$B$16)</f>
        <v>0.14122451287169169</v>
      </c>
    </row>
    <row r="237" spans="1:8" x14ac:dyDescent="0.25">
      <c r="A237" s="18">
        <f>Prices!A237</f>
        <v>46296</v>
      </c>
      <c r="B237" s="11">
        <f>STDEV(Daily!B218:B237)*SQRT(Inputs!$B$16)</f>
        <v>0.10292358747191156</v>
      </c>
      <c r="C237" s="11">
        <f>STDEV(Daily!C218:C237)*SQRT(Inputs!$B$16)</f>
        <v>0.14444015742525193</v>
      </c>
      <c r="D237" s="11">
        <f>STDEV(Daily!D218:D237)*SQRT(Inputs!$B$16)</f>
        <v>0.1597850048784184</v>
      </c>
      <c r="E237" s="11">
        <f>STDEV(Daily!E218:E237)*SQRT(Inputs!$B$16)</f>
        <v>0.13102405459260447</v>
      </c>
      <c r="F237" s="11">
        <f>STDEV(Daily!F218:F237)*SQRT(Inputs!$B$16)</f>
        <v>0.19835193132278847</v>
      </c>
      <c r="G237" s="11">
        <f>STDEV(Daily!G218:G237)*SQRT(Inputs!$B$16)</f>
        <v>0.13658310318341377</v>
      </c>
      <c r="H237" s="11">
        <f>STDEV(Daily!H218:H237)*SQRT(Inputs!$B$16)</f>
        <v>0.17209987020054124</v>
      </c>
    </row>
    <row r="238" spans="1:8" x14ac:dyDescent="0.25">
      <c r="A238" s="18">
        <f>Prices!A238</f>
        <v>46300</v>
      </c>
      <c r="B238" s="11">
        <f>STDEV(Daily!B219:B238)*SQRT(Inputs!$B$16)</f>
        <v>0.10788357034021963</v>
      </c>
      <c r="C238" s="11">
        <f>STDEV(Daily!C219:C238)*SQRT(Inputs!$B$16)</f>
        <v>0.14675337035341901</v>
      </c>
      <c r="D238" s="11">
        <f>STDEV(Daily!D219:D238)*SQRT(Inputs!$B$16)</f>
        <v>0.15332108400114408</v>
      </c>
      <c r="E238" s="11">
        <f>STDEV(Daily!E219:E238)*SQRT(Inputs!$B$16)</f>
        <v>0.1318171353506771</v>
      </c>
      <c r="F238" s="11">
        <f>STDEV(Daily!F219:F238)*SQRT(Inputs!$B$16)</f>
        <v>0.19841915577509539</v>
      </c>
      <c r="G238" s="11">
        <f>STDEV(Daily!G219:G238)*SQRT(Inputs!$B$16)</f>
        <v>0.15427387280222934</v>
      </c>
      <c r="H238" s="11">
        <f>STDEV(Daily!H219:H238)*SQRT(Inputs!$B$16)</f>
        <v>0.17351325349417301</v>
      </c>
    </row>
    <row r="239" spans="1:8" x14ac:dyDescent="0.25">
      <c r="A239" s="18">
        <f>Prices!A239</f>
        <v>46301</v>
      </c>
      <c r="B239" s="11">
        <f>STDEV(Daily!B220:B239)*SQRT(Inputs!$B$16)</f>
        <v>0.11616047745578632</v>
      </c>
      <c r="C239" s="11">
        <f>STDEV(Daily!C220:C239)*SQRT(Inputs!$B$16)</f>
        <v>0.15507037026601045</v>
      </c>
      <c r="D239" s="11">
        <f>STDEV(Daily!D220:D239)*SQRT(Inputs!$B$16)</f>
        <v>0.16544076231914928</v>
      </c>
      <c r="E239" s="11">
        <f>STDEV(Daily!E220:E239)*SQRT(Inputs!$B$16)</f>
        <v>0.13630237834185055</v>
      </c>
      <c r="F239" s="11">
        <f>STDEV(Daily!F220:F239)*SQRT(Inputs!$B$16)</f>
        <v>0.19850006743898452</v>
      </c>
      <c r="G239" s="11">
        <f>STDEV(Daily!G220:G239)*SQRT(Inputs!$B$16)</f>
        <v>0.1638088507037761</v>
      </c>
      <c r="H239" s="11">
        <f>STDEV(Daily!H220:H239)*SQRT(Inputs!$B$16)</f>
        <v>0.17655233179481297</v>
      </c>
    </row>
    <row r="240" spans="1:8" x14ac:dyDescent="0.25">
      <c r="A240" s="18">
        <f>Prices!A240</f>
        <v>46302</v>
      </c>
      <c r="B240" s="11">
        <f>STDEV(Daily!B221:B240)*SQRT(Inputs!$B$16)</f>
        <v>0.11731052250820484</v>
      </c>
      <c r="C240" s="11">
        <f>STDEV(Daily!C221:C240)*SQRT(Inputs!$B$16)</f>
        <v>0.15547423468579111</v>
      </c>
      <c r="D240" s="11">
        <f>STDEV(Daily!D221:D240)*SQRT(Inputs!$B$16)</f>
        <v>0.16613139583122846</v>
      </c>
      <c r="E240" s="11">
        <f>STDEV(Daily!E221:E240)*SQRT(Inputs!$B$16)</f>
        <v>0.13586692187841784</v>
      </c>
      <c r="F240" s="11">
        <f>STDEV(Daily!F221:F240)*SQRT(Inputs!$B$16)</f>
        <v>0.18948649450111907</v>
      </c>
      <c r="G240" s="11">
        <f>STDEV(Daily!G221:G240)*SQRT(Inputs!$B$16)</f>
        <v>0.16515954074703162</v>
      </c>
      <c r="H240" s="11">
        <f>STDEV(Daily!H221:H240)*SQRT(Inputs!$B$16)</f>
        <v>0.18078683698457265</v>
      </c>
    </row>
    <row r="241" spans="1:8" x14ac:dyDescent="0.25">
      <c r="A241" s="18">
        <f>Prices!A241</f>
        <v>46303</v>
      </c>
      <c r="B241" s="11">
        <f>STDEV(Daily!B222:B241)*SQRT(Inputs!$B$16)</f>
        <v>0.12685584360286073</v>
      </c>
      <c r="C241" s="11">
        <f>STDEV(Daily!C222:C241)*SQRT(Inputs!$B$16)</f>
        <v>0.17349466378918516</v>
      </c>
      <c r="D241" s="11">
        <f>STDEV(Daily!D222:D241)*SQRT(Inputs!$B$16)</f>
        <v>0.18291678376415371</v>
      </c>
      <c r="E241" s="11">
        <f>STDEV(Daily!E222:E241)*SQRT(Inputs!$B$16)</f>
        <v>0.13829814264130413</v>
      </c>
      <c r="F241" s="11">
        <f>STDEV(Daily!F222:F241)*SQRT(Inputs!$B$16)</f>
        <v>0.18979347702285501</v>
      </c>
      <c r="G241" s="11">
        <f>STDEV(Daily!G222:G241)*SQRT(Inputs!$B$16)</f>
        <v>0.17781818505762173</v>
      </c>
      <c r="H241" s="11">
        <f>STDEV(Daily!H222:H241)*SQRT(Inputs!$B$16)</f>
        <v>0.19183101918262613</v>
      </c>
    </row>
    <row r="242" spans="1:8" x14ac:dyDescent="0.25">
      <c r="A242" s="18">
        <f>Prices!A242</f>
        <v>46304</v>
      </c>
      <c r="B242" s="11">
        <f>STDEV(Daily!B223:B242)*SQRT(Inputs!$B$16)</f>
        <v>0.1369960949304691</v>
      </c>
      <c r="C242" s="11">
        <f>STDEV(Daily!C223:C242)*SQRT(Inputs!$B$16)</f>
        <v>0.18699180623860506</v>
      </c>
      <c r="D242" s="11">
        <f>STDEV(Daily!D223:D242)*SQRT(Inputs!$B$16)</f>
        <v>0.1849540903451134</v>
      </c>
      <c r="E242" s="11">
        <f>STDEV(Daily!E223:E242)*SQRT(Inputs!$B$16)</f>
        <v>0.1465276926862803</v>
      </c>
      <c r="F242" s="11">
        <f>STDEV(Daily!F223:F242)*SQRT(Inputs!$B$16)</f>
        <v>0.19402213287628536</v>
      </c>
      <c r="G242" s="11">
        <f>STDEV(Daily!G223:G242)*SQRT(Inputs!$B$16)</f>
        <v>0.19450628995442856</v>
      </c>
      <c r="H242" s="11">
        <f>STDEV(Daily!H223:H242)*SQRT(Inputs!$B$16)</f>
        <v>0.20495624765209022</v>
      </c>
    </row>
    <row r="243" spans="1:8" x14ac:dyDescent="0.25">
      <c r="A243" s="18">
        <f>Prices!A243</f>
        <v>46307</v>
      </c>
      <c r="B243" s="11">
        <f>STDEV(Daily!B224:B243)*SQRT(Inputs!$B$16)</f>
        <v>0.13728244955065128</v>
      </c>
      <c r="C243" s="11">
        <f>STDEV(Daily!C224:C243)*SQRT(Inputs!$B$16)</f>
        <v>0.18746784005489192</v>
      </c>
      <c r="D243" s="11">
        <f>STDEV(Daily!D224:D243)*SQRT(Inputs!$B$16)</f>
        <v>0.19389776337422146</v>
      </c>
      <c r="E243" s="11">
        <f>STDEV(Daily!E224:E243)*SQRT(Inputs!$B$16)</f>
        <v>0.1468424463193034</v>
      </c>
      <c r="F243" s="11">
        <f>STDEV(Daily!F224:F243)*SQRT(Inputs!$B$16)</f>
        <v>0.19577983503079197</v>
      </c>
      <c r="G243" s="11">
        <f>STDEV(Daily!G224:G243)*SQRT(Inputs!$B$16)</f>
        <v>0.20288390863064318</v>
      </c>
      <c r="H243" s="11">
        <f>STDEV(Daily!H224:H243)*SQRT(Inputs!$B$16)</f>
        <v>0.2111225434490375</v>
      </c>
    </row>
    <row r="244" spans="1:8" x14ac:dyDescent="0.25">
      <c r="A244" s="18">
        <f>Prices!A244</f>
        <v>46308</v>
      </c>
      <c r="B244" s="11">
        <f>STDEV(Daily!B225:B244)*SQRT(Inputs!$B$16)</f>
        <v>0.15194386405271709</v>
      </c>
      <c r="C244" s="11">
        <f>STDEV(Daily!C225:C244)*SQRT(Inputs!$B$16)</f>
        <v>0.1934648266265302</v>
      </c>
      <c r="D244" s="11">
        <f>STDEV(Daily!D225:D244)*SQRT(Inputs!$B$16)</f>
        <v>0.19339517881698948</v>
      </c>
      <c r="E244" s="11">
        <f>STDEV(Daily!E225:E244)*SQRT(Inputs!$B$16)</f>
        <v>0.15206228115251405</v>
      </c>
      <c r="F244" s="11">
        <f>STDEV(Daily!F225:F244)*SQRT(Inputs!$B$16)</f>
        <v>0.2719124015963002</v>
      </c>
      <c r="G244" s="11">
        <f>STDEV(Daily!G225:G244)*SQRT(Inputs!$B$16)</f>
        <v>0.20967567982483531</v>
      </c>
      <c r="H244" s="11">
        <f>STDEV(Daily!H225:H244)*SQRT(Inputs!$B$16)</f>
        <v>0.21869886971387828</v>
      </c>
    </row>
    <row r="245" spans="1:8" x14ac:dyDescent="0.25">
      <c r="A245" s="18">
        <f>Prices!A245</f>
        <v>46309</v>
      </c>
      <c r="B245" s="11">
        <f>STDEV(Daily!B226:B245)*SQRT(Inputs!$B$16)</f>
        <v>0.14729250224872509</v>
      </c>
      <c r="C245" s="11">
        <f>STDEV(Daily!C226:C245)*SQRT(Inputs!$B$16)</f>
        <v>0.17993034448919351</v>
      </c>
      <c r="D245" s="11">
        <f>STDEV(Daily!D226:D245)*SQRT(Inputs!$B$16)</f>
        <v>0.17326469073746414</v>
      </c>
      <c r="E245" s="11">
        <f>STDEV(Daily!E226:E245)*SQRT(Inputs!$B$16)</f>
        <v>0.14393141267252949</v>
      </c>
      <c r="F245" s="11">
        <f>STDEV(Daily!F226:F245)*SQRT(Inputs!$B$16)</f>
        <v>0.26399739946523026</v>
      </c>
      <c r="G245" s="11">
        <f>STDEV(Daily!G226:G245)*SQRT(Inputs!$B$16)</f>
        <v>0.21332069332847028</v>
      </c>
      <c r="H245" s="11">
        <f>STDEV(Daily!H226:H245)*SQRT(Inputs!$B$16)</f>
        <v>0.21109536758881187</v>
      </c>
    </row>
    <row r="246" spans="1:8" x14ac:dyDescent="0.25">
      <c r="A246" s="18">
        <f>Prices!A246</f>
        <v>46310</v>
      </c>
      <c r="B246" s="11">
        <f>STDEV(Daily!B227:B246)*SQRT(Inputs!$B$16)</f>
        <v>0.15915096532666734</v>
      </c>
      <c r="C246" s="11">
        <f>STDEV(Daily!C227:C246)*SQRT(Inputs!$B$16)</f>
        <v>0.18007717376141152</v>
      </c>
      <c r="D246" s="11">
        <f>STDEV(Daily!D227:D246)*SQRT(Inputs!$B$16)</f>
        <v>0.1792874146391345</v>
      </c>
      <c r="E246" s="11">
        <f>STDEV(Daily!E227:E246)*SQRT(Inputs!$B$16)</f>
        <v>0.14394803453098878</v>
      </c>
      <c r="F246" s="11">
        <f>STDEV(Daily!F227:F246)*SQRT(Inputs!$B$16)</f>
        <v>0.26258015043616945</v>
      </c>
      <c r="G246" s="11">
        <f>STDEV(Daily!G227:G246)*SQRT(Inputs!$B$16)</f>
        <v>0.20837756171908378</v>
      </c>
      <c r="H246" s="11">
        <f>STDEV(Daily!H227:H246)*SQRT(Inputs!$B$16)</f>
        <v>0.22075594223553216</v>
      </c>
    </row>
    <row r="247" spans="1:8" x14ac:dyDescent="0.25">
      <c r="A247" s="18">
        <f>Prices!A247</f>
        <v>46311</v>
      </c>
      <c r="B247" s="11">
        <f>STDEV(Daily!B228:B247)*SQRT(Inputs!$B$16)</f>
        <v>0.16078298800571325</v>
      </c>
      <c r="C247" s="11">
        <f>STDEV(Daily!C228:C247)*SQRT(Inputs!$B$16)</f>
        <v>0.17577217170869844</v>
      </c>
      <c r="D247" s="11">
        <f>STDEV(Daily!D228:D247)*SQRT(Inputs!$B$16)</f>
        <v>0.17667639071884403</v>
      </c>
      <c r="E247" s="11">
        <f>STDEV(Daily!E228:E247)*SQRT(Inputs!$B$16)</f>
        <v>0.14326824059952922</v>
      </c>
      <c r="F247" s="11">
        <f>STDEV(Daily!F228:F247)*SQRT(Inputs!$B$16)</f>
        <v>0.29250711912970778</v>
      </c>
      <c r="G247" s="11">
        <f>STDEV(Daily!G228:G247)*SQRT(Inputs!$B$16)</f>
        <v>0.20862876338896502</v>
      </c>
      <c r="H247" s="11">
        <f>STDEV(Daily!H228:H247)*SQRT(Inputs!$B$16)</f>
        <v>0.21916608920735506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23"/>
  <sheetViews>
    <sheetView zoomScaleNormal="100" workbookViewId="0">
      <pane ySplit="1" topLeftCell="A1004" activePane="bottomLeft" state="frozen"/>
      <selection pane="bottomLeft" activeCell="J1043" sqref="J1043"/>
    </sheetView>
  </sheetViews>
  <sheetFormatPr defaultColWidth="8.7109375" defaultRowHeight="15" x14ac:dyDescent="0.25"/>
  <cols>
    <col min="1" max="1" width="17.85546875" customWidth="1"/>
    <col min="2" max="2" width="14" customWidth="1"/>
    <col min="3" max="6" width="12" customWidth="1"/>
  </cols>
  <sheetData>
    <row r="1" spans="1:8" x14ac:dyDescent="0.25">
      <c r="A1" s="16" t="s">
        <v>71</v>
      </c>
      <c r="B1" s="16" t="s">
        <v>60</v>
      </c>
      <c r="C1" s="16" t="s">
        <v>72</v>
      </c>
      <c r="D1" s="16" t="s">
        <v>73</v>
      </c>
      <c r="E1" s="16" t="s">
        <v>74</v>
      </c>
      <c r="F1" s="16" t="s">
        <v>75</v>
      </c>
      <c r="H1" t="s">
        <v>80</v>
      </c>
    </row>
    <row r="2" spans="1:8" x14ac:dyDescent="0.25">
      <c r="A2" s="1" t="s">
        <v>61</v>
      </c>
      <c r="B2" s="1">
        <v>45950</v>
      </c>
      <c r="C2" s="1">
        <v>25824.6</v>
      </c>
      <c r="D2" s="1">
        <v>25926.2</v>
      </c>
      <c r="E2" s="1">
        <v>25788.5</v>
      </c>
      <c r="F2" s="1">
        <v>25843.15</v>
      </c>
    </row>
    <row r="3" spans="1:8" x14ac:dyDescent="0.25">
      <c r="A3" s="1" t="s">
        <v>61</v>
      </c>
      <c r="B3" s="1">
        <v>45951</v>
      </c>
      <c r="C3" s="1">
        <v>25901.200000000001</v>
      </c>
      <c r="D3" s="1">
        <v>25934.35</v>
      </c>
      <c r="E3" s="1">
        <v>25825.8</v>
      </c>
      <c r="F3" s="1">
        <v>25868.6</v>
      </c>
    </row>
    <row r="4" spans="1:8" x14ac:dyDescent="0.25">
      <c r="A4" s="1" t="s">
        <v>61</v>
      </c>
      <c r="B4" s="1">
        <v>45953</v>
      </c>
      <c r="C4" s="1">
        <v>26057.200000000001</v>
      </c>
      <c r="D4" s="1">
        <v>26104.2</v>
      </c>
      <c r="E4" s="1">
        <v>25862.45</v>
      </c>
      <c r="F4" s="1">
        <v>25891.4</v>
      </c>
    </row>
    <row r="5" spans="1:8" x14ac:dyDescent="0.25">
      <c r="A5" s="1" t="s">
        <v>61</v>
      </c>
      <c r="B5" s="1">
        <v>45954</v>
      </c>
      <c r="C5" s="1">
        <v>25935.1</v>
      </c>
      <c r="D5" s="1">
        <v>25944.15</v>
      </c>
      <c r="E5" s="1">
        <v>25718.2</v>
      </c>
      <c r="F5" s="1">
        <v>25795.15</v>
      </c>
    </row>
    <row r="6" spans="1:8" x14ac:dyDescent="0.25">
      <c r="A6" s="1" t="s">
        <v>61</v>
      </c>
      <c r="B6" s="1">
        <v>45957</v>
      </c>
      <c r="C6" s="1">
        <v>25843.200000000001</v>
      </c>
      <c r="D6" s="1">
        <v>26005.95</v>
      </c>
      <c r="E6" s="1">
        <v>25827</v>
      </c>
      <c r="F6" s="1">
        <v>25966.05</v>
      </c>
    </row>
    <row r="7" spans="1:8" x14ac:dyDescent="0.25">
      <c r="A7" s="1" t="s">
        <v>61</v>
      </c>
      <c r="B7" s="1">
        <v>45958</v>
      </c>
      <c r="C7" s="1">
        <v>25939.95</v>
      </c>
      <c r="D7" s="1">
        <v>26041.7</v>
      </c>
      <c r="E7" s="1">
        <v>25810.05</v>
      </c>
      <c r="F7" s="1">
        <v>25936.2</v>
      </c>
    </row>
    <row r="8" spans="1:8" x14ac:dyDescent="0.25">
      <c r="A8" s="1" t="s">
        <v>61</v>
      </c>
      <c r="B8" s="1">
        <v>45959</v>
      </c>
      <c r="C8" s="1">
        <v>25982</v>
      </c>
      <c r="D8" s="1">
        <v>26097.85</v>
      </c>
      <c r="E8" s="1">
        <v>25960.3</v>
      </c>
      <c r="F8" s="1">
        <v>26053.9</v>
      </c>
    </row>
    <row r="9" spans="1:8" x14ac:dyDescent="0.25">
      <c r="A9" s="1" t="s">
        <v>61</v>
      </c>
      <c r="B9" s="1">
        <v>45960</v>
      </c>
      <c r="C9" s="1">
        <v>25984.400000000001</v>
      </c>
      <c r="D9" s="1">
        <v>26032.05</v>
      </c>
      <c r="E9" s="1">
        <v>25845.25</v>
      </c>
      <c r="F9" s="1">
        <v>25877.85</v>
      </c>
    </row>
    <row r="10" spans="1:8" x14ac:dyDescent="0.25">
      <c r="A10" s="1" t="s">
        <v>61</v>
      </c>
      <c r="B10" s="1">
        <v>45961</v>
      </c>
      <c r="C10" s="1">
        <v>25863.8</v>
      </c>
      <c r="D10" s="1">
        <v>25953.75</v>
      </c>
      <c r="E10" s="1">
        <v>25711.200000000001</v>
      </c>
      <c r="F10" s="1">
        <v>25722.1</v>
      </c>
    </row>
    <row r="11" spans="1:8" x14ac:dyDescent="0.25">
      <c r="A11" s="1" t="s">
        <v>61</v>
      </c>
      <c r="B11" s="1">
        <v>45964</v>
      </c>
      <c r="C11" s="1">
        <v>25696.85</v>
      </c>
      <c r="D11" s="1">
        <v>25803.1</v>
      </c>
      <c r="E11" s="1">
        <v>25645.5</v>
      </c>
      <c r="F11" s="1">
        <v>25763.35</v>
      </c>
    </row>
    <row r="12" spans="1:8" x14ac:dyDescent="0.25">
      <c r="A12" s="1" t="s">
        <v>61</v>
      </c>
      <c r="B12" s="1">
        <v>45965</v>
      </c>
      <c r="C12" s="1">
        <v>25744.75</v>
      </c>
      <c r="D12" s="1">
        <v>25787.4</v>
      </c>
      <c r="E12" s="1">
        <v>25578.400000000001</v>
      </c>
      <c r="F12" s="1">
        <v>25597.65</v>
      </c>
    </row>
    <row r="13" spans="1:8" x14ac:dyDescent="0.25">
      <c r="A13" s="1" t="s">
        <v>61</v>
      </c>
      <c r="B13" s="1">
        <v>45967</v>
      </c>
      <c r="C13" s="1">
        <v>25593.35</v>
      </c>
      <c r="D13" s="1">
        <v>25679.15</v>
      </c>
      <c r="E13" s="1">
        <v>25491.55</v>
      </c>
      <c r="F13" s="1">
        <v>25509.7</v>
      </c>
    </row>
    <row r="14" spans="1:8" x14ac:dyDescent="0.25">
      <c r="A14" s="1" t="s">
        <v>61</v>
      </c>
      <c r="B14" s="1">
        <v>45968</v>
      </c>
      <c r="C14" s="1">
        <v>25433.8</v>
      </c>
      <c r="D14" s="1">
        <v>25551.25</v>
      </c>
      <c r="E14" s="1">
        <v>25318.45</v>
      </c>
      <c r="F14" s="1">
        <v>25492.3</v>
      </c>
    </row>
    <row r="15" spans="1:8" x14ac:dyDescent="0.25">
      <c r="A15" s="1" t="s">
        <v>61</v>
      </c>
      <c r="B15" s="1">
        <v>45971</v>
      </c>
      <c r="C15" s="1">
        <v>25503.5</v>
      </c>
      <c r="D15" s="1">
        <v>25653.45</v>
      </c>
      <c r="E15" s="1">
        <v>25503.5</v>
      </c>
      <c r="F15" s="1">
        <v>25574.35</v>
      </c>
    </row>
    <row r="16" spans="1:8" x14ac:dyDescent="0.25">
      <c r="A16" s="1" t="s">
        <v>61</v>
      </c>
      <c r="B16" s="1">
        <v>45972</v>
      </c>
      <c r="C16" s="1">
        <v>25617</v>
      </c>
      <c r="D16" s="1">
        <v>25715.8</v>
      </c>
      <c r="E16" s="1">
        <v>25449.25</v>
      </c>
      <c r="F16" s="1">
        <v>25694.95</v>
      </c>
    </row>
    <row r="17" spans="1:6" x14ac:dyDescent="0.25">
      <c r="A17" s="1" t="s">
        <v>61</v>
      </c>
      <c r="B17" s="1">
        <v>45973</v>
      </c>
      <c r="C17" s="1">
        <v>25834.3</v>
      </c>
      <c r="D17" s="1">
        <v>25934.55</v>
      </c>
      <c r="E17" s="1">
        <v>25781.15</v>
      </c>
      <c r="F17" s="1">
        <v>25875.8</v>
      </c>
    </row>
    <row r="18" spans="1:6" x14ac:dyDescent="0.25">
      <c r="A18" s="1" t="s">
        <v>61</v>
      </c>
      <c r="B18" s="1">
        <v>45974</v>
      </c>
      <c r="C18" s="1">
        <v>25906.1</v>
      </c>
      <c r="D18" s="1">
        <v>26010.7</v>
      </c>
      <c r="E18" s="1">
        <v>25808.400000000001</v>
      </c>
      <c r="F18" s="1">
        <v>25879.15</v>
      </c>
    </row>
    <row r="19" spans="1:6" x14ac:dyDescent="0.25">
      <c r="A19" s="1" t="s">
        <v>61</v>
      </c>
      <c r="B19" s="1">
        <v>45975</v>
      </c>
      <c r="C19" s="1">
        <v>25767.9</v>
      </c>
      <c r="D19" s="1">
        <v>25940.2</v>
      </c>
      <c r="E19" s="1">
        <v>25740.799999999999</v>
      </c>
      <c r="F19" s="1">
        <v>25910.05</v>
      </c>
    </row>
    <row r="20" spans="1:6" x14ac:dyDescent="0.25">
      <c r="A20" s="1" t="s">
        <v>61</v>
      </c>
      <c r="B20" s="1">
        <v>45978</v>
      </c>
      <c r="C20" s="1">
        <v>25948.2</v>
      </c>
      <c r="D20" s="1">
        <v>26024.2</v>
      </c>
      <c r="E20" s="1">
        <v>25906.35</v>
      </c>
      <c r="F20" s="1">
        <v>26013.45</v>
      </c>
    </row>
    <row r="21" spans="1:6" x14ac:dyDescent="0.25">
      <c r="A21" s="1" t="s">
        <v>61</v>
      </c>
      <c r="B21" s="1">
        <v>45979</v>
      </c>
      <c r="C21" s="1">
        <v>26021.8</v>
      </c>
      <c r="D21" s="1">
        <v>26029.85</v>
      </c>
      <c r="E21" s="1">
        <v>25876.5</v>
      </c>
      <c r="F21" s="1">
        <v>25910.05</v>
      </c>
    </row>
    <row r="22" spans="1:6" x14ac:dyDescent="0.25">
      <c r="A22" s="1" t="s">
        <v>61</v>
      </c>
      <c r="B22" s="1">
        <v>45980</v>
      </c>
      <c r="C22" s="1">
        <v>25918.1</v>
      </c>
      <c r="D22" s="1">
        <v>26074.65</v>
      </c>
      <c r="E22" s="1">
        <v>25856.2</v>
      </c>
      <c r="F22" s="1">
        <v>26052.65</v>
      </c>
    </row>
    <row r="23" spans="1:6" x14ac:dyDescent="0.25">
      <c r="A23" s="1" t="s">
        <v>61</v>
      </c>
      <c r="B23" s="1">
        <v>45981</v>
      </c>
      <c r="C23" s="1">
        <v>26132.1</v>
      </c>
      <c r="D23" s="1">
        <v>26246.65</v>
      </c>
      <c r="E23" s="1">
        <v>26063.200000000001</v>
      </c>
      <c r="F23" s="1">
        <v>26192.15</v>
      </c>
    </row>
    <row r="24" spans="1:6" x14ac:dyDescent="0.25">
      <c r="A24" s="1" t="s">
        <v>61</v>
      </c>
      <c r="B24" s="1">
        <v>45982</v>
      </c>
      <c r="C24" s="1">
        <v>26109.55</v>
      </c>
      <c r="D24" s="1">
        <v>26179.200000000001</v>
      </c>
      <c r="E24" s="1">
        <v>26052.2</v>
      </c>
      <c r="F24" s="1">
        <v>26068.15</v>
      </c>
    </row>
    <row r="25" spans="1:6" x14ac:dyDescent="0.25">
      <c r="A25" s="1" t="s">
        <v>61</v>
      </c>
      <c r="B25" s="1">
        <v>45985</v>
      </c>
      <c r="C25" s="1">
        <v>26122.799999999999</v>
      </c>
      <c r="D25" s="1">
        <v>26142.799999999999</v>
      </c>
      <c r="E25" s="1">
        <v>25912.15</v>
      </c>
      <c r="F25" s="1">
        <v>25959.5</v>
      </c>
    </row>
    <row r="26" spans="1:6" x14ac:dyDescent="0.25">
      <c r="A26" s="1" t="s">
        <v>61</v>
      </c>
      <c r="B26" s="1">
        <v>45986</v>
      </c>
      <c r="C26" s="1">
        <v>25998.5</v>
      </c>
      <c r="D26" s="1">
        <v>26032.6</v>
      </c>
      <c r="E26" s="1">
        <v>25857.5</v>
      </c>
      <c r="F26" s="1">
        <v>25884.799999999999</v>
      </c>
    </row>
    <row r="27" spans="1:6" x14ac:dyDescent="0.25">
      <c r="A27" s="1" t="s">
        <v>61</v>
      </c>
      <c r="B27" s="1">
        <v>45987</v>
      </c>
      <c r="C27" s="1">
        <v>25842.95</v>
      </c>
      <c r="D27" s="1">
        <v>26215.15</v>
      </c>
      <c r="E27" s="1">
        <v>25842.95</v>
      </c>
      <c r="F27" s="1">
        <v>26205.3</v>
      </c>
    </row>
    <row r="28" spans="1:6" x14ac:dyDescent="0.25">
      <c r="A28" s="1" t="s">
        <v>61</v>
      </c>
      <c r="B28" s="1">
        <v>45988</v>
      </c>
      <c r="C28" s="1">
        <v>26261.25</v>
      </c>
      <c r="D28" s="1">
        <v>26310.45</v>
      </c>
      <c r="E28" s="1">
        <v>26141.9</v>
      </c>
      <c r="F28" s="1">
        <v>26215.55</v>
      </c>
    </row>
    <row r="29" spans="1:6" x14ac:dyDescent="0.25">
      <c r="A29" s="1" t="s">
        <v>61</v>
      </c>
      <c r="B29" s="1">
        <v>45989</v>
      </c>
      <c r="C29" s="1">
        <v>26237.45</v>
      </c>
      <c r="D29" s="1">
        <v>26280.75</v>
      </c>
      <c r="E29" s="1">
        <v>26172.400000000001</v>
      </c>
      <c r="F29" s="1">
        <v>26202.95</v>
      </c>
    </row>
    <row r="30" spans="1:6" x14ac:dyDescent="0.25">
      <c r="A30" s="1" t="s">
        <v>61</v>
      </c>
      <c r="B30" s="1">
        <v>45992</v>
      </c>
      <c r="C30" s="1">
        <v>26325.8</v>
      </c>
      <c r="D30" s="1">
        <v>26325.8</v>
      </c>
      <c r="E30" s="1">
        <v>26124.2</v>
      </c>
      <c r="F30" s="1">
        <v>26175.75</v>
      </c>
    </row>
    <row r="31" spans="1:6" x14ac:dyDescent="0.25">
      <c r="A31" s="1" t="s">
        <v>61</v>
      </c>
      <c r="B31" s="1">
        <v>45993</v>
      </c>
      <c r="C31" s="1">
        <v>26087.95</v>
      </c>
      <c r="D31" s="1">
        <v>26154.6</v>
      </c>
      <c r="E31" s="1">
        <v>25997.85</v>
      </c>
      <c r="F31" s="1">
        <v>26032.2</v>
      </c>
    </row>
    <row r="32" spans="1:6" x14ac:dyDescent="0.25">
      <c r="A32" s="1" t="s">
        <v>61</v>
      </c>
      <c r="B32" s="1">
        <v>45994</v>
      </c>
      <c r="C32" s="1">
        <v>26004.9</v>
      </c>
      <c r="D32" s="1">
        <v>26066.45</v>
      </c>
      <c r="E32" s="1">
        <v>25891</v>
      </c>
      <c r="F32" s="1">
        <v>25986</v>
      </c>
    </row>
    <row r="33" spans="1:6" x14ac:dyDescent="0.25">
      <c r="A33" s="1" t="s">
        <v>61</v>
      </c>
      <c r="B33" s="1">
        <v>45995</v>
      </c>
      <c r="C33" s="1">
        <v>25981.85</v>
      </c>
      <c r="D33" s="1">
        <v>26098.25</v>
      </c>
      <c r="E33" s="1">
        <v>25938.95</v>
      </c>
      <c r="F33" s="1">
        <v>26033.75</v>
      </c>
    </row>
    <row r="34" spans="1:6" x14ac:dyDescent="0.25">
      <c r="A34" s="1" t="s">
        <v>61</v>
      </c>
      <c r="B34" s="1">
        <v>45996</v>
      </c>
      <c r="C34" s="1">
        <v>25999.8</v>
      </c>
      <c r="D34" s="1">
        <v>26202.6</v>
      </c>
      <c r="E34" s="1">
        <v>25985.35</v>
      </c>
      <c r="F34" s="1">
        <v>26186.45</v>
      </c>
    </row>
    <row r="35" spans="1:6" x14ac:dyDescent="0.25">
      <c r="A35" s="1" t="s">
        <v>61</v>
      </c>
      <c r="B35" s="1">
        <v>45999</v>
      </c>
      <c r="C35" s="1">
        <v>26159.8</v>
      </c>
      <c r="D35" s="1">
        <v>26178.7</v>
      </c>
      <c r="E35" s="1">
        <v>25892.25</v>
      </c>
      <c r="F35" s="1">
        <v>25960.55</v>
      </c>
    </row>
    <row r="36" spans="1:6" x14ac:dyDescent="0.25">
      <c r="A36" s="1" t="s">
        <v>61</v>
      </c>
      <c r="B36" s="1">
        <v>46000</v>
      </c>
      <c r="C36" s="1">
        <v>25867.1</v>
      </c>
      <c r="D36" s="1">
        <v>25923.65</v>
      </c>
      <c r="E36" s="1">
        <v>25728</v>
      </c>
      <c r="F36" s="1">
        <v>25839.65</v>
      </c>
    </row>
    <row r="37" spans="1:6" x14ac:dyDescent="0.25">
      <c r="A37" s="1" t="s">
        <v>61</v>
      </c>
      <c r="B37" s="1">
        <v>46001</v>
      </c>
      <c r="C37" s="1">
        <v>25864.05</v>
      </c>
      <c r="D37" s="1">
        <v>25947.65</v>
      </c>
      <c r="E37" s="1">
        <v>25734.55</v>
      </c>
      <c r="F37" s="1">
        <v>25758</v>
      </c>
    </row>
    <row r="38" spans="1:6" x14ac:dyDescent="0.25">
      <c r="A38" s="1" t="s">
        <v>61</v>
      </c>
      <c r="B38" s="1">
        <v>46002</v>
      </c>
      <c r="C38" s="1">
        <v>25771.4</v>
      </c>
      <c r="D38" s="1">
        <v>25922.799999999999</v>
      </c>
      <c r="E38" s="1">
        <v>25693.25</v>
      </c>
      <c r="F38" s="1">
        <v>25898.55</v>
      </c>
    </row>
    <row r="39" spans="1:6" x14ac:dyDescent="0.25">
      <c r="A39" s="1" t="s">
        <v>61</v>
      </c>
      <c r="B39" s="1">
        <v>46003</v>
      </c>
      <c r="C39" s="1">
        <v>25971.200000000001</v>
      </c>
      <c r="D39" s="1">
        <v>26057.599999999999</v>
      </c>
      <c r="E39" s="1">
        <v>25938.45</v>
      </c>
      <c r="F39" s="1">
        <v>26046.95</v>
      </c>
    </row>
    <row r="40" spans="1:6" x14ac:dyDescent="0.25">
      <c r="A40" s="1" t="s">
        <v>61</v>
      </c>
      <c r="B40" s="1">
        <v>46006</v>
      </c>
      <c r="C40" s="1">
        <v>25930.05</v>
      </c>
      <c r="D40" s="1">
        <v>26047.15</v>
      </c>
      <c r="E40" s="1">
        <v>25904.75</v>
      </c>
      <c r="F40" s="1">
        <v>26027.3</v>
      </c>
    </row>
    <row r="41" spans="1:6" x14ac:dyDescent="0.25">
      <c r="A41" s="1" t="s">
        <v>61</v>
      </c>
      <c r="B41" s="1">
        <v>46007</v>
      </c>
      <c r="C41" s="1">
        <v>25951.5</v>
      </c>
      <c r="D41" s="1">
        <v>25980.75</v>
      </c>
      <c r="E41" s="1">
        <v>25834.35</v>
      </c>
      <c r="F41" s="1">
        <v>25860.1</v>
      </c>
    </row>
    <row r="42" spans="1:6" x14ac:dyDescent="0.25">
      <c r="A42" s="1" t="s">
        <v>61</v>
      </c>
      <c r="B42" s="1">
        <v>46008</v>
      </c>
      <c r="C42" s="1">
        <v>25902.400000000001</v>
      </c>
      <c r="D42" s="1">
        <v>25929.15</v>
      </c>
      <c r="E42" s="1">
        <v>25770.35</v>
      </c>
      <c r="F42" s="1">
        <v>25818.55</v>
      </c>
    </row>
    <row r="43" spans="1:6" x14ac:dyDescent="0.25">
      <c r="A43" s="1" t="s">
        <v>61</v>
      </c>
      <c r="B43" s="1">
        <v>46009</v>
      </c>
      <c r="C43" s="1">
        <v>25764.7</v>
      </c>
      <c r="D43" s="1">
        <v>25902.35</v>
      </c>
      <c r="E43" s="1">
        <v>25726.3</v>
      </c>
      <c r="F43" s="1">
        <v>25815.55</v>
      </c>
    </row>
    <row r="44" spans="1:6" x14ac:dyDescent="0.25">
      <c r="A44" s="1" t="s">
        <v>61</v>
      </c>
      <c r="B44" s="1">
        <v>46010</v>
      </c>
      <c r="C44" s="1">
        <v>25911.5</v>
      </c>
      <c r="D44" s="1">
        <v>25993.35</v>
      </c>
      <c r="E44" s="1">
        <v>25880.45</v>
      </c>
      <c r="F44" s="1">
        <v>25966.400000000001</v>
      </c>
    </row>
    <row r="45" spans="1:6" x14ac:dyDescent="0.25">
      <c r="A45" s="1" t="s">
        <v>61</v>
      </c>
      <c r="B45" s="1">
        <v>46013</v>
      </c>
      <c r="C45" s="1">
        <v>26055.85</v>
      </c>
      <c r="D45" s="1">
        <v>26180.7</v>
      </c>
      <c r="E45" s="1">
        <v>26047.8</v>
      </c>
      <c r="F45" s="1">
        <v>26172.400000000001</v>
      </c>
    </row>
    <row r="46" spans="1:6" x14ac:dyDescent="0.25">
      <c r="A46" s="1" t="s">
        <v>61</v>
      </c>
      <c r="B46" s="1">
        <v>46014</v>
      </c>
      <c r="C46" s="1">
        <v>26205.200000000001</v>
      </c>
      <c r="D46" s="1">
        <v>26233.55</v>
      </c>
      <c r="E46" s="1">
        <v>26119.05</v>
      </c>
      <c r="F46" s="1">
        <v>26177.15</v>
      </c>
    </row>
    <row r="47" spans="1:6" x14ac:dyDescent="0.25">
      <c r="A47" s="1" t="s">
        <v>61</v>
      </c>
      <c r="B47" s="1">
        <v>46015</v>
      </c>
      <c r="C47" s="1">
        <v>26170.65</v>
      </c>
      <c r="D47" s="1">
        <v>26236.400000000001</v>
      </c>
      <c r="E47" s="1">
        <v>26123</v>
      </c>
      <c r="F47" s="1">
        <v>26142.1</v>
      </c>
    </row>
    <row r="48" spans="1:6" x14ac:dyDescent="0.25">
      <c r="A48" s="1" t="s">
        <v>61</v>
      </c>
      <c r="B48" s="1">
        <v>46017</v>
      </c>
      <c r="C48" s="1">
        <v>26121.25</v>
      </c>
      <c r="D48" s="1">
        <v>26144.2</v>
      </c>
      <c r="E48" s="1">
        <v>26008.6</v>
      </c>
      <c r="F48" s="1">
        <v>26042.3</v>
      </c>
    </row>
    <row r="49" spans="1:6" x14ac:dyDescent="0.25">
      <c r="A49" s="1" t="s">
        <v>61</v>
      </c>
      <c r="B49" s="1">
        <v>46020</v>
      </c>
      <c r="C49" s="1">
        <v>26063.35</v>
      </c>
      <c r="D49" s="1">
        <v>26106.799999999999</v>
      </c>
      <c r="E49" s="1">
        <v>25920.3</v>
      </c>
      <c r="F49" s="1">
        <v>25942.1</v>
      </c>
    </row>
    <row r="50" spans="1:6" x14ac:dyDescent="0.25">
      <c r="A50" s="1" t="s">
        <v>61</v>
      </c>
      <c r="B50" s="1">
        <v>46021</v>
      </c>
      <c r="C50" s="1">
        <v>25940.9</v>
      </c>
      <c r="D50" s="1">
        <v>25976.75</v>
      </c>
      <c r="E50" s="1">
        <v>25878</v>
      </c>
      <c r="F50" s="1">
        <v>25938.85</v>
      </c>
    </row>
    <row r="51" spans="1:6" x14ac:dyDescent="0.25">
      <c r="A51" s="1" t="s">
        <v>61</v>
      </c>
      <c r="B51" s="1">
        <v>46022</v>
      </c>
      <c r="C51" s="1">
        <v>25971.05</v>
      </c>
      <c r="D51" s="1">
        <v>26187.95</v>
      </c>
      <c r="E51" s="1">
        <v>25969</v>
      </c>
      <c r="F51" s="1">
        <v>26129.599999999999</v>
      </c>
    </row>
    <row r="52" spans="1:6" x14ac:dyDescent="0.25">
      <c r="A52" s="1" t="s">
        <v>61</v>
      </c>
      <c r="B52" s="1">
        <v>46023</v>
      </c>
      <c r="C52" s="1">
        <v>26173.3</v>
      </c>
      <c r="D52" s="1">
        <v>26197.55</v>
      </c>
      <c r="E52" s="1">
        <v>26113.4</v>
      </c>
      <c r="F52" s="1">
        <v>26146.55</v>
      </c>
    </row>
    <row r="53" spans="1:6" x14ac:dyDescent="0.25">
      <c r="A53" s="1" t="s">
        <v>61</v>
      </c>
      <c r="B53" s="1">
        <v>46024</v>
      </c>
      <c r="C53" s="1">
        <v>26155.1</v>
      </c>
      <c r="D53" s="1">
        <v>26340</v>
      </c>
      <c r="E53" s="1">
        <v>26118.400000000001</v>
      </c>
      <c r="F53" s="1">
        <v>26328.55</v>
      </c>
    </row>
    <row r="54" spans="1:6" x14ac:dyDescent="0.25">
      <c r="A54" s="1" t="s">
        <v>61</v>
      </c>
      <c r="B54" s="1">
        <v>46027</v>
      </c>
      <c r="C54" s="1">
        <v>26333.7</v>
      </c>
      <c r="D54" s="1">
        <v>26373.200000000001</v>
      </c>
      <c r="E54" s="1">
        <v>26210.05</v>
      </c>
      <c r="F54" s="1">
        <v>26250.3</v>
      </c>
    </row>
    <row r="55" spans="1:6" x14ac:dyDescent="0.25">
      <c r="A55" s="1" t="s">
        <v>61</v>
      </c>
      <c r="B55" s="1">
        <v>46028</v>
      </c>
      <c r="C55" s="1">
        <v>26189.7</v>
      </c>
      <c r="D55" s="1">
        <v>26273.95</v>
      </c>
      <c r="E55" s="1">
        <v>26124.75</v>
      </c>
      <c r="F55" s="1">
        <v>26178.7</v>
      </c>
    </row>
    <row r="56" spans="1:6" x14ac:dyDescent="0.25">
      <c r="A56" s="1" t="s">
        <v>61</v>
      </c>
      <c r="B56" s="1">
        <v>46029</v>
      </c>
      <c r="C56" s="1">
        <v>26143.1</v>
      </c>
      <c r="D56" s="1">
        <v>26187.15</v>
      </c>
      <c r="E56" s="1">
        <v>26067.9</v>
      </c>
      <c r="F56" s="1">
        <v>26140.75</v>
      </c>
    </row>
    <row r="57" spans="1:6" x14ac:dyDescent="0.25">
      <c r="A57" s="1" t="s">
        <v>61</v>
      </c>
      <c r="B57" s="1">
        <v>46030</v>
      </c>
      <c r="C57" s="1">
        <v>26106.5</v>
      </c>
      <c r="D57" s="1">
        <v>26133.200000000001</v>
      </c>
      <c r="E57" s="1">
        <v>25858.45</v>
      </c>
      <c r="F57" s="1">
        <v>25876.85</v>
      </c>
    </row>
    <row r="58" spans="1:6" x14ac:dyDescent="0.25">
      <c r="A58" s="1" t="s">
        <v>61</v>
      </c>
      <c r="B58" s="1">
        <v>46031</v>
      </c>
      <c r="C58" s="1">
        <v>25840.400000000001</v>
      </c>
      <c r="D58" s="1">
        <v>25940.6</v>
      </c>
      <c r="E58" s="1">
        <v>25623</v>
      </c>
      <c r="F58" s="1">
        <v>25683.3</v>
      </c>
    </row>
    <row r="59" spans="1:6" x14ac:dyDescent="0.25">
      <c r="A59" s="1" t="s">
        <v>61</v>
      </c>
      <c r="B59" s="1">
        <v>46034</v>
      </c>
      <c r="C59" s="1">
        <v>25669.05</v>
      </c>
      <c r="D59" s="1">
        <v>25813.15</v>
      </c>
      <c r="E59" s="1">
        <v>25473.4</v>
      </c>
      <c r="F59" s="1">
        <v>25790.25</v>
      </c>
    </row>
    <row r="60" spans="1:6" x14ac:dyDescent="0.25">
      <c r="A60" s="1" t="s">
        <v>61</v>
      </c>
      <c r="B60" s="1">
        <v>46035</v>
      </c>
      <c r="C60" s="1">
        <v>25897.35</v>
      </c>
      <c r="D60" s="1">
        <v>25899.8</v>
      </c>
      <c r="E60" s="1">
        <v>25603.3</v>
      </c>
      <c r="F60" s="1">
        <v>25732.3</v>
      </c>
    </row>
    <row r="61" spans="1:6" x14ac:dyDescent="0.25">
      <c r="A61" s="1" t="s">
        <v>61</v>
      </c>
      <c r="B61" s="1">
        <v>46036</v>
      </c>
      <c r="C61" s="1">
        <v>25648.55</v>
      </c>
      <c r="D61" s="1">
        <v>25791.75</v>
      </c>
      <c r="E61" s="1">
        <v>25603.95</v>
      </c>
      <c r="F61" s="1">
        <v>25665.599999999999</v>
      </c>
    </row>
    <row r="62" spans="1:6" x14ac:dyDescent="0.25">
      <c r="A62" s="1" t="s">
        <v>61</v>
      </c>
      <c r="B62" s="1">
        <v>46038</v>
      </c>
      <c r="C62" s="1">
        <v>25696.05</v>
      </c>
      <c r="D62" s="1">
        <v>25873.5</v>
      </c>
      <c r="E62" s="1">
        <v>25662.400000000001</v>
      </c>
      <c r="F62" s="1">
        <v>25694.35</v>
      </c>
    </row>
    <row r="63" spans="1:6" x14ac:dyDescent="0.25">
      <c r="A63" s="1" t="s">
        <v>61</v>
      </c>
      <c r="B63" s="1">
        <v>46041</v>
      </c>
      <c r="C63" s="1">
        <v>25653.1</v>
      </c>
      <c r="D63" s="1">
        <v>25653.3</v>
      </c>
      <c r="E63" s="1">
        <v>25494.35</v>
      </c>
      <c r="F63" s="1">
        <v>25585.5</v>
      </c>
    </row>
    <row r="64" spans="1:6" x14ac:dyDescent="0.25">
      <c r="A64" s="1" t="s">
        <v>61</v>
      </c>
      <c r="B64" s="1">
        <v>46042</v>
      </c>
      <c r="C64" s="1">
        <v>25580.3</v>
      </c>
      <c r="D64" s="1">
        <v>25585</v>
      </c>
      <c r="E64" s="1">
        <v>25171.35</v>
      </c>
      <c r="F64" s="1">
        <v>25232.5</v>
      </c>
    </row>
    <row r="65" spans="1:6" x14ac:dyDescent="0.25">
      <c r="A65" s="1" t="s">
        <v>61</v>
      </c>
      <c r="B65" s="1">
        <v>46043</v>
      </c>
      <c r="C65" s="1">
        <v>25141</v>
      </c>
      <c r="D65" s="1">
        <v>25300.95</v>
      </c>
      <c r="E65" s="1">
        <v>24919.8</v>
      </c>
      <c r="F65" s="1">
        <v>25157.5</v>
      </c>
    </row>
    <row r="66" spans="1:6" x14ac:dyDescent="0.25">
      <c r="A66" s="1" t="s">
        <v>61</v>
      </c>
      <c r="B66" s="1">
        <v>46044</v>
      </c>
      <c r="C66" s="1">
        <v>25344.15</v>
      </c>
      <c r="D66" s="1">
        <v>25435.75</v>
      </c>
      <c r="E66" s="1">
        <v>25168.5</v>
      </c>
      <c r="F66" s="1">
        <v>25289.9</v>
      </c>
    </row>
    <row r="67" spans="1:6" x14ac:dyDescent="0.25">
      <c r="A67" s="1" t="s">
        <v>61</v>
      </c>
      <c r="B67" s="1">
        <v>46045</v>
      </c>
      <c r="C67" s="1">
        <v>25344.6</v>
      </c>
      <c r="D67" s="1">
        <v>25347.95</v>
      </c>
      <c r="E67" s="1">
        <v>25025.3</v>
      </c>
      <c r="F67" s="1">
        <v>25048.65</v>
      </c>
    </row>
    <row r="68" spans="1:6" x14ac:dyDescent="0.25">
      <c r="A68" s="1" t="s">
        <v>61</v>
      </c>
      <c r="B68" s="1">
        <v>46049</v>
      </c>
      <c r="C68" s="1">
        <v>25063.35</v>
      </c>
      <c r="D68" s="1">
        <v>25246.65</v>
      </c>
      <c r="E68" s="1">
        <v>24932.55</v>
      </c>
      <c r="F68" s="1">
        <v>25175.4</v>
      </c>
    </row>
    <row r="69" spans="1:6" x14ac:dyDescent="0.25">
      <c r="A69" s="1" t="s">
        <v>61</v>
      </c>
      <c r="B69" s="1">
        <v>46050</v>
      </c>
      <c r="C69" s="1">
        <v>25258.85</v>
      </c>
      <c r="D69" s="1">
        <v>25372.1</v>
      </c>
      <c r="E69" s="1">
        <v>25187.65</v>
      </c>
      <c r="F69" s="1">
        <v>25342.75</v>
      </c>
    </row>
    <row r="70" spans="1:6" x14ac:dyDescent="0.25">
      <c r="A70" s="1" t="s">
        <v>61</v>
      </c>
      <c r="B70" s="1">
        <v>46051</v>
      </c>
      <c r="C70" s="1">
        <v>25345</v>
      </c>
      <c r="D70" s="1">
        <v>25458.15</v>
      </c>
      <c r="E70" s="1">
        <v>25159.8</v>
      </c>
      <c r="F70" s="1">
        <v>25418.9</v>
      </c>
    </row>
    <row r="71" spans="1:6" x14ac:dyDescent="0.25">
      <c r="A71" s="1" t="s">
        <v>61</v>
      </c>
      <c r="B71" s="1">
        <v>46052</v>
      </c>
      <c r="C71" s="1">
        <v>25247.55</v>
      </c>
      <c r="D71" s="1">
        <v>25370.7</v>
      </c>
      <c r="E71" s="1">
        <v>25213.65</v>
      </c>
      <c r="F71" s="1">
        <v>25320.65</v>
      </c>
    </row>
    <row r="72" spans="1:6" x14ac:dyDescent="0.25">
      <c r="A72" s="1" t="s">
        <v>61</v>
      </c>
      <c r="B72" s="1">
        <v>46054</v>
      </c>
      <c r="C72" s="1">
        <v>25333.75</v>
      </c>
      <c r="D72" s="1">
        <v>25440.9</v>
      </c>
      <c r="E72" s="1">
        <v>24571.75</v>
      </c>
      <c r="F72" s="1">
        <v>24825.45</v>
      </c>
    </row>
    <row r="73" spans="1:6" x14ac:dyDescent="0.25">
      <c r="A73" s="1" t="s">
        <v>61</v>
      </c>
      <c r="B73" s="1">
        <v>46055</v>
      </c>
      <c r="C73" s="1">
        <v>24796.5</v>
      </c>
      <c r="D73" s="1">
        <v>25108.1</v>
      </c>
      <c r="E73" s="1">
        <v>24679.4</v>
      </c>
      <c r="F73" s="1">
        <v>25088.400000000001</v>
      </c>
    </row>
    <row r="74" spans="1:6" x14ac:dyDescent="0.25">
      <c r="A74" s="1" t="s">
        <v>61</v>
      </c>
      <c r="B74" s="1">
        <v>46056</v>
      </c>
      <c r="C74" s="1">
        <v>26308.05</v>
      </c>
      <c r="D74" s="1">
        <v>26341.200000000001</v>
      </c>
      <c r="E74" s="1">
        <v>25641.3</v>
      </c>
      <c r="F74" s="1">
        <v>25727.55</v>
      </c>
    </row>
    <row r="75" spans="1:6" x14ac:dyDescent="0.25">
      <c r="A75" s="1" t="s">
        <v>61</v>
      </c>
      <c r="B75" s="1">
        <v>46057</v>
      </c>
      <c r="C75" s="1">
        <v>25675.05</v>
      </c>
      <c r="D75" s="1">
        <v>25818.55</v>
      </c>
      <c r="E75" s="1">
        <v>25563.95</v>
      </c>
      <c r="F75" s="1">
        <v>25776</v>
      </c>
    </row>
    <row r="76" spans="1:6" x14ac:dyDescent="0.25">
      <c r="A76" s="1" t="s">
        <v>61</v>
      </c>
      <c r="B76" s="1">
        <v>46058</v>
      </c>
      <c r="C76" s="1">
        <v>25755.9</v>
      </c>
      <c r="D76" s="1">
        <v>25757.65</v>
      </c>
      <c r="E76" s="1">
        <v>25579.5</v>
      </c>
      <c r="F76" s="1">
        <v>25642.799999999999</v>
      </c>
    </row>
    <row r="77" spans="1:6" x14ac:dyDescent="0.25">
      <c r="A77" s="1" t="s">
        <v>61</v>
      </c>
      <c r="B77" s="1">
        <v>46059</v>
      </c>
      <c r="C77" s="1">
        <v>25605.8</v>
      </c>
      <c r="D77" s="1">
        <v>25703.95</v>
      </c>
      <c r="E77" s="1">
        <v>25491.9</v>
      </c>
      <c r="F77" s="1">
        <v>25693.7</v>
      </c>
    </row>
    <row r="78" spans="1:6" x14ac:dyDescent="0.25">
      <c r="A78" s="1" t="s">
        <v>61</v>
      </c>
      <c r="B78" s="1">
        <v>46062</v>
      </c>
      <c r="C78" s="1">
        <v>25888.7</v>
      </c>
      <c r="D78" s="1">
        <v>25922.25</v>
      </c>
      <c r="E78" s="1">
        <v>25780.9</v>
      </c>
      <c r="F78" s="1">
        <v>25867.3</v>
      </c>
    </row>
    <row r="79" spans="1:6" x14ac:dyDescent="0.25">
      <c r="A79" s="1" t="s">
        <v>61</v>
      </c>
      <c r="B79" s="1">
        <v>46063</v>
      </c>
      <c r="C79" s="1">
        <v>25922.65</v>
      </c>
      <c r="D79" s="1">
        <v>25989.45</v>
      </c>
      <c r="E79" s="1">
        <v>25870.45</v>
      </c>
      <c r="F79" s="1">
        <v>25935.15</v>
      </c>
    </row>
    <row r="80" spans="1:6" x14ac:dyDescent="0.25">
      <c r="A80" s="1" t="s">
        <v>61</v>
      </c>
      <c r="B80" s="1">
        <v>46064</v>
      </c>
      <c r="C80" s="1">
        <v>25997.45</v>
      </c>
      <c r="D80" s="1">
        <v>26009.4</v>
      </c>
      <c r="E80" s="1">
        <v>25899.8</v>
      </c>
      <c r="F80" s="1">
        <v>25953.85</v>
      </c>
    </row>
    <row r="81" spans="1:6" x14ac:dyDescent="0.25">
      <c r="A81" s="1" t="s">
        <v>61</v>
      </c>
      <c r="B81" s="1">
        <v>46065</v>
      </c>
      <c r="C81" s="1">
        <v>25906.7</v>
      </c>
      <c r="D81" s="1">
        <v>25906.7</v>
      </c>
      <c r="E81" s="1">
        <v>25752.400000000001</v>
      </c>
      <c r="F81" s="1">
        <v>25807.200000000001</v>
      </c>
    </row>
    <row r="82" spans="1:6" x14ac:dyDescent="0.25">
      <c r="A82" s="1" t="s">
        <v>61</v>
      </c>
      <c r="B82" s="1">
        <v>46066</v>
      </c>
      <c r="C82" s="1">
        <v>25571.15</v>
      </c>
      <c r="D82" s="1">
        <v>25630.35</v>
      </c>
      <c r="E82" s="1">
        <v>25444.3</v>
      </c>
      <c r="F82" s="1">
        <v>25471.1</v>
      </c>
    </row>
    <row r="83" spans="1:6" x14ac:dyDescent="0.25">
      <c r="A83" s="1" t="s">
        <v>61</v>
      </c>
      <c r="B83" s="1">
        <v>46069</v>
      </c>
      <c r="C83" s="1">
        <v>25423.599999999999</v>
      </c>
      <c r="D83" s="1">
        <v>25697</v>
      </c>
      <c r="E83" s="1">
        <v>25372.7</v>
      </c>
      <c r="F83" s="1">
        <v>25682.75</v>
      </c>
    </row>
    <row r="84" spans="1:6" x14ac:dyDescent="0.25">
      <c r="A84" s="1" t="s">
        <v>61</v>
      </c>
      <c r="B84" s="1">
        <v>46070</v>
      </c>
      <c r="C84" s="1">
        <v>25637.95</v>
      </c>
      <c r="D84" s="1">
        <v>25764.400000000001</v>
      </c>
      <c r="E84" s="1">
        <v>25570.3</v>
      </c>
      <c r="F84" s="1">
        <v>25725.4</v>
      </c>
    </row>
    <row r="85" spans="1:6" x14ac:dyDescent="0.25">
      <c r="A85" s="1" t="s">
        <v>61</v>
      </c>
      <c r="B85" s="1">
        <v>46071</v>
      </c>
      <c r="C85" s="1">
        <v>25752.65</v>
      </c>
      <c r="D85" s="1">
        <v>25828.05</v>
      </c>
      <c r="E85" s="1">
        <v>25645.15</v>
      </c>
      <c r="F85" s="1">
        <v>25819.35</v>
      </c>
    </row>
    <row r="86" spans="1:6" x14ac:dyDescent="0.25">
      <c r="A86" s="1" t="s">
        <v>61</v>
      </c>
      <c r="B86" s="1">
        <v>46072</v>
      </c>
      <c r="C86" s="1">
        <v>25873.35</v>
      </c>
      <c r="D86" s="1">
        <v>25885.3</v>
      </c>
      <c r="E86" s="1">
        <v>25388.75</v>
      </c>
      <c r="F86" s="1">
        <v>25454.35</v>
      </c>
    </row>
    <row r="87" spans="1:6" x14ac:dyDescent="0.25">
      <c r="A87" s="1" t="s">
        <v>61</v>
      </c>
      <c r="B87" s="1">
        <v>46073</v>
      </c>
      <c r="C87" s="1">
        <v>25406.55</v>
      </c>
      <c r="D87" s="1">
        <v>25663.55</v>
      </c>
      <c r="E87" s="1">
        <v>25379.75</v>
      </c>
      <c r="F87" s="1">
        <v>25571.25</v>
      </c>
    </row>
    <row r="88" spans="1:6" x14ac:dyDescent="0.25">
      <c r="A88" s="1" t="s">
        <v>61</v>
      </c>
      <c r="B88" s="1">
        <v>46076</v>
      </c>
      <c r="C88" s="1">
        <v>25678.400000000001</v>
      </c>
      <c r="D88" s="1">
        <v>25771.45</v>
      </c>
      <c r="E88" s="1">
        <v>25609.35</v>
      </c>
      <c r="F88" s="1">
        <v>25713</v>
      </c>
    </row>
    <row r="89" spans="1:6" x14ac:dyDescent="0.25">
      <c r="A89" s="1" t="s">
        <v>61</v>
      </c>
      <c r="B89" s="1">
        <v>46077</v>
      </c>
      <c r="C89" s="1">
        <v>25641.8</v>
      </c>
      <c r="D89" s="1">
        <v>25641.8</v>
      </c>
      <c r="E89" s="1">
        <v>25327.599999999999</v>
      </c>
      <c r="F89" s="1">
        <v>25424.65</v>
      </c>
    </row>
    <row r="90" spans="1:6" x14ac:dyDescent="0.25">
      <c r="A90" s="1" t="s">
        <v>61</v>
      </c>
      <c r="B90" s="1">
        <v>46078</v>
      </c>
      <c r="C90" s="1">
        <v>25512.6</v>
      </c>
      <c r="D90" s="1">
        <v>25652.6</v>
      </c>
      <c r="E90" s="1">
        <v>25428.2</v>
      </c>
      <c r="F90" s="1">
        <v>25482.5</v>
      </c>
    </row>
    <row r="91" spans="1:6" x14ac:dyDescent="0.25">
      <c r="A91" s="1" t="s">
        <v>61</v>
      </c>
      <c r="B91" s="1">
        <v>46079</v>
      </c>
      <c r="C91" s="1">
        <v>25556.3</v>
      </c>
      <c r="D91" s="1">
        <v>25572.95</v>
      </c>
      <c r="E91" s="1">
        <v>25400.95</v>
      </c>
      <c r="F91" s="1">
        <v>25496.55</v>
      </c>
    </row>
    <row r="92" spans="1:6" x14ac:dyDescent="0.25">
      <c r="A92" s="1" t="s">
        <v>61</v>
      </c>
      <c r="B92" s="1">
        <v>46080</v>
      </c>
      <c r="C92" s="1">
        <v>25459.85</v>
      </c>
      <c r="D92" s="1">
        <v>25476.400000000001</v>
      </c>
      <c r="E92" s="1">
        <v>25141.3</v>
      </c>
      <c r="F92" s="1">
        <v>25178.65</v>
      </c>
    </row>
    <row r="93" spans="1:6" x14ac:dyDescent="0.25">
      <c r="A93" s="1" t="s">
        <v>61</v>
      </c>
      <c r="B93" s="1">
        <v>46083</v>
      </c>
      <c r="C93" s="1">
        <v>24659.25</v>
      </c>
      <c r="D93" s="1">
        <v>24989.35</v>
      </c>
      <c r="E93" s="1">
        <v>24603.5</v>
      </c>
      <c r="F93" s="1">
        <v>24865.7</v>
      </c>
    </row>
    <row r="94" spans="1:6" x14ac:dyDescent="0.25">
      <c r="A94" s="1" t="s">
        <v>61</v>
      </c>
      <c r="B94" s="1">
        <v>46085</v>
      </c>
      <c r="C94" s="1">
        <v>24388.799999999999</v>
      </c>
      <c r="D94" s="1">
        <v>24602.45</v>
      </c>
      <c r="E94" s="1">
        <v>24305.4</v>
      </c>
      <c r="F94" s="1">
        <v>24480.5</v>
      </c>
    </row>
    <row r="95" spans="1:6" x14ac:dyDescent="0.25">
      <c r="A95" s="1" t="s">
        <v>61</v>
      </c>
      <c r="B95" s="1">
        <v>46086</v>
      </c>
      <c r="C95" s="1">
        <v>24615.95</v>
      </c>
      <c r="D95" s="1">
        <v>24854.2</v>
      </c>
      <c r="E95" s="1">
        <v>24529.4</v>
      </c>
      <c r="F95" s="1">
        <v>24765.9</v>
      </c>
    </row>
    <row r="96" spans="1:6" x14ac:dyDescent="0.25">
      <c r="A96" s="1" t="s">
        <v>61</v>
      </c>
      <c r="B96" s="1">
        <v>46087</v>
      </c>
      <c r="C96" s="1">
        <v>24656.400000000001</v>
      </c>
      <c r="D96" s="1">
        <v>24700.799999999999</v>
      </c>
      <c r="E96" s="1">
        <v>24415.75</v>
      </c>
      <c r="F96" s="1">
        <v>24450.45</v>
      </c>
    </row>
    <row r="97" spans="1:6" x14ac:dyDescent="0.25">
      <c r="A97" s="1" t="s">
        <v>61</v>
      </c>
      <c r="B97" s="1">
        <v>46090</v>
      </c>
      <c r="C97" s="1">
        <v>23868.05</v>
      </c>
      <c r="D97" s="1">
        <v>24078.15</v>
      </c>
      <c r="E97" s="1">
        <v>23697.8</v>
      </c>
      <c r="F97" s="1">
        <v>24028.05</v>
      </c>
    </row>
    <row r="98" spans="1:6" x14ac:dyDescent="0.25">
      <c r="A98" s="1" t="s">
        <v>61</v>
      </c>
      <c r="B98" s="1">
        <v>46091</v>
      </c>
      <c r="C98" s="1">
        <v>24280.799999999999</v>
      </c>
      <c r="D98" s="1">
        <v>24303.8</v>
      </c>
      <c r="E98" s="1">
        <v>24079.95</v>
      </c>
      <c r="F98" s="1">
        <v>24261.599999999999</v>
      </c>
    </row>
    <row r="99" spans="1:6" x14ac:dyDescent="0.25">
      <c r="A99" s="1" t="s">
        <v>61</v>
      </c>
      <c r="B99" s="1">
        <v>46092</v>
      </c>
      <c r="C99" s="1">
        <v>24231.85</v>
      </c>
      <c r="D99" s="1">
        <v>24299</v>
      </c>
      <c r="E99" s="1">
        <v>23834.3</v>
      </c>
      <c r="F99" s="1">
        <v>23866.85</v>
      </c>
    </row>
    <row r="100" spans="1:6" x14ac:dyDescent="0.25">
      <c r="A100" s="1" t="s">
        <v>61</v>
      </c>
      <c r="B100" s="1">
        <v>46093</v>
      </c>
      <c r="C100" s="1">
        <v>23674.85</v>
      </c>
      <c r="D100" s="1">
        <v>23833.15</v>
      </c>
      <c r="E100" s="1">
        <v>23556.3</v>
      </c>
      <c r="F100" s="1">
        <v>23639.15</v>
      </c>
    </row>
    <row r="101" spans="1:6" x14ac:dyDescent="0.25">
      <c r="A101" s="1" t="s">
        <v>61</v>
      </c>
      <c r="B101" s="1">
        <v>46094</v>
      </c>
      <c r="C101" s="1">
        <v>23462.5</v>
      </c>
      <c r="D101" s="1">
        <v>23492.400000000001</v>
      </c>
      <c r="E101" s="1">
        <v>23112</v>
      </c>
      <c r="F101" s="1">
        <v>23151.1</v>
      </c>
    </row>
    <row r="102" spans="1:6" x14ac:dyDescent="0.25">
      <c r="A102" s="1" t="s">
        <v>61</v>
      </c>
      <c r="B102" s="1">
        <v>46097</v>
      </c>
      <c r="C102" s="1">
        <v>23116.1</v>
      </c>
      <c r="D102" s="1">
        <v>23502</v>
      </c>
      <c r="E102" s="1">
        <v>22955.25</v>
      </c>
      <c r="F102" s="1">
        <v>23408.799999999999</v>
      </c>
    </row>
    <row r="103" spans="1:6" x14ac:dyDescent="0.25">
      <c r="A103" s="1" t="s">
        <v>61</v>
      </c>
      <c r="B103" s="1">
        <v>46098</v>
      </c>
      <c r="C103" s="1">
        <v>23493.200000000001</v>
      </c>
      <c r="D103" s="1">
        <v>23656.799999999999</v>
      </c>
      <c r="E103" s="1">
        <v>23346.6</v>
      </c>
      <c r="F103" s="1">
        <v>23581.15</v>
      </c>
    </row>
    <row r="104" spans="1:6" x14ac:dyDescent="0.25">
      <c r="A104" s="1" t="s">
        <v>61</v>
      </c>
      <c r="B104" s="1">
        <v>46099</v>
      </c>
      <c r="C104" s="1">
        <v>23632.9</v>
      </c>
      <c r="D104" s="1">
        <v>23862.25</v>
      </c>
      <c r="E104" s="1">
        <v>23618.45</v>
      </c>
      <c r="F104" s="1">
        <v>23777.8</v>
      </c>
    </row>
    <row r="105" spans="1:6" x14ac:dyDescent="0.25">
      <c r="A105" s="1" t="s">
        <v>61</v>
      </c>
      <c r="B105" s="1">
        <v>46100</v>
      </c>
      <c r="C105" s="1">
        <v>23197.75</v>
      </c>
      <c r="D105" s="1">
        <v>23378.7</v>
      </c>
      <c r="E105" s="1">
        <v>22930.35</v>
      </c>
      <c r="F105" s="1">
        <v>23002.15</v>
      </c>
    </row>
    <row r="106" spans="1:6" x14ac:dyDescent="0.25">
      <c r="A106" s="1" t="s">
        <v>61</v>
      </c>
      <c r="B106" s="1">
        <v>46101</v>
      </c>
      <c r="C106" s="1">
        <v>23110.15</v>
      </c>
      <c r="D106" s="1">
        <v>23345.15</v>
      </c>
      <c r="E106" s="1">
        <v>23067.599999999999</v>
      </c>
      <c r="F106" s="1">
        <v>23114.5</v>
      </c>
    </row>
    <row r="107" spans="1:6" x14ac:dyDescent="0.25">
      <c r="A107" s="1" t="s">
        <v>61</v>
      </c>
      <c r="B107" s="1">
        <v>46104</v>
      </c>
      <c r="C107" s="1">
        <v>22824.35</v>
      </c>
      <c r="D107" s="1">
        <v>22851.7</v>
      </c>
      <c r="E107" s="1">
        <v>22471.25</v>
      </c>
      <c r="F107" s="1">
        <v>22512.65</v>
      </c>
    </row>
    <row r="108" spans="1:6" x14ac:dyDescent="0.25">
      <c r="A108" s="1" t="s">
        <v>61</v>
      </c>
      <c r="B108" s="1">
        <v>46105</v>
      </c>
      <c r="C108" s="1">
        <v>22878.45</v>
      </c>
      <c r="D108" s="1">
        <v>23057.3</v>
      </c>
      <c r="E108" s="1">
        <v>22624.2</v>
      </c>
      <c r="F108" s="1">
        <v>22912.400000000001</v>
      </c>
    </row>
    <row r="109" spans="1:6" x14ac:dyDescent="0.25">
      <c r="A109" s="1" t="s">
        <v>61</v>
      </c>
      <c r="B109" s="1">
        <v>46106</v>
      </c>
      <c r="C109" s="1">
        <v>23064.400000000001</v>
      </c>
      <c r="D109" s="1">
        <v>23465.35</v>
      </c>
      <c r="E109" s="1">
        <v>23063.200000000001</v>
      </c>
      <c r="F109" s="1">
        <v>23306.45</v>
      </c>
    </row>
    <row r="110" spans="1:6" x14ac:dyDescent="0.25">
      <c r="A110" s="1" t="s">
        <v>61</v>
      </c>
      <c r="B110" s="1">
        <v>46108</v>
      </c>
      <c r="C110" s="1">
        <v>23173.55</v>
      </c>
      <c r="D110" s="1">
        <v>23186.1</v>
      </c>
      <c r="E110" s="1">
        <v>22804.55</v>
      </c>
      <c r="F110" s="1">
        <v>22819.599999999999</v>
      </c>
    </row>
    <row r="111" spans="1:6" x14ac:dyDescent="0.25">
      <c r="A111" s="1" t="s">
        <v>61</v>
      </c>
      <c r="B111" s="1">
        <v>46111</v>
      </c>
      <c r="C111" s="1">
        <v>22549.65</v>
      </c>
      <c r="D111" s="1">
        <v>22714.1</v>
      </c>
      <c r="E111" s="1">
        <v>22283.85</v>
      </c>
      <c r="F111" s="1">
        <v>22331.4</v>
      </c>
    </row>
    <row r="112" spans="1:6" x14ac:dyDescent="0.25">
      <c r="A112" s="1" t="s">
        <v>61</v>
      </c>
      <c r="B112" s="1">
        <v>46113</v>
      </c>
      <c r="C112" s="1">
        <v>22899</v>
      </c>
      <c r="D112" s="1">
        <v>22941.3</v>
      </c>
      <c r="E112" s="1">
        <v>22618.6</v>
      </c>
      <c r="F112" s="1">
        <v>22679.4</v>
      </c>
    </row>
    <row r="113" spans="1:6" x14ac:dyDescent="0.25">
      <c r="A113" s="1" t="s">
        <v>61</v>
      </c>
      <c r="B113" s="1">
        <v>46114</v>
      </c>
      <c r="C113" s="1">
        <v>22383.4</v>
      </c>
      <c r="D113" s="1">
        <v>22782.3</v>
      </c>
      <c r="E113" s="1">
        <v>22182.55</v>
      </c>
      <c r="F113" s="1">
        <v>22713.1</v>
      </c>
    </row>
    <row r="114" spans="1:6" x14ac:dyDescent="0.25">
      <c r="A114" s="1" t="s">
        <v>61</v>
      </c>
      <c r="B114" s="1">
        <v>46118</v>
      </c>
      <c r="C114" s="1">
        <v>22780.3</v>
      </c>
      <c r="D114" s="1">
        <v>22998.35</v>
      </c>
      <c r="E114" s="1">
        <v>22542.95</v>
      </c>
      <c r="F114" s="1">
        <v>22968.25</v>
      </c>
    </row>
    <row r="115" spans="1:6" x14ac:dyDescent="0.25">
      <c r="A115" s="1" t="s">
        <v>61</v>
      </c>
      <c r="B115" s="1">
        <v>46119</v>
      </c>
      <c r="C115" s="1">
        <v>22838.7</v>
      </c>
      <c r="D115" s="1">
        <v>23153.85</v>
      </c>
      <c r="E115" s="1">
        <v>22719.3</v>
      </c>
      <c r="F115" s="1">
        <v>23123.65</v>
      </c>
    </row>
    <row r="116" spans="1:6" x14ac:dyDescent="0.25">
      <c r="A116" s="1" t="s">
        <v>61</v>
      </c>
      <c r="B116" s="1">
        <v>46120</v>
      </c>
      <c r="C116" s="1">
        <v>23855.15</v>
      </c>
      <c r="D116" s="1">
        <v>24025.15</v>
      </c>
      <c r="E116" s="1">
        <v>23828.5</v>
      </c>
      <c r="F116" s="1">
        <v>23997.35</v>
      </c>
    </row>
    <row r="117" spans="1:6" x14ac:dyDescent="0.25">
      <c r="A117" s="1" t="s">
        <v>61</v>
      </c>
      <c r="B117" s="1">
        <v>46121</v>
      </c>
      <c r="C117" s="1">
        <v>23909.05</v>
      </c>
      <c r="D117" s="1">
        <v>23990.75</v>
      </c>
      <c r="E117" s="1">
        <v>23682.799999999999</v>
      </c>
      <c r="F117" s="1">
        <v>23775.1</v>
      </c>
    </row>
    <row r="118" spans="1:6" x14ac:dyDescent="0.25">
      <c r="A118" s="1" t="s">
        <v>61</v>
      </c>
      <c r="B118" s="1">
        <v>46122</v>
      </c>
      <c r="C118" s="1">
        <v>23880.55</v>
      </c>
      <c r="D118" s="1">
        <v>24074.05</v>
      </c>
      <c r="E118" s="1">
        <v>23856.35</v>
      </c>
      <c r="F118" s="1">
        <v>24050.6</v>
      </c>
    </row>
    <row r="119" spans="1:6" x14ac:dyDescent="0.25">
      <c r="A119" s="1" t="s">
        <v>61</v>
      </c>
      <c r="B119" s="1">
        <v>46125</v>
      </c>
      <c r="C119" s="1">
        <v>23589.599999999999</v>
      </c>
      <c r="D119" s="1">
        <v>23907.4</v>
      </c>
      <c r="E119" s="1">
        <v>23555.599999999999</v>
      </c>
      <c r="F119" s="1">
        <v>23842.65</v>
      </c>
    </row>
    <row r="120" spans="1:6" x14ac:dyDescent="0.25">
      <c r="A120" s="1" t="s">
        <v>61</v>
      </c>
      <c r="B120" s="1">
        <v>46127</v>
      </c>
      <c r="C120" s="1">
        <v>24163.8</v>
      </c>
      <c r="D120" s="1">
        <v>24280.9</v>
      </c>
      <c r="E120" s="1">
        <v>24145.8</v>
      </c>
      <c r="F120" s="1">
        <v>24231.3</v>
      </c>
    </row>
    <row r="121" spans="1:6" x14ac:dyDescent="0.25">
      <c r="A121" s="1" t="s">
        <v>61</v>
      </c>
      <c r="B121" s="1">
        <v>46128</v>
      </c>
      <c r="C121" s="1">
        <v>24385.200000000001</v>
      </c>
      <c r="D121" s="1">
        <v>24400.95</v>
      </c>
      <c r="E121" s="1">
        <v>24102.799999999999</v>
      </c>
      <c r="F121" s="1">
        <v>24196.75</v>
      </c>
    </row>
    <row r="122" spans="1:6" x14ac:dyDescent="0.25">
      <c r="A122" s="1" t="s">
        <v>61</v>
      </c>
      <c r="B122" s="1">
        <v>46129</v>
      </c>
      <c r="C122" s="1">
        <v>24165.9</v>
      </c>
      <c r="D122" s="1">
        <v>24371.9</v>
      </c>
      <c r="E122" s="1">
        <v>24096.05</v>
      </c>
      <c r="F122" s="1">
        <v>24353.55</v>
      </c>
    </row>
    <row r="123" spans="1:6" x14ac:dyDescent="0.25">
      <c r="A123" s="1" t="s">
        <v>61</v>
      </c>
      <c r="B123" s="1">
        <v>46132</v>
      </c>
      <c r="C123" s="1">
        <v>24391.5</v>
      </c>
      <c r="D123" s="1">
        <v>24480.65</v>
      </c>
      <c r="E123" s="1">
        <v>24241.25</v>
      </c>
      <c r="F123" s="1">
        <v>24364.85</v>
      </c>
    </row>
    <row r="124" spans="1:6" x14ac:dyDescent="0.25">
      <c r="A124" s="1" t="s">
        <v>61</v>
      </c>
      <c r="B124" s="1">
        <v>46133</v>
      </c>
      <c r="C124" s="1">
        <v>24374.55</v>
      </c>
      <c r="D124" s="1">
        <v>24601.7</v>
      </c>
      <c r="E124" s="1">
        <v>24354.9</v>
      </c>
      <c r="F124" s="1">
        <v>24576.6</v>
      </c>
    </row>
    <row r="125" spans="1:6" x14ac:dyDescent="0.25">
      <c r="A125" s="1" t="s">
        <v>61</v>
      </c>
      <c r="B125" s="1">
        <v>46134</v>
      </c>
      <c r="C125" s="1">
        <v>24470.85</v>
      </c>
      <c r="D125" s="1">
        <v>24515.95</v>
      </c>
      <c r="E125" s="1">
        <v>24352.9</v>
      </c>
      <c r="F125" s="1">
        <v>24378.1</v>
      </c>
    </row>
    <row r="126" spans="1:6" x14ac:dyDescent="0.25">
      <c r="A126" s="1" t="s">
        <v>61</v>
      </c>
      <c r="B126" s="1">
        <v>46135</v>
      </c>
      <c r="C126" s="1">
        <v>24202.35</v>
      </c>
      <c r="D126" s="1">
        <v>24310.2</v>
      </c>
      <c r="E126" s="1">
        <v>24134.799999999999</v>
      </c>
      <c r="F126" s="1">
        <v>24173.05</v>
      </c>
    </row>
    <row r="127" spans="1:6" x14ac:dyDescent="0.25">
      <c r="A127" s="1" t="s">
        <v>61</v>
      </c>
      <c r="B127" s="1">
        <v>46136</v>
      </c>
      <c r="C127" s="1">
        <v>24100.55</v>
      </c>
      <c r="D127" s="1">
        <v>24206</v>
      </c>
      <c r="E127" s="1">
        <v>23813.65</v>
      </c>
      <c r="F127" s="1">
        <v>23897.95</v>
      </c>
    </row>
    <row r="128" spans="1:6" x14ac:dyDescent="0.25">
      <c r="A128" s="1" t="s">
        <v>61</v>
      </c>
      <c r="B128" s="1">
        <v>46139</v>
      </c>
      <c r="C128" s="1">
        <v>23945.45</v>
      </c>
      <c r="D128" s="1">
        <v>24130.7</v>
      </c>
      <c r="E128" s="1">
        <v>23936.2</v>
      </c>
      <c r="F128" s="1">
        <v>24092.7</v>
      </c>
    </row>
    <row r="129" spans="1:6" x14ac:dyDescent="0.25">
      <c r="A129" s="1" t="s">
        <v>61</v>
      </c>
      <c r="B129" s="1">
        <v>46140</v>
      </c>
      <c r="C129" s="1">
        <v>24049.9</v>
      </c>
      <c r="D129" s="1">
        <v>24181.8</v>
      </c>
      <c r="E129" s="1">
        <v>23957.05</v>
      </c>
      <c r="F129" s="1">
        <v>23995.7</v>
      </c>
    </row>
    <row r="130" spans="1:6" x14ac:dyDescent="0.25">
      <c r="A130" s="1" t="s">
        <v>61</v>
      </c>
      <c r="B130" s="1">
        <v>46141</v>
      </c>
      <c r="C130" s="1">
        <v>24096.9</v>
      </c>
      <c r="D130" s="1">
        <v>24334.7</v>
      </c>
      <c r="E130" s="1">
        <v>24059.95</v>
      </c>
      <c r="F130" s="1">
        <v>24177.65</v>
      </c>
    </row>
    <row r="131" spans="1:6" x14ac:dyDescent="0.25">
      <c r="A131" s="1" t="s">
        <v>61</v>
      </c>
      <c r="B131" s="1">
        <v>46142</v>
      </c>
      <c r="C131" s="1">
        <v>23996.95</v>
      </c>
      <c r="D131" s="1">
        <v>24087.45</v>
      </c>
      <c r="E131" s="1">
        <v>23796.85</v>
      </c>
      <c r="F131" s="1">
        <v>23997.55</v>
      </c>
    </row>
    <row r="132" spans="1:6" x14ac:dyDescent="0.25">
      <c r="A132" s="1" t="s">
        <v>61</v>
      </c>
      <c r="B132" s="1">
        <v>46146</v>
      </c>
      <c r="C132" s="1">
        <v>24063.55</v>
      </c>
      <c r="D132" s="1">
        <v>24290.2</v>
      </c>
      <c r="E132" s="1">
        <v>24004.75</v>
      </c>
      <c r="F132" s="1">
        <v>24119.3</v>
      </c>
    </row>
    <row r="133" spans="1:6" x14ac:dyDescent="0.25">
      <c r="A133" s="1" t="s">
        <v>61</v>
      </c>
      <c r="B133" s="1">
        <v>46147</v>
      </c>
      <c r="C133" s="1">
        <v>24052.6</v>
      </c>
      <c r="D133" s="1">
        <v>24081.7</v>
      </c>
      <c r="E133" s="1">
        <v>23882.05</v>
      </c>
      <c r="F133" s="1">
        <v>24032.799999999999</v>
      </c>
    </row>
    <row r="134" spans="1:6" x14ac:dyDescent="0.25">
      <c r="A134" s="1" t="s">
        <v>61</v>
      </c>
      <c r="B134" s="1">
        <v>46148</v>
      </c>
      <c r="C134" s="1">
        <v>24171</v>
      </c>
      <c r="D134" s="1">
        <v>24356.5</v>
      </c>
      <c r="E134" s="1">
        <v>23997.9</v>
      </c>
      <c r="F134" s="1">
        <v>24330.95</v>
      </c>
    </row>
    <row r="135" spans="1:6" x14ac:dyDescent="0.25">
      <c r="A135" s="1" t="s">
        <v>61</v>
      </c>
      <c r="B135" s="1">
        <v>46149</v>
      </c>
      <c r="C135" s="1">
        <v>24398.5</v>
      </c>
      <c r="D135" s="1">
        <v>24482.1</v>
      </c>
      <c r="E135" s="1">
        <v>24284</v>
      </c>
      <c r="F135" s="1">
        <v>24326.65</v>
      </c>
    </row>
    <row r="136" spans="1:6" x14ac:dyDescent="0.25">
      <c r="A136" s="1" t="s">
        <v>61</v>
      </c>
      <c r="B136" s="1">
        <v>46150</v>
      </c>
      <c r="C136" s="1">
        <v>24233.65</v>
      </c>
      <c r="D136" s="1">
        <v>24253.8</v>
      </c>
      <c r="E136" s="1">
        <v>24126.65</v>
      </c>
      <c r="F136" s="1">
        <v>24176.15</v>
      </c>
    </row>
    <row r="137" spans="1:6" x14ac:dyDescent="0.25">
      <c r="A137" s="1" t="s">
        <v>61</v>
      </c>
      <c r="B137" s="1">
        <v>46153</v>
      </c>
      <c r="C137" s="1">
        <v>23970.1</v>
      </c>
      <c r="D137" s="1">
        <v>23997.45</v>
      </c>
      <c r="E137" s="1">
        <v>23799.1</v>
      </c>
      <c r="F137" s="1">
        <v>23815.85</v>
      </c>
    </row>
    <row r="138" spans="1:6" x14ac:dyDescent="0.25">
      <c r="A138" s="1" t="s">
        <v>61</v>
      </c>
      <c r="B138" s="1">
        <v>46154</v>
      </c>
      <c r="C138" s="1">
        <v>23722.6</v>
      </c>
      <c r="D138" s="1">
        <v>23757.55</v>
      </c>
      <c r="E138" s="1">
        <v>23348.400000000001</v>
      </c>
      <c r="F138" s="1">
        <v>23379.55</v>
      </c>
    </row>
    <row r="139" spans="1:6" x14ac:dyDescent="0.25">
      <c r="A139" s="1" t="s">
        <v>61</v>
      </c>
      <c r="B139" s="1">
        <v>46155</v>
      </c>
      <c r="C139" s="1">
        <v>23362.45</v>
      </c>
      <c r="D139" s="1">
        <v>23582.95</v>
      </c>
      <c r="E139" s="1">
        <v>23262.55</v>
      </c>
      <c r="F139" s="1">
        <v>23412.6</v>
      </c>
    </row>
    <row r="140" spans="1:6" x14ac:dyDescent="0.25">
      <c r="A140" s="1" t="s">
        <v>61</v>
      </c>
      <c r="B140" s="1">
        <v>46156</v>
      </c>
      <c r="C140" s="1">
        <v>23530.25</v>
      </c>
      <c r="D140" s="1">
        <v>23777.200000000001</v>
      </c>
      <c r="E140" s="1">
        <v>23426.55</v>
      </c>
      <c r="F140" s="1">
        <v>23689.599999999999</v>
      </c>
    </row>
    <row r="141" spans="1:6" x14ac:dyDescent="0.25">
      <c r="A141" s="1" t="s">
        <v>61</v>
      </c>
      <c r="B141" s="1">
        <v>46157</v>
      </c>
      <c r="C141" s="1">
        <v>23731.4</v>
      </c>
      <c r="D141" s="1">
        <v>23839.3</v>
      </c>
      <c r="E141" s="1">
        <v>23610.3</v>
      </c>
      <c r="F141" s="1">
        <v>23643.5</v>
      </c>
    </row>
    <row r="142" spans="1:6" x14ac:dyDescent="0.25">
      <c r="A142" s="1" t="s">
        <v>61</v>
      </c>
      <c r="B142" s="1">
        <v>46160</v>
      </c>
      <c r="C142" s="1">
        <v>23482.2</v>
      </c>
      <c r="D142" s="1">
        <v>23695.65</v>
      </c>
      <c r="E142" s="1">
        <v>23317.1</v>
      </c>
      <c r="F142" s="1">
        <v>23649.95</v>
      </c>
    </row>
    <row r="143" spans="1:6" x14ac:dyDescent="0.25">
      <c r="A143" s="1" t="s">
        <v>61</v>
      </c>
      <c r="B143" s="1">
        <v>46161</v>
      </c>
      <c r="C143" s="1">
        <v>23675.3</v>
      </c>
      <c r="D143" s="1">
        <v>23782.3</v>
      </c>
      <c r="E143" s="1">
        <v>23587.200000000001</v>
      </c>
      <c r="F143" s="1">
        <v>23618</v>
      </c>
    </row>
    <row r="144" spans="1:6" x14ac:dyDescent="0.25">
      <c r="A144" s="1" t="s">
        <v>61</v>
      </c>
      <c r="B144" s="1">
        <v>46162</v>
      </c>
      <c r="C144" s="1">
        <v>23457.25</v>
      </c>
      <c r="D144" s="1">
        <v>23690.9</v>
      </c>
      <c r="E144" s="1">
        <v>23397.3</v>
      </c>
      <c r="F144" s="1">
        <v>23659</v>
      </c>
    </row>
    <row r="145" spans="1:6" x14ac:dyDescent="0.25">
      <c r="A145" s="1" t="s">
        <v>61</v>
      </c>
      <c r="B145" s="1">
        <v>46163</v>
      </c>
      <c r="C145" s="1">
        <v>23830.05</v>
      </c>
      <c r="D145" s="1">
        <v>23859.9</v>
      </c>
      <c r="E145" s="1">
        <v>23596.6</v>
      </c>
      <c r="F145" s="1">
        <v>23654.7</v>
      </c>
    </row>
    <row r="146" spans="1:6" x14ac:dyDescent="0.25">
      <c r="A146" s="1" t="s">
        <v>61</v>
      </c>
      <c r="B146" s="1">
        <v>46164</v>
      </c>
      <c r="C146" s="1">
        <v>23671.200000000001</v>
      </c>
      <c r="D146" s="1">
        <v>23835.65</v>
      </c>
      <c r="E146" s="1">
        <v>23671</v>
      </c>
      <c r="F146" s="1">
        <v>23719.3</v>
      </c>
    </row>
    <row r="147" spans="1:6" x14ac:dyDescent="0.25">
      <c r="A147" s="1" t="s">
        <v>61</v>
      </c>
      <c r="B147" s="1">
        <v>46167</v>
      </c>
      <c r="C147" s="1">
        <v>23940.25</v>
      </c>
      <c r="D147" s="1">
        <v>24054.45</v>
      </c>
      <c r="E147" s="1">
        <v>23922.85</v>
      </c>
      <c r="F147" s="1">
        <v>24031.7</v>
      </c>
    </row>
    <row r="148" spans="1:6" x14ac:dyDescent="0.25">
      <c r="A148" s="1" t="s">
        <v>61</v>
      </c>
      <c r="B148" s="1">
        <v>46168</v>
      </c>
      <c r="C148" s="1">
        <v>24004.1</v>
      </c>
      <c r="D148" s="1">
        <v>24089.8</v>
      </c>
      <c r="E148" s="1">
        <v>23885.45</v>
      </c>
      <c r="F148" s="1">
        <v>23913.7</v>
      </c>
    </row>
    <row r="149" spans="1:6" x14ac:dyDescent="0.25">
      <c r="A149" s="1" t="s">
        <v>61</v>
      </c>
      <c r="B149" s="1">
        <v>46169</v>
      </c>
      <c r="C149" s="1">
        <v>23880.35</v>
      </c>
      <c r="D149" s="1">
        <v>23983.200000000001</v>
      </c>
      <c r="E149" s="1">
        <v>23858.25</v>
      </c>
      <c r="F149" s="1">
        <v>23907.15</v>
      </c>
    </row>
    <row r="150" spans="1:6" x14ac:dyDescent="0.25">
      <c r="A150" s="1" t="s">
        <v>61</v>
      </c>
      <c r="B150" s="1">
        <v>46171</v>
      </c>
      <c r="C150" s="1">
        <v>23902.15</v>
      </c>
      <c r="D150" s="1">
        <v>24002.799999999999</v>
      </c>
      <c r="E150" s="1">
        <v>23484.75</v>
      </c>
      <c r="F150" s="1">
        <v>23547.75</v>
      </c>
    </row>
    <row r="151" spans="1:6" x14ac:dyDescent="0.25">
      <c r="A151" s="1" t="s">
        <v>61</v>
      </c>
      <c r="B151" s="1">
        <v>46174</v>
      </c>
      <c r="C151" s="1">
        <v>23654.5</v>
      </c>
      <c r="D151" s="1">
        <v>23733.7</v>
      </c>
      <c r="E151" s="1">
        <v>23357.95</v>
      </c>
      <c r="F151" s="1">
        <v>23382.6</v>
      </c>
    </row>
    <row r="152" spans="1:6" x14ac:dyDescent="0.25">
      <c r="A152" s="1" t="s">
        <v>61</v>
      </c>
      <c r="B152" s="1">
        <v>46175</v>
      </c>
      <c r="C152" s="1">
        <v>23229.15</v>
      </c>
      <c r="D152" s="1">
        <v>23556.95</v>
      </c>
      <c r="E152" s="1">
        <v>23229.15</v>
      </c>
      <c r="F152" s="1">
        <v>23483.55</v>
      </c>
    </row>
    <row r="153" spans="1:6" x14ac:dyDescent="0.25">
      <c r="A153" s="1" t="s">
        <v>61</v>
      </c>
      <c r="B153" s="1">
        <v>46176</v>
      </c>
      <c r="C153" s="1">
        <v>23415.95</v>
      </c>
      <c r="D153" s="1">
        <v>23459.65</v>
      </c>
      <c r="E153" s="1">
        <v>23151.5</v>
      </c>
      <c r="F153" s="1">
        <v>23405.599999999999</v>
      </c>
    </row>
    <row r="154" spans="1:6" x14ac:dyDescent="0.25">
      <c r="A154" s="1" t="s">
        <v>61</v>
      </c>
      <c r="B154" s="1">
        <v>46177</v>
      </c>
      <c r="C154" s="1">
        <v>23282.45</v>
      </c>
      <c r="D154" s="1">
        <v>23465.3</v>
      </c>
      <c r="E154" s="1">
        <v>23247.3</v>
      </c>
      <c r="F154" s="1">
        <v>23416.55</v>
      </c>
    </row>
    <row r="155" spans="1:6" x14ac:dyDescent="0.25">
      <c r="A155" s="1" t="s">
        <v>61</v>
      </c>
      <c r="B155" s="1">
        <v>46178</v>
      </c>
      <c r="C155" s="1">
        <v>23478.95</v>
      </c>
      <c r="D155" s="1">
        <v>23516.35</v>
      </c>
      <c r="E155" s="1">
        <v>23282.65</v>
      </c>
      <c r="F155" s="1">
        <v>23366.7</v>
      </c>
    </row>
    <row r="156" spans="1:6" x14ac:dyDescent="0.25">
      <c r="A156" s="1" t="s">
        <v>61</v>
      </c>
      <c r="B156" s="1">
        <v>46181</v>
      </c>
      <c r="C156" s="1">
        <v>23080.7</v>
      </c>
      <c r="D156" s="1">
        <v>23267.3</v>
      </c>
      <c r="E156" s="1">
        <v>23070.15</v>
      </c>
      <c r="F156" s="1">
        <v>23123</v>
      </c>
    </row>
    <row r="157" spans="1:6" x14ac:dyDescent="0.25">
      <c r="A157" s="1" t="s">
        <v>61</v>
      </c>
      <c r="B157" s="1">
        <v>46182</v>
      </c>
      <c r="C157" s="1">
        <v>23259.05</v>
      </c>
      <c r="D157" s="1">
        <v>23279.4</v>
      </c>
      <c r="E157" s="1">
        <v>23104.45</v>
      </c>
      <c r="F157" s="1">
        <v>23242.1</v>
      </c>
    </row>
    <row r="158" spans="1:6" x14ac:dyDescent="0.25">
      <c r="A158" s="1" t="s">
        <v>61</v>
      </c>
      <c r="B158" s="1">
        <v>46183</v>
      </c>
      <c r="C158" s="1">
        <v>23233.95</v>
      </c>
      <c r="D158" s="1">
        <v>23425.35</v>
      </c>
      <c r="E158" s="1">
        <v>23184.6</v>
      </c>
      <c r="F158" s="1">
        <v>23214.95</v>
      </c>
    </row>
    <row r="159" spans="1:6" x14ac:dyDescent="0.25">
      <c r="A159" s="1" t="s">
        <v>61</v>
      </c>
      <c r="B159" s="1">
        <v>46184</v>
      </c>
      <c r="C159" s="1">
        <v>23104.400000000001</v>
      </c>
      <c r="D159" s="1">
        <v>23327.45</v>
      </c>
      <c r="E159" s="1">
        <v>23072.05</v>
      </c>
      <c r="F159" s="1">
        <v>23161.599999999999</v>
      </c>
    </row>
    <row r="160" spans="1:6" x14ac:dyDescent="0.25">
      <c r="A160" s="1" t="s">
        <v>61</v>
      </c>
      <c r="B160" s="1">
        <v>46185</v>
      </c>
      <c r="C160" s="1">
        <v>23412.55</v>
      </c>
      <c r="D160" s="1">
        <v>23645.35</v>
      </c>
      <c r="E160" s="1">
        <v>23313.9</v>
      </c>
      <c r="F160" s="1">
        <v>23622.9</v>
      </c>
    </row>
    <row r="161" spans="1:6" x14ac:dyDescent="0.25">
      <c r="A161" s="1" t="s">
        <v>61</v>
      </c>
      <c r="B161" s="1">
        <v>46188</v>
      </c>
      <c r="C161" s="1">
        <v>23984.85</v>
      </c>
      <c r="D161" s="1">
        <v>24011.4</v>
      </c>
      <c r="E161" s="1">
        <v>23817.8</v>
      </c>
      <c r="F161" s="1">
        <v>23853.9</v>
      </c>
    </row>
    <row r="162" spans="1:6" x14ac:dyDescent="0.25">
      <c r="A162" s="1" t="s">
        <v>61</v>
      </c>
      <c r="B162" s="1">
        <v>46189</v>
      </c>
      <c r="C162" s="1">
        <v>23923.9</v>
      </c>
      <c r="D162" s="1">
        <v>24002.6</v>
      </c>
      <c r="E162" s="1">
        <v>23888.2</v>
      </c>
      <c r="F162" s="1">
        <v>23989.15</v>
      </c>
    </row>
    <row r="163" spans="1:6" x14ac:dyDescent="0.25">
      <c r="A163" s="1" t="s">
        <v>61</v>
      </c>
      <c r="B163" s="1">
        <v>46190</v>
      </c>
      <c r="C163" s="1">
        <v>24044.5</v>
      </c>
      <c r="D163" s="1">
        <v>24108.2</v>
      </c>
      <c r="E163" s="1">
        <v>23969.7</v>
      </c>
      <c r="F163" s="1">
        <v>24085.7</v>
      </c>
    </row>
    <row r="164" spans="1:6" x14ac:dyDescent="0.25">
      <c r="A164" s="1" t="s">
        <v>61</v>
      </c>
      <c r="B164" s="1">
        <v>46191</v>
      </c>
      <c r="C164" s="1">
        <v>24073.8</v>
      </c>
      <c r="D164" s="1">
        <v>24189.25</v>
      </c>
      <c r="E164" s="1">
        <v>24036.95</v>
      </c>
      <c r="F164" s="1">
        <v>24168</v>
      </c>
    </row>
    <row r="165" spans="1:6" x14ac:dyDescent="0.25">
      <c r="A165" s="1" t="s">
        <v>61</v>
      </c>
      <c r="B165" s="1">
        <v>46192</v>
      </c>
      <c r="C165" s="1">
        <v>23991.200000000001</v>
      </c>
      <c r="D165" s="1">
        <v>24047.200000000001</v>
      </c>
      <c r="E165" s="1">
        <v>23901.9</v>
      </c>
      <c r="F165" s="1">
        <v>24013.1</v>
      </c>
    </row>
    <row r="166" spans="1:6" x14ac:dyDescent="0.25">
      <c r="A166" s="1" t="s">
        <v>61</v>
      </c>
      <c r="B166" s="1">
        <v>46195</v>
      </c>
      <c r="C166" s="1">
        <v>24106.6</v>
      </c>
      <c r="D166" s="1">
        <v>24168.05</v>
      </c>
      <c r="E166" s="1">
        <v>24073.15</v>
      </c>
      <c r="F166" s="1">
        <v>24102.9</v>
      </c>
    </row>
    <row r="167" spans="1:6" x14ac:dyDescent="0.25">
      <c r="A167" s="1" t="s">
        <v>61</v>
      </c>
      <c r="B167" s="1">
        <v>46196</v>
      </c>
      <c r="C167" s="1">
        <v>24071.3</v>
      </c>
      <c r="D167" s="1">
        <v>24135.5</v>
      </c>
      <c r="E167" s="1">
        <v>23784.95</v>
      </c>
      <c r="F167" s="1">
        <v>23824.1</v>
      </c>
    </row>
    <row r="168" spans="1:6" x14ac:dyDescent="0.25">
      <c r="A168" s="1" t="s">
        <v>61</v>
      </c>
      <c r="B168" s="1">
        <v>46197</v>
      </c>
      <c r="C168" s="1">
        <v>23795.8</v>
      </c>
      <c r="D168" s="1">
        <v>24090.05</v>
      </c>
      <c r="E168" s="1">
        <v>23789.25</v>
      </c>
      <c r="F168" s="1">
        <v>24021.65</v>
      </c>
    </row>
    <row r="169" spans="1:6" x14ac:dyDescent="0.25">
      <c r="A169" s="1" t="s">
        <v>61</v>
      </c>
      <c r="B169" s="1">
        <v>46198</v>
      </c>
      <c r="C169" s="1">
        <v>24125.85</v>
      </c>
      <c r="D169" s="1">
        <v>24261.599999999999</v>
      </c>
      <c r="E169" s="1">
        <v>24039</v>
      </c>
      <c r="F169" s="1">
        <v>24056</v>
      </c>
    </row>
    <row r="170" spans="1:6" x14ac:dyDescent="0.25">
      <c r="A170" s="1" t="s">
        <v>61</v>
      </c>
      <c r="B170" s="1">
        <v>46202</v>
      </c>
      <c r="C170" s="1">
        <v>24061.75</v>
      </c>
      <c r="D170" s="1">
        <v>24120</v>
      </c>
      <c r="E170" s="1">
        <v>23924.55</v>
      </c>
      <c r="F170" s="1">
        <v>23946.25</v>
      </c>
    </row>
    <row r="171" spans="1:6" x14ac:dyDescent="0.25">
      <c r="A171" s="1" t="s">
        <v>61</v>
      </c>
      <c r="B171" s="1">
        <v>46203</v>
      </c>
      <c r="C171" s="1">
        <v>24032.05</v>
      </c>
      <c r="D171" s="1">
        <v>24035.55</v>
      </c>
      <c r="E171" s="1">
        <v>23829.200000000001</v>
      </c>
      <c r="F171" s="1">
        <v>23865.75</v>
      </c>
    </row>
    <row r="172" spans="1:6" x14ac:dyDescent="0.25">
      <c r="A172" s="1" t="s">
        <v>61</v>
      </c>
      <c r="B172" s="1">
        <v>46204</v>
      </c>
      <c r="C172" s="1">
        <v>23897.65</v>
      </c>
      <c r="D172" s="1">
        <v>24049.9</v>
      </c>
      <c r="E172" s="1">
        <v>23895.1</v>
      </c>
      <c r="F172" s="1">
        <v>24005.85</v>
      </c>
    </row>
    <row r="173" spans="1:6" x14ac:dyDescent="0.25">
      <c r="A173" s="1" t="s">
        <v>61</v>
      </c>
      <c r="B173" s="1">
        <v>46205</v>
      </c>
      <c r="C173" s="1">
        <v>24062.2</v>
      </c>
      <c r="D173" s="1">
        <v>24194.55</v>
      </c>
      <c r="E173" s="1">
        <v>24058.799999999999</v>
      </c>
      <c r="F173" s="1">
        <v>24175.7</v>
      </c>
    </row>
    <row r="174" spans="1:6" x14ac:dyDescent="0.25">
      <c r="A174" s="1" t="s">
        <v>61</v>
      </c>
      <c r="B174" s="1">
        <v>46206</v>
      </c>
      <c r="C174" s="1">
        <v>24375.65</v>
      </c>
      <c r="D174" s="1">
        <v>24378.15</v>
      </c>
      <c r="E174" s="1">
        <v>24252.35</v>
      </c>
      <c r="F174" s="1">
        <v>24270.85</v>
      </c>
    </row>
    <row r="175" spans="1:6" x14ac:dyDescent="0.25">
      <c r="A175" s="1" t="s">
        <v>61</v>
      </c>
      <c r="B175" s="1">
        <v>46209</v>
      </c>
      <c r="C175" s="1">
        <v>24306.85</v>
      </c>
      <c r="D175" s="1">
        <v>24458.65</v>
      </c>
      <c r="E175" s="1">
        <v>24287.1</v>
      </c>
      <c r="F175" s="1">
        <v>24430.35</v>
      </c>
    </row>
    <row r="176" spans="1:6" x14ac:dyDescent="0.25">
      <c r="A176" s="1" t="s">
        <v>61</v>
      </c>
      <c r="B176" s="1">
        <v>46210</v>
      </c>
      <c r="C176" s="1">
        <v>24464.45</v>
      </c>
      <c r="D176" s="1">
        <v>24530.9</v>
      </c>
      <c r="E176" s="1">
        <v>24348.95</v>
      </c>
      <c r="F176" s="1">
        <v>24398.7</v>
      </c>
    </row>
    <row r="177" spans="1:6" x14ac:dyDescent="0.25">
      <c r="A177" s="1" t="s">
        <v>61</v>
      </c>
      <c r="B177" s="1">
        <v>46211</v>
      </c>
      <c r="C177" s="1">
        <v>24259.55</v>
      </c>
      <c r="D177" s="1">
        <v>24300</v>
      </c>
      <c r="E177" s="1">
        <v>23805.200000000001</v>
      </c>
      <c r="F177" s="1">
        <v>23882.05</v>
      </c>
    </row>
    <row r="178" spans="1:6" x14ac:dyDescent="0.25">
      <c r="A178" s="1" t="s">
        <v>61</v>
      </c>
      <c r="B178" s="1">
        <v>46212</v>
      </c>
      <c r="C178" s="1">
        <v>23928.95</v>
      </c>
      <c r="D178" s="1">
        <v>24134.7</v>
      </c>
      <c r="E178" s="1">
        <v>23925.7</v>
      </c>
      <c r="F178" s="1">
        <v>23962.799999999999</v>
      </c>
    </row>
    <row r="179" spans="1:6" x14ac:dyDescent="0.25">
      <c r="A179" s="1" t="s">
        <v>61</v>
      </c>
      <c r="B179" s="1">
        <v>46213</v>
      </c>
      <c r="C179" s="1">
        <v>24124.7</v>
      </c>
      <c r="D179" s="1">
        <v>24228.45</v>
      </c>
      <c r="E179" s="1">
        <v>24120.35</v>
      </c>
      <c r="F179" s="1">
        <v>24206.9</v>
      </c>
    </row>
    <row r="180" spans="1:6" x14ac:dyDescent="0.25">
      <c r="A180" s="1" t="s">
        <v>61</v>
      </c>
      <c r="B180" s="1">
        <v>46216</v>
      </c>
      <c r="C180" s="1">
        <v>24039.4</v>
      </c>
      <c r="D180" s="1">
        <v>24259.8</v>
      </c>
      <c r="E180" s="1">
        <v>24000.2</v>
      </c>
      <c r="F180" s="1">
        <v>24211</v>
      </c>
    </row>
    <row r="181" spans="1:6" x14ac:dyDescent="0.25">
      <c r="A181" s="1" t="s">
        <v>61</v>
      </c>
      <c r="B181" s="1">
        <v>46217</v>
      </c>
      <c r="C181" s="1">
        <v>24068</v>
      </c>
      <c r="D181" s="1">
        <v>24157.1</v>
      </c>
      <c r="E181" s="1">
        <v>24023.7</v>
      </c>
      <c r="F181" s="1">
        <v>24052.05</v>
      </c>
    </row>
    <row r="182" spans="1:6" x14ac:dyDescent="0.25">
      <c r="A182" s="1" t="s">
        <v>61</v>
      </c>
      <c r="B182" s="1">
        <v>46218</v>
      </c>
      <c r="C182" s="1">
        <v>24085.85</v>
      </c>
      <c r="D182" s="1">
        <v>24220.35</v>
      </c>
      <c r="E182" s="1">
        <v>24010.55</v>
      </c>
      <c r="F182" s="1">
        <v>24078.5</v>
      </c>
    </row>
    <row r="183" spans="1:6" x14ac:dyDescent="0.25">
      <c r="A183" s="1" t="s">
        <v>61</v>
      </c>
      <c r="B183" s="1">
        <v>46219</v>
      </c>
      <c r="C183" s="1">
        <v>24142.1</v>
      </c>
      <c r="D183" s="1">
        <v>24186.5</v>
      </c>
      <c r="E183" s="1">
        <v>24050</v>
      </c>
      <c r="F183" s="1">
        <v>24072.75</v>
      </c>
    </row>
    <row r="184" spans="1:6" x14ac:dyDescent="0.25">
      <c r="A184" s="1" t="s">
        <v>61</v>
      </c>
      <c r="B184" s="1">
        <v>46220</v>
      </c>
      <c r="C184" s="1">
        <v>24127.599999999999</v>
      </c>
      <c r="D184" s="1">
        <v>24367.3</v>
      </c>
      <c r="E184" s="1">
        <v>24099.05</v>
      </c>
      <c r="F184" s="1">
        <v>24334.3</v>
      </c>
    </row>
    <row r="185" spans="1:6" x14ac:dyDescent="0.25">
      <c r="A185" s="1" t="s">
        <v>61</v>
      </c>
      <c r="B185" s="1">
        <v>46223</v>
      </c>
      <c r="C185" s="1">
        <v>24190.05</v>
      </c>
      <c r="D185" s="1">
        <v>24266.1</v>
      </c>
      <c r="E185" s="1">
        <v>24135.85</v>
      </c>
      <c r="F185" s="1">
        <v>24238.5</v>
      </c>
    </row>
    <row r="186" spans="1:6" x14ac:dyDescent="0.25">
      <c r="A186" s="1" t="s">
        <v>61</v>
      </c>
      <c r="B186" s="1">
        <v>46224</v>
      </c>
      <c r="C186" s="1">
        <v>24216.05</v>
      </c>
      <c r="D186" s="1">
        <v>24262.2</v>
      </c>
      <c r="E186" s="1">
        <v>24135.65</v>
      </c>
      <c r="F186" s="1">
        <v>24187.7</v>
      </c>
    </row>
    <row r="187" spans="1:6" x14ac:dyDescent="0.25">
      <c r="A187" s="1" t="s">
        <v>61</v>
      </c>
      <c r="B187" s="1">
        <v>46225</v>
      </c>
      <c r="C187" s="1">
        <v>24150.45</v>
      </c>
      <c r="D187" s="1">
        <v>24166.3</v>
      </c>
      <c r="E187" s="1">
        <v>23961.4</v>
      </c>
      <c r="F187" s="1">
        <v>23996.25</v>
      </c>
    </row>
    <row r="188" spans="1:6" x14ac:dyDescent="0.25">
      <c r="A188" s="1" t="s">
        <v>61</v>
      </c>
      <c r="B188" s="1">
        <v>46226</v>
      </c>
      <c r="C188" s="1">
        <v>23904.799999999999</v>
      </c>
      <c r="D188" s="1">
        <v>23990.75</v>
      </c>
      <c r="E188" s="1">
        <v>23807.200000000001</v>
      </c>
      <c r="F188" s="1">
        <v>23869.599999999999</v>
      </c>
    </row>
    <row r="189" spans="1:6" x14ac:dyDescent="0.25">
      <c r="A189" s="1" t="s">
        <v>61</v>
      </c>
      <c r="B189" s="1">
        <v>46227</v>
      </c>
      <c r="C189" s="1">
        <v>23666.35</v>
      </c>
      <c r="D189" s="1">
        <v>23823.599999999999</v>
      </c>
      <c r="E189" s="1">
        <v>23606.3</v>
      </c>
      <c r="F189" s="1">
        <v>23767.45</v>
      </c>
    </row>
    <row r="190" spans="1:6" x14ac:dyDescent="0.25">
      <c r="A190" s="1" t="s">
        <v>61</v>
      </c>
      <c r="B190" s="1">
        <v>46230</v>
      </c>
      <c r="C190" s="1">
        <v>23928.400000000001</v>
      </c>
      <c r="D190" s="1">
        <v>24011.599999999999</v>
      </c>
      <c r="E190" s="1">
        <v>23891.55</v>
      </c>
      <c r="F190" s="1">
        <v>23995.95</v>
      </c>
    </row>
    <row r="191" spans="1:6" x14ac:dyDescent="0.25">
      <c r="A191" s="1" t="s">
        <v>61</v>
      </c>
      <c r="B191" s="1">
        <v>46231</v>
      </c>
      <c r="C191" s="1">
        <v>23971.25</v>
      </c>
      <c r="D191" s="1">
        <v>24041.15</v>
      </c>
      <c r="E191" s="1">
        <v>23954.6</v>
      </c>
      <c r="F191" s="1">
        <v>23985.35</v>
      </c>
    </row>
    <row r="192" spans="1:6" x14ac:dyDescent="0.25">
      <c r="A192" s="1" t="s">
        <v>61</v>
      </c>
      <c r="B192" s="1">
        <v>46232</v>
      </c>
      <c r="C192" s="1">
        <v>24176.65</v>
      </c>
      <c r="D192" s="1">
        <v>24283.55</v>
      </c>
      <c r="E192" s="1">
        <v>24136.75</v>
      </c>
      <c r="F192" s="1">
        <v>24250.2</v>
      </c>
    </row>
    <row r="193" spans="1:6" x14ac:dyDescent="0.25">
      <c r="A193" s="1" t="s">
        <v>61</v>
      </c>
      <c r="B193" s="1">
        <v>46233</v>
      </c>
      <c r="C193" s="1">
        <v>24249.55</v>
      </c>
      <c r="D193" s="1">
        <v>24342.95</v>
      </c>
      <c r="E193" s="1">
        <v>24187.1</v>
      </c>
      <c r="F193" s="1">
        <v>24317.15</v>
      </c>
    </row>
    <row r="194" spans="1:6" x14ac:dyDescent="0.25">
      <c r="A194" s="1" t="s">
        <v>61</v>
      </c>
      <c r="B194" s="1">
        <v>46234</v>
      </c>
      <c r="C194" s="1">
        <v>24361.45</v>
      </c>
      <c r="D194" s="1">
        <v>24429.4</v>
      </c>
      <c r="E194" s="1">
        <v>24299.7</v>
      </c>
      <c r="F194" s="1">
        <v>24383.599999999999</v>
      </c>
    </row>
    <row r="195" spans="1:6" x14ac:dyDescent="0.25">
      <c r="A195" s="1" t="s">
        <v>61</v>
      </c>
      <c r="B195" s="1">
        <v>46237</v>
      </c>
      <c r="C195" s="1">
        <v>24572.7</v>
      </c>
      <c r="D195" s="1">
        <v>24774.3</v>
      </c>
      <c r="E195" s="1">
        <v>24515.15</v>
      </c>
      <c r="F195" s="1">
        <v>24774.3</v>
      </c>
    </row>
    <row r="196" spans="1:6" x14ac:dyDescent="0.25">
      <c r="A196" s="1" t="s">
        <v>61</v>
      </c>
      <c r="B196" s="1">
        <v>46238</v>
      </c>
      <c r="C196" s="1">
        <v>24703.9</v>
      </c>
      <c r="D196" s="1">
        <v>24703.9</v>
      </c>
      <c r="E196" s="1">
        <v>24427.95</v>
      </c>
      <c r="F196" s="1">
        <v>24614.9</v>
      </c>
    </row>
    <row r="197" spans="1:6" x14ac:dyDescent="0.25">
      <c r="A197" s="1" t="s">
        <v>61</v>
      </c>
      <c r="B197" s="1">
        <v>46239</v>
      </c>
      <c r="C197" s="1">
        <v>24669.200000000001</v>
      </c>
      <c r="D197" s="1">
        <v>24677.599999999999</v>
      </c>
      <c r="E197" s="1">
        <v>24497.95</v>
      </c>
      <c r="F197" s="1">
        <v>24624.65</v>
      </c>
    </row>
    <row r="198" spans="1:6" x14ac:dyDescent="0.25">
      <c r="A198" s="1" t="s">
        <v>61</v>
      </c>
      <c r="B198" s="1">
        <v>46240</v>
      </c>
      <c r="C198" s="1">
        <v>24641</v>
      </c>
      <c r="D198" s="1">
        <v>24677.05</v>
      </c>
      <c r="E198" s="1">
        <v>24604.15</v>
      </c>
      <c r="F198" s="1">
        <v>24636</v>
      </c>
    </row>
    <row r="199" spans="1:6" x14ac:dyDescent="0.25">
      <c r="A199" s="1" t="s">
        <v>61</v>
      </c>
      <c r="B199" s="1">
        <v>46241</v>
      </c>
      <c r="C199" s="1">
        <v>24538.9</v>
      </c>
      <c r="D199" s="1">
        <v>24630.400000000001</v>
      </c>
      <c r="E199" s="1">
        <v>24522.75</v>
      </c>
      <c r="F199" s="1">
        <v>24570.65</v>
      </c>
    </row>
    <row r="200" spans="1:6" x14ac:dyDescent="0.25">
      <c r="A200" s="1" t="s">
        <v>61</v>
      </c>
      <c r="B200" s="1">
        <v>46244</v>
      </c>
      <c r="C200" s="1">
        <v>24581.25</v>
      </c>
      <c r="D200" s="1">
        <v>24620.95</v>
      </c>
      <c r="E200" s="1">
        <v>24511.1</v>
      </c>
      <c r="F200" s="1">
        <v>24583.8</v>
      </c>
    </row>
    <row r="201" spans="1:6" x14ac:dyDescent="0.25">
      <c r="A201" s="1" t="s">
        <v>61</v>
      </c>
      <c r="B201" s="1">
        <v>46245</v>
      </c>
      <c r="C201" s="1">
        <v>24575.1</v>
      </c>
      <c r="D201" s="1">
        <v>24576.85</v>
      </c>
      <c r="E201" s="1">
        <v>24429.25</v>
      </c>
      <c r="F201" s="1">
        <v>24471.7</v>
      </c>
    </row>
    <row r="202" spans="1:6" x14ac:dyDescent="0.25">
      <c r="A202" s="1" t="s">
        <v>61</v>
      </c>
      <c r="B202" s="1">
        <v>46246</v>
      </c>
      <c r="C202" s="1">
        <v>24472.45</v>
      </c>
      <c r="D202" s="1">
        <v>24473.3</v>
      </c>
      <c r="E202" s="1">
        <v>24265.95</v>
      </c>
      <c r="F202" s="1">
        <v>24435.95</v>
      </c>
    </row>
    <row r="203" spans="1:6" x14ac:dyDescent="0.25">
      <c r="A203" s="1" t="s">
        <v>61</v>
      </c>
      <c r="B203" s="1">
        <v>46247</v>
      </c>
      <c r="C203" s="1">
        <v>24431.599999999999</v>
      </c>
      <c r="D203" s="1">
        <v>24431.599999999999</v>
      </c>
      <c r="E203" s="1">
        <v>24311.4</v>
      </c>
      <c r="F203" s="1">
        <v>24395.85</v>
      </c>
    </row>
    <row r="204" spans="1:6" x14ac:dyDescent="0.25">
      <c r="A204" s="1" t="s">
        <v>61</v>
      </c>
      <c r="B204" s="1">
        <v>46248</v>
      </c>
      <c r="C204" s="1">
        <v>24361.9</v>
      </c>
      <c r="D204" s="1">
        <v>24405.200000000001</v>
      </c>
      <c r="E204" s="1">
        <v>24296.799999999999</v>
      </c>
      <c r="F204" s="1">
        <v>24366</v>
      </c>
    </row>
    <row r="205" spans="1:6" x14ac:dyDescent="0.25">
      <c r="A205" s="1" t="s">
        <v>61</v>
      </c>
      <c r="B205" s="1">
        <v>46251</v>
      </c>
      <c r="C205" s="1">
        <v>24343.45</v>
      </c>
      <c r="D205" s="1">
        <v>24360.1</v>
      </c>
      <c r="E205" s="1">
        <v>24226.95</v>
      </c>
      <c r="F205" s="1">
        <v>24287.65</v>
      </c>
    </row>
    <row r="206" spans="1:6" x14ac:dyDescent="0.25">
      <c r="A206" s="1" t="s">
        <v>61</v>
      </c>
      <c r="B206" s="1">
        <v>46252</v>
      </c>
      <c r="C206" s="1">
        <v>24223.85</v>
      </c>
      <c r="D206" s="1">
        <v>24269.65</v>
      </c>
      <c r="E206" s="1">
        <v>24154.9</v>
      </c>
      <c r="F206" s="1">
        <v>24154.9</v>
      </c>
    </row>
    <row r="207" spans="1:6" x14ac:dyDescent="0.25">
      <c r="A207" s="1" t="s">
        <v>61</v>
      </c>
      <c r="B207" s="1">
        <v>46253</v>
      </c>
      <c r="C207" s="1">
        <v>24152.05</v>
      </c>
      <c r="D207" s="1">
        <v>24172.85</v>
      </c>
      <c r="E207" s="1">
        <v>24025.65</v>
      </c>
      <c r="F207" s="1">
        <v>24078.3</v>
      </c>
    </row>
    <row r="208" spans="1:6" x14ac:dyDescent="0.25">
      <c r="A208" s="1" t="s">
        <v>61</v>
      </c>
      <c r="B208" s="1">
        <v>46254</v>
      </c>
      <c r="C208" s="1">
        <v>24225.45</v>
      </c>
      <c r="D208" s="1">
        <v>24265.15</v>
      </c>
      <c r="E208" s="1">
        <v>24184.55</v>
      </c>
      <c r="F208" s="1">
        <v>24231.85</v>
      </c>
    </row>
    <row r="209" spans="1:6" x14ac:dyDescent="0.25">
      <c r="A209" s="1" t="s">
        <v>61</v>
      </c>
      <c r="B209" s="1">
        <v>46255</v>
      </c>
      <c r="C209" s="1">
        <v>24284.05</v>
      </c>
      <c r="D209" s="1">
        <v>24284.05</v>
      </c>
      <c r="E209" s="1">
        <v>24206.799999999999</v>
      </c>
      <c r="F209" s="1">
        <v>24252</v>
      </c>
    </row>
    <row r="210" spans="1:6" x14ac:dyDescent="0.25">
      <c r="A210" s="1" t="s">
        <v>61</v>
      </c>
      <c r="B210" s="1">
        <v>46258</v>
      </c>
      <c r="C210" s="1">
        <v>24285.05</v>
      </c>
      <c r="D210" s="1">
        <v>24313</v>
      </c>
      <c r="E210" s="1">
        <v>24144.3</v>
      </c>
      <c r="F210" s="1">
        <v>24219.05</v>
      </c>
    </row>
    <row r="211" spans="1:6" x14ac:dyDescent="0.25">
      <c r="A211" s="1" t="s">
        <v>61</v>
      </c>
      <c r="B211" s="1">
        <v>46259</v>
      </c>
      <c r="C211" s="1">
        <v>24175.75</v>
      </c>
      <c r="D211" s="1">
        <v>24334.55</v>
      </c>
      <c r="E211" s="1">
        <v>24115.45</v>
      </c>
      <c r="F211" s="1">
        <v>24334.55</v>
      </c>
    </row>
    <row r="212" spans="1:6" x14ac:dyDescent="0.25">
      <c r="A212" s="1" t="s">
        <v>61</v>
      </c>
      <c r="B212" s="1">
        <v>46260</v>
      </c>
      <c r="C212" s="1">
        <v>24341.95</v>
      </c>
      <c r="D212" s="1">
        <v>24378.6</v>
      </c>
      <c r="E212" s="1">
        <v>24207.75</v>
      </c>
      <c r="F212" s="1">
        <v>24207.75</v>
      </c>
    </row>
    <row r="213" spans="1:6" x14ac:dyDescent="0.25">
      <c r="A213" s="1" t="s">
        <v>61</v>
      </c>
      <c r="B213" s="1">
        <v>46261</v>
      </c>
      <c r="C213" s="1">
        <v>24277.599999999999</v>
      </c>
      <c r="D213" s="1">
        <v>24297.45</v>
      </c>
      <c r="E213" s="1">
        <v>24090.85</v>
      </c>
      <c r="F213" s="1">
        <v>24090.85</v>
      </c>
    </row>
    <row r="214" spans="1:6" x14ac:dyDescent="0.25">
      <c r="A214" s="1" t="s">
        <v>61</v>
      </c>
      <c r="B214" s="1">
        <v>46262</v>
      </c>
      <c r="C214" s="1">
        <v>24122.6</v>
      </c>
      <c r="D214" s="1">
        <v>24188.3</v>
      </c>
      <c r="E214" s="1">
        <v>24076.85</v>
      </c>
      <c r="F214" s="1">
        <v>24175.65</v>
      </c>
    </row>
    <row r="215" spans="1:6" x14ac:dyDescent="0.25">
      <c r="A215" s="1" t="s">
        <v>61</v>
      </c>
      <c r="B215" s="1">
        <v>46265</v>
      </c>
      <c r="C215" s="1">
        <v>24117.55</v>
      </c>
      <c r="D215" s="1">
        <v>24128.7</v>
      </c>
      <c r="E215" s="1">
        <v>23993.599999999999</v>
      </c>
      <c r="F215" s="1">
        <v>24080.400000000001</v>
      </c>
    </row>
    <row r="216" spans="1:6" x14ac:dyDescent="0.25">
      <c r="A216" s="1" t="s">
        <v>61</v>
      </c>
      <c r="B216" s="1">
        <v>46266</v>
      </c>
      <c r="C216" s="1">
        <v>24077.55</v>
      </c>
      <c r="D216" s="1">
        <v>24143.15</v>
      </c>
      <c r="E216" s="1">
        <v>23952.55</v>
      </c>
      <c r="F216" s="1">
        <v>24055.8</v>
      </c>
    </row>
    <row r="217" spans="1:6" x14ac:dyDescent="0.25">
      <c r="A217" s="1" t="s">
        <v>61</v>
      </c>
      <c r="B217" s="1">
        <v>46267</v>
      </c>
      <c r="C217" s="1">
        <v>23858</v>
      </c>
      <c r="D217" s="1">
        <v>23914.45</v>
      </c>
      <c r="E217" s="1">
        <v>23786.799999999999</v>
      </c>
      <c r="F217" s="1">
        <v>23914.45</v>
      </c>
    </row>
    <row r="218" spans="1:6" x14ac:dyDescent="0.25">
      <c r="A218" s="1" t="s">
        <v>61</v>
      </c>
      <c r="B218" s="1">
        <v>46268</v>
      </c>
      <c r="C218" s="1">
        <v>23997.95</v>
      </c>
      <c r="D218" s="1">
        <v>24025.4</v>
      </c>
      <c r="E218" s="1">
        <v>23873.45</v>
      </c>
      <c r="F218" s="1">
        <v>23873.45</v>
      </c>
    </row>
    <row r="219" spans="1:6" x14ac:dyDescent="0.25">
      <c r="A219" s="1" t="s">
        <v>61</v>
      </c>
      <c r="B219" s="1">
        <v>46269</v>
      </c>
      <c r="C219" s="1">
        <v>23910.9</v>
      </c>
      <c r="D219" s="1">
        <v>24005.75</v>
      </c>
      <c r="E219" s="1">
        <v>23895.85</v>
      </c>
      <c r="F219" s="1">
        <v>23897.7</v>
      </c>
    </row>
    <row r="220" spans="1:6" x14ac:dyDescent="0.25">
      <c r="A220" s="1" t="s">
        <v>61</v>
      </c>
      <c r="B220" s="1">
        <v>46272</v>
      </c>
      <c r="C220" s="1">
        <v>23883.15</v>
      </c>
      <c r="D220" s="1">
        <v>23890</v>
      </c>
      <c r="E220" s="1">
        <v>23737.9</v>
      </c>
      <c r="F220" s="1">
        <v>23779.15</v>
      </c>
    </row>
    <row r="221" spans="1:6" x14ac:dyDescent="0.25">
      <c r="A221" s="1" t="s">
        <v>61</v>
      </c>
      <c r="B221" s="1">
        <v>46273</v>
      </c>
      <c r="C221" s="1">
        <v>23743.1</v>
      </c>
      <c r="D221" s="1">
        <v>23758.95</v>
      </c>
      <c r="E221" s="1">
        <v>23623.1</v>
      </c>
      <c r="F221" s="1">
        <v>23635.1</v>
      </c>
    </row>
    <row r="222" spans="1:6" x14ac:dyDescent="0.25">
      <c r="A222" s="1" t="s">
        <v>61</v>
      </c>
      <c r="B222" s="1">
        <v>46274</v>
      </c>
      <c r="C222" s="1">
        <v>23522.05</v>
      </c>
      <c r="D222" s="1">
        <v>23571.55</v>
      </c>
      <c r="E222" s="1">
        <v>23431.5</v>
      </c>
      <c r="F222" s="1">
        <v>23431.5</v>
      </c>
    </row>
    <row r="223" spans="1:6" x14ac:dyDescent="0.25">
      <c r="A223" s="1" t="s">
        <v>61</v>
      </c>
      <c r="B223" s="1">
        <v>46275</v>
      </c>
      <c r="C223" s="1">
        <v>23446.6</v>
      </c>
      <c r="D223" s="1">
        <v>23494.95</v>
      </c>
      <c r="E223" s="1">
        <v>23380.1</v>
      </c>
      <c r="F223" s="1">
        <v>23477.8</v>
      </c>
    </row>
    <row r="224" spans="1:6" x14ac:dyDescent="0.25">
      <c r="A224" s="1" t="s">
        <v>61</v>
      </c>
      <c r="B224" s="1">
        <v>46276</v>
      </c>
      <c r="C224" s="1">
        <v>23270.3</v>
      </c>
      <c r="D224" s="1">
        <v>23448.1</v>
      </c>
      <c r="E224" s="1">
        <v>23231.4</v>
      </c>
      <c r="F224" s="1">
        <v>23398.1</v>
      </c>
    </row>
    <row r="225" spans="1:6" x14ac:dyDescent="0.25">
      <c r="A225" s="1" t="s">
        <v>61</v>
      </c>
      <c r="B225" s="1">
        <v>46280</v>
      </c>
      <c r="C225" s="1">
        <v>23576.15</v>
      </c>
      <c r="D225" s="1">
        <v>23592.85</v>
      </c>
      <c r="E225" s="1">
        <v>23118.6</v>
      </c>
      <c r="F225" s="1">
        <v>23118.6</v>
      </c>
    </row>
    <row r="226" spans="1:6" x14ac:dyDescent="0.25">
      <c r="A226" s="1" t="s">
        <v>61</v>
      </c>
      <c r="B226" s="1">
        <v>46281</v>
      </c>
      <c r="C226" s="1">
        <v>23201.599999999999</v>
      </c>
      <c r="D226" s="1">
        <v>23284.75</v>
      </c>
      <c r="E226" s="1">
        <v>23116.1</v>
      </c>
      <c r="F226" s="1">
        <v>23217.599999999999</v>
      </c>
    </row>
    <row r="227" spans="1:6" x14ac:dyDescent="0.25">
      <c r="A227" s="1" t="s">
        <v>61</v>
      </c>
      <c r="B227" s="1">
        <v>46282</v>
      </c>
      <c r="C227" s="1">
        <v>23195.25</v>
      </c>
      <c r="D227" s="1">
        <v>23363.55</v>
      </c>
      <c r="E227" s="1">
        <v>23193.65</v>
      </c>
      <c r="F227" s="1">
        <v>23270.6</v>
      </c>
    </row>
    <row r="228" spans="1:6" x14ac:dyDescent="0.25">
      <c r="A228" s="1" t="s">
        <v>61</v>
      </c>
      <c r="B228" s="1">
        <v>46283</v>
      </c>
      <c r="C228" s="1">
        <v>23334.7</v>
      </c>
      <c r="D228" s="1">
        <v>23389.15</v>
      </c>
      <c r="E228" s="1">
        <v>23286.6</v>
      </c>
      <c r="F228" s="1">
        <v>23346.400000000001</v>
      </c>
    </row>
    <row r="229" spans="1:6" x14ac:dyDescent="0.25">
      <c r="A229" s="1" t="s">
        <v>61</v>
      </c>
      <c r="B229" s="1">
        <v>46286</v>
      </c>
      <c r="C229" s="1">
        <v>23330.2</v>
      </c>
      <c r="D229" s="1">
        <v>23466.799999999999</v>
      </c>
      <c r="E229" s="1">
        <v>23314.799999999999</v>
      </c>
      <c r="F229" s="1">
        <v>23414.3</v>
      </c>
    </row>
    <row r="230" spans="1:6" x14ac:dyDescent="0.25">
      <c r="A230" s="1" t="s">
        <v>61</v>
      </c>
      <c r="B230" s="1">
        <v>46287</v>
      </c>
      <c r="C230" s="1">
        <v>23454.05</v>
      </c>
      <c r="D230" s="1">
        <v>23489</v>
      </c>
      <c r="E230" s="1">
        <v>23285.75</v>
      </c>
      <c r="F230" s="1">
        <v>23329</v>
      </c>
    </row>
    <row r="231" spans="1:6" x14ac:dyDescent="0.25">
      <c r="A231" s="1" t="s">
        <v>61</v>
      </c>
      <c r="B231" s="1">
        <v>46288</v>
      </c>
      <c r="C231" s="1">
        <v>23352.15</v>
      </c>
      <c r="D231" s="1">
        <v>23466.9</v>
      </c>
      <c r="E231" s="1">
        <v>23349.55</v>
      </c>
      <c r="F231" s="1">
        <v>23446.799999999999</v>
      </c>
    </row>
    <row r="232" spans="1:6" x14ac:dyDescent="0.25">
      <c r="A232" s="1" t="s">
        <v>61</v>
      </c>
      <c r="B232" s="1">
        <v>46289</v>
      </c>
      <c r="C232" s="1">
        <v>23221.8</v>
      </c>
      <c r="D232" s="1">
        <v>23281.95</v>
      </c>
      <c r="E232" s="1">
        <v>23046.15</v>
      </c>
      <c r="F232" s="1">
        <v>23063.1</v>
      </c>
    </row>
    <row r="233" spans="1:6" x14ac:dyDescent="0.25">
      <c r="A233" s="1" t="s">
        <v>61</v>
      </c>
      <c r="B233" s="1">
        <v>46290</v>
      </c>
      <c r="C233" s="1">
        <v>23035</v>
      </c>
      <c r="D233" s="1">
        <v>23162.7</v>
      </c>
      <c r="E233" s="1">
        <v>23020.95</v>
      </c>
      <c r="F233" s="1">
        <v>23140.5</v>
      </c>
    </row>
    <row r="234" spans="1:6" x14ac:dyDescent="0.25">
      <c r="A234" s="1" t="s">
        <v>61</v>
      </c>
      <c r="B234" s="1">
        <v>46293</v>
      </c>
      <c r="C234" s="1">
        <v>23064.9</v>
      </c>
      <c r="D234" s="1">
        <v>23080.25</v>
      </c>
      <c r="E234" s="1">
        <v>22762.2</v>
      </c>
      <c r="F234" s="1">
        <v>22780.25</v>
      </c>
    </row>
    <row r="235" spans="1:6" x14ac:dyDescent="0.25">
      <c r="A235" s="1" t="s">
        <v>61</v>
      </c>
      <c r="B235" s="1">
        <v>46294</v>
      </c>
      <c r="C235" s="1">
        <v>22732.45</v>
      </c>
      <c r="D235" s="1">
        <v>22753.25</v>
      </c>
      <c r="E235" s="1">
        <v>22569.65</v>
      </c>
      <c r="F235" s="1">
        <v>22716.2</v>
      </c>
    </row>
    <row r="236" spans="1:6" x14ac:dyDescent="0.25">
      <c r="A236" s="1" t="s">
        <v>61</v>
      </c>
      <c r="B236" s="1">
        <v>46295</v>
      </c>
      <c r="C236" s="1">
        <v>22665</v>
      </c>
      <c r="D236" s="1">
        <v>22809.35</v>
      </c>
      <c r="E236" s="1">
        <v>22595.200000000001</v>
      </c>
      <c r="F236" s="1">
        <v>22620.45</v>
      </c>
    </row>
    <row r="237" spans="1:6" x14ac:dyDescent="0.25">
      <c r="A237" s="1" t="s">
        <v>61</v>
      </c>
      <c r="B237" s="1">
        <v>46296</v>
      </c>
      <c r="C237" s="1">
        <v>22543.7</v>
      </c>
      <c r="D237" s="1">
        <v>22610.6</v>
      </c>
      <c r="E237" s="1">
        <v>22217.3</v>
      </c>
      <c r="F237" s="1">
        <v>22421.95</v>
      </c>
    </row>
    <row r="238" spans="1:6" x14ac:dyDescent="0.25">
      <c r="A238" s="1" t="s">
        <v>61</v>
      </c>
      <c r="B238" s="1">
        <v>46300</v>
      </c>
      <c r="C238" s="1">
        <v>22532.400000000001</v>
      </c>
      <c r="D238" s="1">
        <v>22621.8</v>
      </c>
      <c r="E238" s="1">
        <v>22397.1</v>
      </c>
      <c r="F238" s="1">
        <v>22555.75</v>
      </c>
    </row>
    <row r="239" spans="1:6" x14ac:dyDescent="0.25">
      <c r="A239" s="1" t="s">
        <v>61</v>
      </c>
      <c r="B239" s="1">
        <v>46301</v>
      </c>
      <c r="C239" s="1">
        <v>22603.25</v>
      </c>
      <c r="D239" s="1">
        <v>22776.1</v>
      </c>
      <c r="E239" s="1">
        <v>22561.599999999999</v>
      </c>
      <c r="F239" s="1">
        <v>22776.1</v>
      </c>
    </row>
    <row r="240" spans="1:6" x14ac:dyDescent="0.25">
      <c r="A240" s="1" t="s">
        <v>61</v>
      </c>
      <c r="B240" s="1">
        <v>46302</v>
      </c>
      <c r="C240" s="1">
        <v>22690.45</v>
      </c>
      <c r="D240" s="1">
        <v>22717.65</v>
      </c>
      <c r="E240" s="1">
        <v>22546.3</v>
      </c>
      <c r="F240" s="1">
        <v>22603.05</v>
      </c>
    </row>
    <row r="241" spans="1:6" x14ac:dyDescent="0.25">
      <c r="A241" s="1" t="s">
        <v>61</v>
      </c>
      <c r="B241" s="1">
        <v>46303</v>
      </c>
      <c r="C241" s="1">
        <v>22599.05</v>
      </c>
      <c r="D241" s="1">
        <v>22599.05</v>
      </c>
      <c r="E241" s="1">
        <v>22179.9</v>
      </c>
      <c r="F241" s="1">
        <v>22231.8</v>
      </c>
    </row>
    <row r="242" spans="1:6" x14ac:dyDescent="0.25">
      <c r="A242" s="1" t="s">
        <v>61</v>
      </c>
      <c r="B242" s="1">
        <v>46304</v>
      </c>
      <c r="C242" s="1">
        <v>22314.95</v>
      </c>
      <c r="D242" s="1">
        <v>22580.75</v>
      </c>
      <c r="E242" s="1">
        <v>22294.75</v>
      </c>
      <c r="F242" s="1">
        <v>22520.45</v>
      </c>
    </row>
    <row r="243" spans="1:6" x14ac:dyDescent="0.25">
      <c r="A243" s="1" t="s">
        <v>61</v>
      </c>
      <c r="B243" s="1">
        <v>46307</v>
      </c>
      <c r="C243" s="1">
        <v>22593.200000000001</v>
      </c>
      <c r="D243" s="1">
        <v>22651.1</v>
      </c>
      <c r="E243" s="1">
        <v>22304.45</v>
      </c>
      <c r="F243" s="1">
        <v>22363.35</v>
      </c>
    </row>
    <row r="244" spans="1:6" x14ac:dyDescent="0.25">
      <c r="A244" s="1" t="s">
        <v>61</v>
      </c>
      <c r="B244" s="1">
        <v>46308</v>
      </c>
      <c r="C244" s="1">
        <v>22364.15</v>
      </c>
      <c r="D244" s="1">
        <v>22721.95</v>
      </c>
      <c r="E244" s="1">
        <v>22288.45</v>
      </c>
      <c r="F244" s="1">
        <v>22721.95</v>
      </c>
    </row>
    <row r="245" spans="1:6" x14ac:dyDescent="0.25">
      <c r="A245" s="1" t="s">
        <v>61</v>
      </c>
      <c r="B245" s="1">
        <v>46309</v>
      </c>
      <c r="C245" s="1">
        <v>22715.75</v>
      </c>
      <c r="D245" s="1">
        <v>22757.95</v>
      </c>
      <c r="E245" s="1">
        <v>22558.95</v>
      </c>
      <c r="F245" s="1">
        <v>22622.7</v>
      </c>
    </row>
    <row r="246" spans="1:6" x14ac:dyDescent="0.25">
      <c r="A246" s="1" t="s">
        <v>61</v>
      </c>
      <c r="B246" s="1">
        <v>46310</v>
      </c>
      <c r="C246" s="1">
        <v>22671.3</v>
      </c>
      <c r="D246" s="1">
        <v>23056.400000000001</v>
      </c>
      <c r="E246" s="1">
        <v>22637.4</v>
      </c>
      <c r="F246" s="1">
        <v>22997.35</v>
      </c>
    </row>
    <row r="247" spans="1:6" x14ac:dyDescent="0.25">
      <c r="A247" s="1" t="s">
        <v>61</v>
      </c>
      <c r="B247" s="1">
        <v>46311</v>
      </c>
      <c r="C247" s="1">
        <v>23065.1</v>
      </c>
      <c r="D247" s="1">
        <v>23149.85</v>
      </c>
      <c r="E247" s="1">
        <v>22913.8</v>
      </c>
      <c r="F247" s="1">
        <v>23146.15</v>
      </c>
    </row>
    <row r="248" spans="1:6" x14ac:dyDescent="0.25">
      <c r="A248" s="1" t="s">
        <v>62</v>
      </c>
      <c r="B248" s="1">
        <v>45950</v>
      </c>
      <c r="C248" s="1">
        <v>59161.15</v>
      </c>
      <c r="D248" s="1">
        <v>59465.25</v>
      </c>
      <c r="E248" s="1">
        <v>59123.199999999997</v>
      </c>
      <c r="F248" s="1">
        <v>59344.5</v>
      </c>
    </row>
    <row r="249" spans="1:6" x14ac:dyDescent="0.25">
      <c r="A249" s="1" t="s">
        <v>62</v>
      </c>
      <c r="B249" s="1">
        <v>45951</v>
      </c>
      <c r="C249" s="1">
        <v>59595.35</v>
      </c>
      <c r="D249" s="1">
        <v>59642.3</v>
      </c>
      <c r="E249" s="1">
        <v>59325.5</v>
      </c>
      <c r="F249" s="1">
        <v>59409.55</v>
      </c>
    </row>
    <row r="250" spans="1:6" x14ac:dyDescent="0.25">
      <c r="A250" s="1" t="s">
        <v>62</v>
      </c>
      <c r="B250" s="1">
        <v>45953</v>
      </c>
      <c r="C250" s="1">
        <v>59661.4</v>
      </c>
      <c r="D250" s="1">
        <v>59817.25</v>
      </c>
      <c r="E250" s="1">
        <v>59276.15</v>
      </c>
      <c r="F250" s="1">
        <v>59371.25</v>
      </c>
    </row>
    <row r="251" spans="1:6" x14ac:dyDescent="0.25">
      <c r="A251" s="1" t="s">
        <v>62</v>
      </c>
      <c r="B251" s="1">
        <v>45954</v>
      </c>
      <c r="C251" s="1">
        <v>59485.4</v>
      </c>
      <c r="D251" s="1">
        <v>59667.7</v>
      </c>
      <c r="E251" s="1">
        <v>59078.8</v>
      </c>
      <c r="F251" s="1">
        <v>59231.199999999997</v>
      </c>
    </row>
    <row r="252" spans="1:6" x14ac:dyDescent="0.25">
      <c r="A252" s="1" t="s">
        <v>62</v>
      </c>
      <c r="B252" s="1">
        <v>45957</v>
      </c>
      <c r="C252" s="1">
        <v>59449.25</v>
      </c>
      <c r="D252" s="1">
        <v>59811.7</v>
      </c>
      <c r="E252" s="1">
        <v>59365.75</v>
      </c>
      <c r="F252" s="1">
        <v>59780.15</v>
      </c>
    </row>
    <row r="253" spans="1:6" x14ac:dyDescent="0.25">
      <c r="A253" s="1" t="s">
        <v>62</v>
      </c>
      <c r="B253" s="1">
        <v>45958</v>
      </c>
      <c r="C253" s="1">
        <v>59880.75</v>
      </c>
      <c r="D253" s="1">
        <v>59922.1</v>
      </c>
      <c r="E253" s="1">
        <v>59515.75</v>
      </c>
      <c r="F253" s="1">
        <v>59765.35</v>
      </c>
    </row>
    <row r="254" spans="1:6" x14ac:dyDescent="0.25">
      <c r="A254" s="1" t="s">
        <v>62</v>
      </c>
      <c r="B254" s="1">
        <v>45959</v>
      </c>
      <c r="C254" s="1">
        <v>59839.55</v>
      </c>
      <c r="D254" s="1">
        <v>60216.55</v>
      </c>
      <c r="E254" s="1">
        <v>59672.75</v>
      </c>
      <c r="F254" s="1">
        <v>60149.05</v>
      </c>
    </row>
    <row r="255" spans="1:6" x14ac:dyDescent="0.25">
      <c r="A255" s="1" t="s">
        <v>62</v>
      </c>
      <c r="B255" s="1">
        <v>45960</v>
      </c>
      <c r="C255" s="1">
        <v>60291.5</v>
      </c>
      <c r="D255" s="1">
        <v>60293.35</v>
      </c>
      <c r="E255" s="1">
        <v>59828.5</v>
      </c>
      <c r="F255" s="1">
        <v>60096.25</v>
      </c>
    </row>
    <row r="256" spans="1:6" x14ac:dyDescent="0.25">
      <c r="A256" s="1" t="s">
        <v>62</v>
      </c>
      <c r="B256" s="1">
        <v>45961</v>
      </c>
      <c r="C256" s="1">
        <v>60173.85</v>
      </c>
      <c r="D256" s="1">
        <v>60329.8</v>
      </c>
      <c r="E256" s="1">
        <v>59779.199999999997</v>
      </c>
      <c r="F256" s="1">
        <v>59825.9</v>
      </c>
    </row>
    <row r="257" spans="1:6" x14ac:dyDescent="0.25">
      <c r="A257" s="1" t="s">
        <v>62</v>
      </c>
      <c r="B257" s="1">
        <v>45964</v>
      </c>
      <c r="C257" s="1">
        <v>59887.05</v>
      </c>
      <c r="D257" s="1">
        <v>60400.5</v>
      </c>
      <c r="E257" s="1">
        <v>59821.25</v>
      </c>
      <c r="F257" s="1">
        <v>60287.4</v>
      </c>
    </row>
    <row r="258" spans="1:6" x14ac:dyDescent="0.25">
      <c r="A258" s="1" t="s">
        <v>62</v>
      </c>
      <c r="B258" s="1">
        <v>45965</v>
      </c>
      <c r="C258" s="1">
        <v>60351.55</v>
      </c>
      <c r="D258" s="1">
        <v>60361.7</v>
      </c>
      <c r="E258" s="1">
        <v>59961.75</v>
      </c>
      <c r="F258" s="1">
        <v>60037.2</v>
      </c>
    </row>
    <row r="259" spans="1:6" x14ac:dyDescent="0.25">
      <c r="A259" s="1" t="s">
        <v>62</v>
      </c>
      <c r="B259" s="1">
        <v>45967</v>
      </c>
      <c r="C259" s="1">
        <v>60106.55</v>
      </c>
      <c r="D259" s="1">
        <v>60144.25</v>
      </c>
      <c r="E259" s="1">
        <v>59403.1</v>
      </c>
      <c r="F259" s="1">
        <v>59468.6</v>
      </c>
    </row>
    <row r="260" spans="1:6" x14ac:dyDescent="0.25">
      <c r="A260" s="1" t="s">
        <v>62</v>
      </c>
      <c r="B260" s="1">
        <v>45968</v>
      </c>
      <c r="C260" s="1">
        <v>59285.8</v>
      </c>
      <c r="D260" s="1">
        <v>59918.65</v>
      </c>
      <c r="E260" s="1">
        <v>58807.3</v>
      </c>
      <c r="F260" s="1">
        <v>59843.15</v>
      </c>
    </row>
    <row r="261" spans="1:6" x14ac:dyDescent="0.25">
      <c r="A261" s="1" t="s">
        <v>62</v>
      </c>
      <c r="B261" s="1">
        <v>45971</v>
      </c>
      <c r="C261" s="1">
        <v>59970.400000000001</v>
      </c>
      <c r="D261" s="1">
        <v>60308.75</v>
      </c>
      <c r="E261" s="1">
        <v>59881.4</v>
      </c>
      <c r="F261" s="1">
        <v>60124.25</v>
      </c>
    </row>
    <row r="262" spans="1:6" x14ac:dyDescent="0.25">
      <c r="A262" s="1" t="s">
        <v>62</v>
      </c>
      <c r="B262" s="1">
        <v>45972</v>
      </c>
      <c r="C262" s="1">
        <v>60247.35</v>
      </c>
      <c r="D262" s="1">
        <v>60459.85</v>
      </c>
      <c r="E262" s="1">
        <v>59812.05</v>
      </c>
      <c r="F262" s="1">
        <v>60427</v>
      </c>
    </row>
    <row r="263" spans="1:6" x14ac:dyDescent="0.25">
      <c r="A263" s="1" t="s">
        <v>62</v>
      </c>
      <c r="B263" s="1">
        <v>45973</v>
      </c>
      <c r="C263" s="1">
        <v>60704.7</v>
      </c>
      <c r="D263" s="1">
        <v>61011</v>
      </c>
      <c r="E263" s="1">
        <v>60641.25</v>
      </c>
      <c r="F263" s="1">
        <v>60902.3</v>
      </c>
    </row>
    <row r="264" spans="1:6" x14ac:dyDescent="0.25">
      <c r="A264" s="1" t="s">
        <v>62</v>
      </c>
      <c r="B264" s="1">
        <v>45974</v>
      </c>
      <c r="C264" s="1">
        <v>60955.4</v>
      </c>
      <c r="D264" s="1">
        <v>61131.85</v>
      </c>
      <c r="E264" s="1">
        <v>60623</v>
      </c>
      <c r="F264" s="1">
        <v>60692.05</v>
      </c>
    </row>
    <row r="265" spans="1:6" x14ac:dyDescent="0.25">
      <c r="A265" s="1" t="s">
        <v>62</v>
      </c>
      <c r="B265" s="1">
        <v>45975</v>
      </c>
      <c r="C265" s="1">
        <v>60708.75</v>
      </c>
      <c r="D265" s="1">
        <v>60973.3</v>
      </c>
      <c r="E265" s="1">
        <v>60489.1</v>
      </c>
      <c r="F265" s="1">
        <v>60739.199999999997</v>
      </c>
    </row>
    <row r="266" spans="1:6" x14ac:dyDescent="0.25">
      <c r="A266" s="1" t="s">
        <v>62</v>
      </c>
      <c r="B266" s="1">
        <v>45978</v>
      </c>
      <c r="C266" s="1">
        <v>60970.1</v>
      </c>
      <c r="D266" s="1">
        <v>61211.05</v>
      </c>
      <c r="E266" s="1">
        <v>60865.8</v>
      </c>
      <c r="F266" s="1">
        <v>61180.5</v>
      </c>
    </row>
    <row r="267" spans="1:6" x14ac:dyDescent="0.25">
      <c r="A267" s="1" t="s">
        <v>62</v>
      </c>
      <c r="B267" s="1">
        <v>45979</v>
      </c>
      <c r="C267" s="1">
        <v>61217.95</v>
      </c>
      <c r="D267" s="1">
        <v>61220.25</v>
      </c>
      <c r="E267" s="1">
        <v>60767.3</v>
      </c>
      <c r="F267" s="1">
        <v>60822</v>
      </c>
    </row>
    <row r="268" spans="1:6" x14ac:dyDescent="0.25">
      <c r="A268" s="1" t="s">
        <v>62</v>
      </c>
      <c r="B268" s="1">
        <v>45980</v>
      </c>
      <c r="C268" s="1">
        <v>60834.6</v>
      </c>
      <c r="D268" s="1">
        <v>61044.25</v>
      </c>
      <c r="E268" s="1">
        <v>60645.45</v>
      </c>
      <c r="F268" s="1">
        <v>60949.05</v>
      </c>
    </row>
    <row r="269" spans="1:6" x14ac:dyDescent="0.25">
      <c r="A269" s="1" t="s">
        <v>62</v>
      </c>
      <c r="B269" s="1">
        <v>45981</v>
      </c>
      <c r="C269" s="1">
        <v>61172.7</v>
      </c>
      <c r="D269" s="1">
        <v>61205</v>
      </c>
      <c r="E269" s="1">
        <v>60893.4</v>
      </c>
      <c r="F269" s="1">
        <v>60963.55</v>
      </c>
    </row>
    <row r="270" spans="1:6" x14ac:dyDescent="0.25">
      <c r="A270" s="1" t="s">
        <v>62</v>
      </c>
      <c r="B270" s="1">
        <v>45982</v>
      </c>
      <c r="C270" s="1">
        <v>60911.3</v>
      </c>
      <c r="D270" s="1">
        <v>60918.05</v>
      </c>
      <c r="E270" s="1">
        <v>60222.25</v>
      </c>
      <c r="F270" s="1">
        <v>60276.3</v>
      </c>
    </row>
    <row r="271" spans="1:6" x14ac:dyDescent="0.25">
      <c r="A271" s="1" t="s">
        <v>62</v>
      </c>
      <c r="B271" s="1">
        <v>45985</v>
      </c>
      <c r="C271" s="1">
        <v>60338.25</v>
      </c>
      <c r="D271" s="1">
        <v>60445.1</v>
      </c>
      <c r="E271" s="1">
        <v>59968.55</v>
      </c>
      <c r="F271" s="1">
        <v>60081.599999999999</v>
      </c>
    </row>
    <row r="272" spans="1:6" x14ac:dyDescent="0.25">
      <c r="A272" s="1" t="s">
        <v>62</v>
      </c>
      <c r="B272" s="1">
        <v>45986</v>
      </c>
      <c r="C272" s="1">
        <v>60104.35</v>
      </c>
      <c r="D272" s="1">
        <v>60358.95</v>
      </c>
      <c r="E272" s="1">
        <v>59953.7</v>
      </c>
      <c r="F272" s="1">
        <v>60298</v>
      </c>
    </row>
    <row r="273" spans="1:6" x14ac:dyDescent="0.25">
      <c r="A273" s="1" t="s">
        <v>62</v>
      </c>
      <c r="B273" s="1">
        <v>45987</v>
      </c>
      <c r="C273" s="1">
        <v>60439.3</v>
      </c>
      <c r="D273" s="1">
        <v>61098.85</v>
      </c>
      <c r="E273" s="1">
        <v>60306.35</v>
      </c>
      <c r="F273" s="1">
        <v>61061.7</v>
      </c>
    </row>
    <row r="274" spans="1:6" x14ac:dyDescent="0.25">
      <c r="A274" s="1" t="s">
        <v>62</v>
      </c>
      <c r="B274" s="1">
        <v>45988</v>
      </c>
      <c r="C274" s="1">
        <v>61216.85</v>
      </c>
      <c r="D274" s="1">
        <v>61229.8</v>
      </c>
      <c r="E274" s="1">
        <v>60866.3</v>
      </c>
      <c r="F274" s="1">
        <v>61113.15</v>
      </c>
    </row>
    <row r="275" spans="1:6" x14ac:dyDescent="0.25">
      <c r="A275" s="1" t="s">
        <v>62</v>
      </c>
      <c r="B275" s="1">
        <v>45989</v>
      </c>
      <c r="C275" s="1">
        <v>61190.05</v>
      </c>
      <c r="D275" s="1">
        <v>61208.3</v>
      </c>
      <c r="E275" s="1">
        <v>60953.5</v>
      </c>
      <c r="F275" s="1">
        <v>61043.25</v>
      </c>
    </row>
    <row r="276" spans="1:6" x14ac:dyDescent="0.25">
      <c r="A276" s="1" t="s">
        <v>62</v>
      </c>
      <c r="B276" s="1">
        <v>45992</v>
      </c>
      <c r="C276" s="1">
        <v>61250.85</v>
      </c>
      <c r="D276" s="1">
        <v>61311.25</v>
      </c>
      <c r="E276" s="1">
        <v>60863.9</v>
      </c>
      <c r="F276" s="1">
        <v>61043.4</v>
      </c>
    </row>
    <row r="277" spans="1:6" x14ac:dyDescent="0.25">
      <c r="A277" s="1" t="s">
        <v>62</v>
      </c>
      <c r="B277" s="1">
        <v>45993</v>
      </c>
      <c r="C277" s="1">
        <v>61070.5</v>
      </c>
      <c r="D277" s="1">
        <v>61255</v>
      </c>
      <c r="E277" s="1">
        <v>60764.65</v>
      </c>
      <c r="F277" s="1">
        <v>60910.45</v>
      </c>
    </row>
    <row r="278" spans="1:6" x14ac:dyDescent="0.25">
      <c r="A278" s="1" t="s">
        <v>62</v>
      </c>
      <c r="B278" s="1">
        <v>45994</v>
      </c>
      <c r="C278" s="1">
        <v>60942.2</v>
      </c>
      <c r="D278" s="1">
        <v>60984.45</v>
      </c>
      <c r="E278" s="1">
        <v>60176.85</v>
      </c>
      <c r="F278" s="1">
        <v>60315.65</v>
      </c>
    </row>
    <row r="279" spans="1:6" x14ac:dyDescent="0.25">
      <c r="A279" s="1" t="s">
        <v>62</v>
      </c>
      <c r="B279" s="1">
        <v>45995</v>
      </c>
      <c r="C279" s="1">
        <v>60368.45</v>
      </c>
      <c r="D279" s="1">
        <v>60618.95</v>
      </c>
      <c r="E279" s="1">
        <v>60208.85</v>
      </c>
      <c r="F279" s="1">
        <v>60299.8</v>
      </c>
    </row>
    <row r="280" spans="1:6" x14ac:dyDescent="0.25">
      <c r="A280" s="1" t="s">
        <v>62</v>
      </c>
      <c r="B280" s="1">
        <v>45996</v>
      </c>
      <c r="C280" s="1">
        <v>60279.25</v>
      </c>
      <c r="D280" s="1">
        <v>60646.8</v>
      </c>
      <c r="E280" s="1">
        <v>60056</v>
      </c>
      <c r="F280" s="1">
        <v>60594.6</v>
      </c>
    </row>
    <row r="281" spans="1:6" x14ac:dyDescent="0.25">
      <c r="A281" s="1" t="s">
        <v>62</v>
      </c>
      <c r="B281" s="1">
        <v>45999</v>
      </c>
      <c r="C281" s="1">
        <v>60595.6</v>
      </c>
      <c r="D281" s="1">
        <v>60673.1</v>
      </c>
      <c r="E281" s="1">
        <v>59217.95</v>
      </c>
      <c r="F281" s="1">
        <v>59488.1</v>
      </c>
    </row>
    <row r="282" spans="1:6" x14ac:dyDescent="0.25">
      <c r="A282" s="1" t="s">
        <v>62</v>
      </c>
      <c r="B282" s="1">
        <v>46000</v>
      </c>
      <c r="C282" s="1">
        <v>59315.4</v>
      </c>
      <c r="D282" s="1">
        <v>59751.95</v>
      </c>
      <c r="E282" s="1">
        <v>58545.4</v>
      </c>
      <c r="F282" s="1">
        <v>59676.2</v>
      </c>
    </row>
    <row r="283" spans="1:6" x14ac:dyDescent="0.25">
      <c r="A283" s="1" t="s">
        <v>62</v>
      </c>
      <c r="B283" s="1">
        <v>46001</v>
      </c>
      <c r="C283" s="1">
        <v>59770.3</v>
      </c>
      <c r="D283" s="1">
        <v>59965.4</v>
      </c>
      <c r="E283" s="1">
        <v>58907.5</v>
      </c>
      <c r="F283" s="1">
        <v>59007.75</v>
      </c>
    </row>
    <row r="284" spans="1:6" x14ac:dyDescent="0.25">
      <c r="A284" s="1" t="s">
        <v>62</v>
      </c>
      <c r="B284" s="1">
        <v>46002</v>
      </c>
      <c r="C284" s="1">
        <v>59018.3</v>
      </c>
      <c r="D284" s="1">
        <v>59641.1</v>
      </c>
      <c r="E284" s="1">
        <v>58889.25</v>
      </c>
      <c r="F284" s="1">
        <v>59578.05</v>
      </c>
    </row>
    <row r="285" spans="1:6" x14ac:dyDescent="0.25">
      <c r="A285" s="1" t="s">
        <v>62</v>
      </c>
      <c r="B285" s="1">
        <v>46003</v>
      </c>
      <c r="C285" s="1">
        <v>59769.9</v>
      </c>
      <c r="D285" s="1">
        <v>60331.8</v>
      </c>
      <c r="E285" s="1">
        <v>59718.95</v>
      </c>
      <c r="F285" s="1">
        <v>60283.3</v>
      </c>
    </row>
    <row r="286" spans="1:6" x14ac:dyDescent="0.25">
      <c r="A286" s="1" t="s">
        <v>62</v>
      </c>
      <c r="B286" s="1">
        <v>46006</v>
      </c>
      <c r="C286" s="1">
        <v>60209.85</v>
      </c>
      <c r="D286" s="1">
        <v>60250.25</v>
      </c>
      <c r="E286" s="1">
        <v>59812.65</v>
      </c>
      <c r="F286" s="1">
        <v>60212.800000000003</v>
      </c>
    </row>
    <row r="287" spans="1:6" x14ac:dyDescent="0.25">
      <c r="A287" s="1" t="s">
        <v>62</v>
      </c>
      <c r="B287" s="1">
        <v>46007</v>
      </c>
      <c r="C287" s="1">
        <v>60155.199999999997</v>
      </c>
      <c r="D287" s="1">
        <v>60157.2</v>
      </c>
      <c r="E287" s="1">
        <v>59565.9</v>
      </c>
      <c r="F287" s="1">
        <v>59710.8</v>
      </c>
    </row>
    <row r="288" spans="1:6" x14ac:dyDescent="0.25">
      <c r="A288" s="1" t="s">
        <v>62</v>
      </c>
      <c r="B288" s="1">
        <v>46008</v>
      </c>
      <c r="C288" s="1">
        <v>59698.75</v>
      </c>
      <c r="D288" s="1">
        <v>59889.9</v>
      </c>
      <c r="E288" s="1">
        <v>59242.3</v>
      </c>
      <c r="F288" s="1">
        <v>59388.85</v>
      </c>
    </row>
    <row r="289" spans="1:6" x14ac:dyDescent="0.25">
      <c r="A289" s="1" t="s">
        <v>62</v>
      </c>
      <c r="B289" s="1">
        <v>46009</v>
      </c>
      <c r="C289" s="1">
        <v>59423.25</v>
      </c>
      <c r="D289" s="1">
        <v>59703.65</v>
      </c>
      <c r="E289" s="1">
        <v>58962.45</v>
      </c>
      <c r="F289" s="1">
        <v>59592.15</v>
      </c>
    </row>
    <row r="290" spans="1:6" x14ac:dyDescent="0.25">
      <c r="A290" s="1" t="s">
        <v>62</v>
      </c>
      <c r="B290" s="1">
        <v>46010</v>
      </c>
      <c r="C290" s="1">
        <v>59718.6</v>
      </c>
      <c r="D290" s="1">
        <v>60383.15</v>
      </c>
      <c r="E290" s="1">
        <v>59632.5</v>
      </c>
      <c r="F290" s="1">
        <v>60310.15</v>
      </c>
    </row>
    <row r="291" spans="1:6" x14ac:dyDescent="0.25">
      <c r="A291" s="1" t="s">
        <v>62</v>
      </c>
      <c r="B291" s="1">
        <v>46013</v>
      </c>
      <c r="C291" s="1">
        <v>60490.95</v>
      </c>
      <c r="D291" s="1">
        <v>60866.2</v>
      </c>
      <c r="E291" s="1">
        <v>60368.55</v>
      </c>
      <c r="F291" s="1">
        <v>60815.25</v>
      </c>
    </row>
    <row r="292" spans="1:6" x14ac:dyDescent="0.25">
      <c r="A292" s="1" t="s">
        <v>62</v>
      </c>
      <c r="B292" s="1">
        <v>46014</v>
      </c>
      <c r="C292" s="1">
        <v>60895.25</v>
      </c>
      <c r="D292" s="1">
        <v>60913.65</v>
      </c>
      <c r="E292" s="1">
        <v>60569.3</v>
      </c>
      <c r="F292" s="1">
        <v>60816.1</v>
      </c>
    </row>
    <row r="293" spans="1:6" x14ac:dyDescent="0.25">
      <c r="A293" s="1" t="s">
        <v>62</v>
      </c>
      <c r="B293" s="1">
        <v>46015</v>
      </c>
      <c r="C293" s="1">
        <v>60876.3</v>
      </c>
      <c r="D293" s="1">
        <v>61029.55</v>
      </c>
      <c r="E293" s="1">
        <v>60406.65</v>
      </c>
      <c r="F293" s="1">
        <v>60451.35</v>
      </c>
    </row>
    <row r="294" spans="1:6" x14ac:dyDescent="0.25">
      <c r="A294" s="1" t="s">
        <v>62</v>
      </c>
      <c r="B294" s="1">
        <v>46017</v>
      </c>
      <c r="C294" s="1">
        <v>60426.9</v>
      </c>
      <c r="D294" s="1">
        <v>60758.15</v>
      </c>
      <c r="E294" s="1">
        <v>60256.9</v>
      </c>
      <c r="F294" s="1">
        <v>60314.45</v>
      </c>
    </row>
    <row r="295" spans="1:6" x14ac:dyDescent="0.25">
      <c r="A295" s="1" t="s">
        <v>62</v>
      </c>
      <c r="B295" s="1">
        <v>46020</v>
      </c>
      <c r="C295" s="1">
        <v>60397.5</v>
      </c>
      <c r="D295" s="1">
        <v>60495.25</v>
      </c>
      <c r="E295" s="1">
        <v>59932.65</v>
      </c>
      <c r="F295" s="1">
        <v>60001.3</v>
      </c>
    </row>
    <row r="296" spans="1:6" x14ac:dyDescent="0.25">
      <c r="A296" s="1" t="s">
        <v>62</v>
      </c>
      <c r="B296" s="1">
        <v>46021</v>
      </c>
      <c r="C296" s="1">
        <v>59980.35</v>
      </c>
      <c r="D296" s="1">
        <v>60046.85</v>
      </c>
      <c r="E296" s="1">
        <v>59733.75</v>
      </c>
      <c r="F296" s="1">
        <v>59914.25</v>
      </c>
    </row>
    <row r="297" spans="1:6" x14ac:dyDescent="0.25">
      <c r="A297" s="1" t="s">
        <v>62</v>
      </c>
      <c r="B297" s="1">
        <v>46022</v>
      </c>
      <c r="C297" s="1">
        <v>60081.65</v>
      </c>
      <c r="D297" s="1">
        <v>60718.25</v>
      </c>
      <c r="E297" s="1">
        <v>60078.85</v>
      </c>
      <c r="F297" s="1">
        <v>60484.5</v>
      </c>
    </row>
    <row r="298" spans="1:6" x14ac:dyDescent="0.25">
      <c r="A298" s="1" t="s">
        <v>62</v>
      </c>
      <c r="B298" s="1">
        <v>46023</v>
      </c>
      <c r="C298" s="1">
        <v>60625.15</v>
      </c>
      <c r="D298" s="1">
        <v>60782.25</v>
      </c>
      <c r="E298" s="1">
        <v>60292.75</v>
      </c>
      <c r="F298" s="1">
        <v>60750.45</v>
      </c>
    </row>
    <row r="299" spans="1:6" x14ac:dyDescent="0.25">
      <c r="A299" s="1" t="s">
        <v>62</v>
      </c>
      <c r="B299" s="1">
        <v>46024</v>
      </c>
      <c r="C299" s="1">
        <v>60913.1</v>
      </c>
      <c r="D299" s="1">
        <v>61398.400000000001</v>
      </c>
      <c r="E299" s="1">
        <v>60809.2</v>
      </c>
      <c r="F299" s="1">
        <v>61365.9</v>
      </c>
    </row>
    <row r="300" spans="1:6" x14ac:dyDescent="0.25">
      <c r="A300" s="1" t="s">
        <v>62</v>
      </c>
      <c r="B300" s="1">
        <v>46027</v>
      </c>
      <c r="C300" s="1">
        <v>61516.4</v>
      </c>
      <c r="D300" s="1">
        <v>61520.6</v>
      </c>
      <c r="E300" s="1">
        <v>60970.55</v>
      </c>
      <c r="F300" s="1">
        <v>61265.7</v>
      </c>
    </row>
    <row r="301" spans="1:6" x14ac:dyDescent="0.25">
      <c r="A301" s="1" t="s">
        <v>62</v>
      </c>
      <c r="B301" s="1">
        <v>46028</v>
      </c>
      <c r="C301" s="1">
        <v>61347.5</v>
      </c>
      <c r="D301" s="1">
        <v>61393.3</v>
      </c>
      <c r="E301" s="1">
        <v>60866.3</v>
      </c>
      <c r="F301" s="1">
        <v>61148.55</v>
      </c>
    </row>
    <row r="302" spans="1:6" x14ac:dyDescent="0.25">
      <c r="A302" s="1" t="s">
        <v>62</v>
      </c>
      <c r="B302" s="1">
        <v>46029</v>
      </c>
      <c r="C302" s="1">
        <v>61178.55</v>
      </c>
      <c r="D302" s="1">
        <v>61548.85</v>
      </c>
      <c r="E302" s="1">
        <v>61082.7</v>
      </c>
      <c r="F302" s="1">
        <v>61424.7</v>
      </c>
    </row>
    <row r="303" spans="1:6" x14ac:dyDescent="0.25">
      <c r="A303" s="1" t="s">
        <v>62</v>
      </c>
      <c r="B303" s="1">
        <v>46030</v>
      </c>
      <c r="C303" s="1">
        <v>61415.55</v>
      </c>
      <c r="D303" s="1">
        <v>61437.25</v>
      </c>
      <c r="E303" s="1">
        <v>60144.95</v>
      </c>
      <c r="F303" s="1">
        <v>60222.55</v>
      </c>
    </row>
    <row r="304" spans="1:6" x14ac:dyDescent="0.25">
      <c r="A304" s="1" t="s">
        <v>62</v>
      </c>
      <c r="B304" s="1">
        <v>46031</v>
      </c>
      <c r="C304" s="1">
        <v>60194.05</v>
      </c>
      <c r="D304" s="1">
        <v>60562.35</v>
      </c>
      <c r="E304" s="1">
        <v>59500.55</v>
      </c>
      <c r="F304" s="1">
        <v>59748.15</v>
      </c>
    </row>
    <row r="305" spans="1:6" x14ac:dyDescent="0.25">
      <c r="A305" s="1" t="s">
        <v>62</v>
      </c>
      <c r="B305" s="1">
        <v>46034</v>
      </c>
      <c r="C305" s="1">
        <v>59768.35</v>
      </c>
      <c r="D305" s="1">
        <v>59845.15</v>
      </c>
      <c r="E305" s="1">
        <v>58827.9</v>
      </c>
      <c r="F305" s="1">
        <v>59717.1</v>
      </c>
    </row>
    <row r="306" spans="1:6" x14ac:dyDescent="0.25">
      <c r="A306" s="1" t="s">
        <v>62</v>
      </c>
      <c r="B306" s="1">
        <v>46035</v>
      </c>
      <c r="C306" s="1">
        <v>59942.5</v>
      </c>
      <c r="D306" s="1">
        <v>60109.75</v>
      </c>
      <c r="E306" s="1">
        <v>59071.5</v>
      </c>
      <c r="F306" s="1">
        <v>59597.8</v>
      </c>
    </row>
    <row r="307" spans="1:6" x14ac:dyDescent="0.25">
      <c r="A307" s="1" t="s">
        <v>62</v>
      </c>
      <c r="B307" s="1">
        <v>46036</v>
      </c>
      <c r="C307" s="1">
        <v>59498.7</v>
      </c>
      <c r="D307" s="1">
        <v>59889.25</v>
      </c>
      <c r="E307" s="1">
        <v>59350.15</v>
      </c>
      <c r="F307" s="1">
        <v>59770.5</v>
      </c>
    </row>
    <row r="308" spans="1:6" x14ac:dyDescent="0.25">
      <c r="A308" s="1" t="s">
        <v>62</v>
      </c>
      <c r="B308" s="1">
        <v>46038</v>
      </c>
      <c r="C308" s="1">
        <v>59850.95</v>
      </c>
      <c r="D308" s="1">
        <v>60327.9</v>
      </c>
      <c r="E308" s="1">
        <v>59715.05</v>
      </c>
      <c r="F308" s="1">
        <v>59867.8</v>
      </c>
    </row>
    <row r="309" spans="1:6" x14ac:dyDescent="0.25">
      <c r="A309" s="1" t="s">
        <v>62</v>
      </c>
      <c r="B309" s="1">
        <v>46041</v>
      </c>
      <c r="C309" s="1">
        <v>59739.55</v>
      </c>
      <c r="D309" s="1">
        <v>59938.7</v>
      </c>
      <c r="E309" s="1">
        <v>59480.3</v>
      </c>
      <c r="F309" s="1">
        <v>59647.65</v>
      </c>
    </row>
    <row r="310" spans="1:6" x14ac:dyDescent="0.25">
      <c r="A310" s="1" t="s">
        <v>62</v>
      </c>
      <c r="B310" s="1">
        <v>46042</v>
      </c>
      <c r="C310" s="1">
        <v>59626.400000000001</v>
      </c>
      <c r="D310" s="1">
        <v>59634.6</v>
      </c>
      <c r="E310" s="1">
        <v>57898.65</v>
      </c>
      <c r="F310" s="1">
        <v>58085.35</v>
      </c>
    </row>
    <row r="311" spans="1:6" x14ac:dyDescent="0.25">
      <c r="A311" s="1" t="s">
        <v>62</v>
      </c>
      <c r="B311" s="1">
        <v>46043</v>
      </c>
      <c r="C311" s="1">
        <v>57900.75</v>
      </c>
      <c r="D311" s="1">
        <v>58239.3</v>
      </c>
      <c r="E311" s="1">
        <v>56681.1</v>
      </c>
      <c r="F311" s="1">
        <v>57423.65</v>
      </c>
    </row>
    <row r="312" spans="1:6" x14ac:dyDescent="0.25">
      <c r="A312" s="1" t="s">
        <v>62</v>
      </c>
      <c r="B312" s="1">
        <v>46044</v>
      </c>
      <c r="C312" s="1">
        <v>57962.6</v>
      </c>
      <c r="D312" s="1">
        <v>58568.95</v>
      </c>
      <c r="E312" s="1">
        <v>57755.75</v>
      </c>
      <c r="F312" s="1">
        <v>58191.3</v>
      </c>
    </row>
    <row r="313" spans="1:6" x14ac:dyDescent="0.25">
      <c r="A313" s="1" t="s">
        <v>62</v>
      </c>
      <c r="B313" s="1">
        <v>46045</v>
      </c>
      <c r="C313" s="1">
        <v>58410.35</v>
      </c>
      <c r="D313" s="1">
        <v>58416.2</v>
      </c>
      <c r="E313" s="1">
        <v>57048.9</v>
      </c>
      <c r="F313" s="1">
        <v>57145.65</v>
      </c>
    </row>
    <row r="314" spans="1:6" x14ac:dyDescent="0.25">
      <c r="A314" s="1" t="s">
        <v>62</v>
      </c>
      <c r="B314" s="1">
        <v>46049</v>
      </c>
      <c r="C314" s="1">
        <v>57358.85</v>
      </c>
      <c r="D314" s="1">
        <v>57663.5</v>
      </c>
      <c r="E314" s="1">
        <v>56671.4</v>
      </c>
      <c r="F314" s="1">
        <v>57483.65</v>
      </c>
    </row>
    <row r="315" spans="1:6" x14ac:dyDescent="0.25">
      <c r="A315" s="1" t="s">
        <v>62</v>
      </c>
      <c r="B315" s="1">
        <v>46050</v>
      </c>
      <c r="C315" s="1">
        <v>57714.9</v>
      </c>
      <c r="D315" s="1">
        <v>58508.95</v>
      </c>
      <c r="E315" s="1">
        <v>57678.55</v>
      </c>
      <c r="F315" s="1">
        <v>58438.6</v>
      </c>
    </row>
    <row r="316" spans="1:6" x14ac:dyDescent="0.25">
      <c r="A316" s="1" t="s">
        <v>62</v>
      </c>
      <c r="B316" s="1">
        <v>46051</v>
      </c>
      <c r="C316" s="1">
        <v>58574.3</v>
      </c>
      <c r="D316" s="1">
        <v>58614.9</v>
      </c>
      <c r="E316" s="1">
        <v>58006.400000000001</v>
      </c>
      <c r="F316" s="1">
        <v>58541</v>
      </c>
    </row>
    <row r="317" spans="1:6" x14ac:dyDescent="0.25">
      <c r="A317" s="1" t="s">
        <v>62</v>
      </c>
      <c r="B317" s="1">
        <v>46052</v>
      </c>
      <c r="C317" s="1">
        <v>58151.6</v>
      </c>
      <c r="D317" s="1">
        <v>58628.85</v>
      </c>
      <c r="E317" s="1">
        <v>57769.45</v>
      </c>
      <c r="F317" s="1">
        <v>58432</v>
      </c>
    </row>
    <row r="318" spans="1:6" x14ac:dyDescent="0.25">
      <c r="A318" s="1" t="s">
        <v>62</v>
      </c>
      <c r="B318" s="1">
        <v>46054</v>
      </c>
      <c r="C318" s="1">
        <v>58435.7</v>
      </c>
      <c r="D318" s="1">
        <v>58650.15</v>
      </c>
      <c r="E318" s="1">
        <v>56126.55</v>
      </c>
      <c r="F318" s="1">
        <v>57120.800000000003</v>
      </c>
    </row>
    <row r="319" spans="1:6" x14ac:dyDescent="0.25">
      <c r="A319" s="1" t="s">
        <v>62</v>
      </c>
      <c r="B319" s="1">
        <v>46055</v>
      </c>
      <c r="C319" s="1">
        <v>57128.6</v>
      </c>
      <c r="D319" s="1">
        <v>57826.85</v>
      </c>
      <c r="E319" s="1">
        <v>56381.35</v>
      </c>
      <c r="F319" s="1">
        <v>57667.6</v>
      </c>
    </row>
    <row r="320" spans="1:6" x14ac:dyDescent="0.25">
      <c r="A320" s="1" t="s">
        <v>62</v>
      </c>
      <c r="B320" s="1">
        <v>46056</v>
      </c>
      <c r="C320" s="1">
        <v>60026.8</v>
      </c>
      <c r="D320" s="1">
        <v>60456.800000000003</v>
      </c>
      <c r="E320" s="1">
        <v>59034.7</v>
      </c>
      <c r="F320" s="1">
        <v>59307.1</v>
      </c>
    </row>
    <row r="321" spans="1:6" x14ac:dyDescent="0.25">
      <c r="A321" s="1" t="s">
        <v>62</v>
      </c>
      <c r="B321" s="1">
        <v>46057</v>
      </c>
      <c r="C321" s="1">
        <v>59242.05</v>
      </c>
      <c r="D321" s="1">
        <v>59769.5</v>
      </c>
      <c r="E321" s="1">
        <v>58794.35</v>
      </c>
      <c r="F321" s="1">
        <v>59683.6</v>
      </c>
    </row>
    <row r="322" spans="1:6" x14ac:dyDescent="0.25">
      <c r="A322" s="1" t="s">
        <v>62</v>
      </c>
      <c r="B322" s="1">
        <v>46058</v>
      </c>
      <c r="C322" s="1">
        <v>59662.5</v>
      </c>
      <c r="D322" s="1">
        <v>59672.3</v>
      </c>
      <c r="E322" s="1">
        <v>59069.65</v>
      </c>
      <c r="F322" s="1">
        <v>59517.1</v>
      </c>
    </row>
    <row r="323" spans="1:6" x14ac:dyDescent="0.25">
      <c r="A323" s="1" t="s">
        <v>62</v>
      </c>
      <c r="B323" s="1">
        <v>46059</v>
      </c>
      <c r="C323" s="1">
        <v>59400.75</v>
      </c>
      <c r="D323" s="1">
        <v>59573.599999999999</v>
      </c>
      <c r="E323" s="1">
        <v>58757.8</v>
      </c>
      <c r="F323" s="1">
        <v>59502.7</v>
      </c>
    </row>
    <row r="324" spans="1:6" x14ac:dyDescent="0.25">
      <c r="A324" s="1" t="s">
        <v>62</v>
      </c>
      <c r="B324" s="1">
        <v>46062</v>
      </c>
      <c r="C324" s="1">
        <v>59896.2</v>
      </c>
      <c r="D324" s="1">
        <v>60498.05</v>
      </c>
      <c r="E324" s="1">
        <v>59767.55</v>
      </c>
      <c r="F324" s="1">
        <v>60441.15</v>
      </c>
    </row>
    <row r="325" spans="1:6" x14ac:dyDescent="0.25">
      <c r="A325" s="1" t="s">
        <v>62</v>
      </c>
      <c r="B325" s="1">
        <v>46063</v>
      </c>
      <c r="C325" s="1">
        <v>60723</v>
      </c>
      <c r="D325" s="1">
        <v>60819.7</v>
      </c>
      <c r="E325" s="1">
        <v>60442.400000000001</v>
      </c>
      <c r="F325" s="1">
        <v>60735.9</v>
      </c>
    </row>
    <row r="326" spans="1:6" x14ac:dyDescent="0.25">
      <c r="A326" s="1" t="s">
        <v>62</v>
      </c>
      <c r="B326" s="1">
        <v>46064</v>
      </c>
      <c r="C326" s="1">
        <v>60812.1</v>
      </c>
      <c r="D326" s="1">
        <v>60815.199999999997</v>
      </c>
      <c r="E326" s="1">
        <v>60431.65</v>
      </c>
      <c r="F326" s="1">
        <v>60754.55</v>
      </c>
    </row>
    <row r="327" spans="1:6" x14ac:dyDescent="0.25">
      <c r="A327" s="1" t="s">
        <v>62</v>
      </c>
      <c r="B327" s="1">
        <v>46065</v>
      </c>
      <c r="C327" s="1">
        <v>60695.8</v>
      </c>
      <c r="D327" s="1">
        <v>60699.55</v>
      </c>
      <c r="E327" s="1">
        <v>60194.1</v>
      </c>
      <c r="F327" s="1">
        <v>60470.85</v>
      </c>
    </row>
    <row r="328" spans="1:6" x14ac:dyDescent="0.25">
      <c r="A328" s="1" t="s">
        <v>62</v>
      </c>
      <c r="B328" s="1">
        <v>46066</v>
      </c>
      <c r="C328" s="1">
        <v>59978.45</v>
      </c>
      <c r="D328" s="1">
        <v>59981</v>
      </c>
      <c r="E328" s="1">
        <v>59194.25</v>
      </c>
      <c r="F328" s="1">
        <v>59438</v>
      </c>
    </row>
    <row r="329" spans="1:6" x14ac:dyDescent="0.25">
      <c r="A329" s="1" t="s">
        <v>62</v>
      </c>
      <c r="B329" s="1">
        <v>46069</v>
      </c>
      <c r="C329" s="1">
        <v>59166.75</v>
      </c>
      <c r="D329" s="1">
        <v>59770.45</v>
      </c>
      <c r="E329" s="1">
        <v>58917.3</v>
      </c>
      <c r="F329" s="1">
        <v>59723</v>
      </c>
    </row>
    <row r="330" spans="1:6" x14ac:dyDescent="0.25">
      <c r="A330" s="1" t="s">
        <v>62</v>
      </c>
      <c r="B330" s="1">
        <v>46070</v>
      </c>
      <c r="C330" s="1">
        <v>59713.55</v>
      </c>
      <c r="D330" s="1">
        <v>59951.4</v>
      </c>
      <c r="E330" s="1">
        <v>59543.7</v>
      </c>
      <c r="F330" s="1">
        <v>59881.7</v>
      </c>
    </row>
    <row r="331" spans="1:6" x14ac:dyDescent="0.25">
      <c r="A331" s="1" t="s">
        <v>62</v>
      </c>
      <c r="B331" s="1">
        <v>46071</v>
      </c>
      <c r="C331" s="1">
        <v>59984.3</v>
      </c>
      <c r="D331" s="1">
        <v>60227.3</v>
      </c>
      <c r="E331" s="1">
        <v>59807.3</v>
      </c>
      <c r="F331" s="1">
        <v>60183.199999999997</v>
      </c>
    </row>
    <row r="332" spans="1:6" x14ac:dyDescent="0.25">
      <c r="A332" s="1" t="s">
        <v>62</v>
      </c>
      <c r="B332" s="1">
        <v>46072</v>
      </c>
      <c r="C332" s="1">
        <v>60278.45</v>
      </c>
      <c r="D332" s="1">
        <v>60341.7</v>
      </c>
      <c r="E332" s="1">
        <v>59038.8</v>
      </c>
      <c r="F332" s="1">
        <v>59227.65</v>
      </c>
    </row>
    <row r="333" spans="1:6" x14ac:dyDescent="0.25">
      <c r="A333" s="1" t="s">
        <v>62</v>
      </c>
      <c r="B333" s="1">
        <v>46073</v>
      </c>
      <c r="C333" s="1">
        <v>59087.75</v>
      </c>
      <c r="D333" s="1">
        <v>59690.5</v>
      </c>
      <c r="E333" s="1">
        <v>58989.75</v>
      </c>
      <c r="F333" s="1">
        <v>59513.95</v>
      </c>
    </row>
    <row r="334" spans="1:6" x14ac:dyDescent="0.25">
      <c r="A334" s="1" t="s">
        <v>62</v>
      </c>
      <c r="B334" s="1">
        <v>46076</v>
      </c>
      <c r="C334" s="1">
        <v>59612.800000000003</v>
      </c>
      <c r="D334" s="1">
        <v>59698.5</v>
      </c>
      <c r="E334" s="1">
        <v>59014.3</v>
      </c>
      <c r="F334" s="1">
        <v>59255.65</v>
      </c>
    </row>
    <row r="335" spans="1:6" x14ac:dyDescent="0.25">
      <c r="A335" s="1" t="s">
        <v>62</v>
      </c>
      <c r="B335" s="1">
        <v>46077</v>
      </c>
      <c r="C335" s="1">
        <v>59091.45</v>
      </c>
      <c r="D335" s="1">
        <v>59199.35</v>
      </c>
      <c r="E335" s="1">
        <v>58489.15</v>
      </c>
      <c r="F335" s="1">
        <v>59066.35</v>
      </c>
    </row>
    <row r="336" spans="1:6" x14ac:dyDescent="0.25">
      <c r="A336" s="1" t="s">
        <v>62</v>
      </c>
      <c r="B336" s="1">
        <v>46078</v>
      </c>
      <c r="C336" s="1">
        <v>59280</v>
      </c>
      <c r="D336" s="1">
        <v>59528.15</v>
      </c>
      <c r="E336" s="1">
        <v>59051.6</v>
      </c>
      <c r="F336" s="1">
        <v>59406.1</v>
      </c>
    </row>
    <row r="337" spans="1:6" x14ac:dyDescent="0.25">
      <c r="A337" s="1" t="s">
        <v>62</v>
      </c>
      <c r="B337" s="1">
        <v>46079</v>
      </c>
      <c r="C337" s="1">
        <v>59542.55</v>
      </c>
      <c r="D337" s="1">
        <v>59879.55</v>
      </c>
      <c r="E337" s="1">
        <v>59404.75</v>
      </c>
      <c r="F337" s="1">
        <v>59798.15</v>
      </c>
    </row>
    <row r="338" spans="1:6" x14ac:dyDescent="0.25">
      <c r="A338" s="1" t="s">
        <v>62</v>
      </c>
      <c r="B338" s="1">
        <v>46080</v>
      </c>
      <c r="C338" s="1">
        <v>59746.400000000001</v>
      </c>
      <c r="D338" s="1">
        <v>59774.9</v>
      </c>
      <c r="E338" s="1">
        <v>59014.1</v>
      </c>
      <c r="F338" s="1">
        <v>59115.6</v>
      </c>
    </row>
    <row r="339" spans="1:6" x14ac:dyDescent="0.25">
      <c r="A339" s="1" t="s">
        <v>62</v>
      </c>
      <c r="B339" s="1">
        <v>46083</v>
      </c>
      <c r="C339" s="1">
        <v>57090.8</v>
      </c>
      <c r="D339" s="1">
        <v>58814.35</v>
      </c>
      <c r="E339" s="1">
        <v>57074.75</v>
      </c>
      <c r="F339" s="1">
        <v>58180.5</v>
      </c>
    </row>
    <row r="340" spans="1:6" x14ac:dyDescent="0.25">
      <c r="A340" s="1" t="s">
        <v>62</v>
      </c>
      <c r="B340" s="1">
        <v>46085</v>
      </c>
      <c r="C340" s="1">
        <v>57339.25</v>
      </c>
      <c r="D340" s="1">
        <v>57399</v>
      </c>
      <c r="E340" s="1">
        <v>56505.3</v>
      </c>
      <c r="F340" s="1">
        <v>56925.15</v>
      </c>
    </row>
    <row r="341" spans="1:6" x14ac:dyDescent="0.25">
      <c r="A341" s="1" t="s">
        <v>62</v>
      </c>
      <c r="B341" s="1">
        <v>46086</v>
      </c>
      <c r="C341" s="1">
        <v>57330.6</v>
      </c>
      <c r="D341" s="1">
        <v>57946.45</v>
      </c>
      <c r="E341" s="1">
        <v>57014.7</v>
      </c>
      <c r="F341" s="1">
        <v>57792.55</v>
      </c>
    </row>
    <row r="342" spans="1:6" x14ac:dyDescent="0.25">
      <c r="A342" s="1" t="s">
        <v>62</v>
      </c>
      <c r="B342" s="1">
        <v>46087</v>
      </c>
      <c r="C342" s="1">
        <v>57692.15</v>
      </c>
      <c r="D342" s="1">
        <v>58104.5</v>
      </c>
      <c r="E342" s="1">
        <v>57336.55</v>
      </c>
      <c r="F342" s="1">
        <v>57393.35</v>
      </c>
    </row>
    <row r="343" spans="1:6" x14ac:dyDescent="0.25">
      <c r="A343" s="1" t="s">
        <v>62</v>
      </c>
      <c r="B343" s="1">
        <v>46090</v>
      </c>
      <c r="C343" s="1">
        <v>56328.800000000003</v>
      </c>
      <c r="D343" s="1">
        <v>56362.8</v>
      </c>
      <c r="E343" s="1">
        <v>55341.7</v>
      </c>
      <c r="F343" s="1">
        <v>56265.5</v>
      </c>
    </row>
    <row r="344" spans="1:6" x14ac:dyDescent="0.25">
      <c r="A344" s="1" t="s">
        <v>62</v>
      </c>
      <c r="B344" s="1">
        <v>46091</v>
      </c>
      <c r="C344" s="1">
        <v>56993.7</v>
      </c>
      <c r="D344" s="1">
        <v>57341.75</v>
      </c>
      <c r="E344" s="1">
        <v>56573.3</v>
      </c>
      <c r="F344" s="1">
        <v>57177.65</v>
      </c>
    </row>
    <row r="345" spans="1:6" x14ac:dyDescent="0.25">
      <c r="A345" s="1" t="s">
        <v>62</v>
      </c>
      <c r="B345" s="1">
        <v>46092</v>
      </c>
      <c r="C345" s="1">
        <v>57335.199999999997</v>
      </c>
      <c r="D345" s="1">
        <v>57656.9</v>
      </c>
      <c r="E345" s="1">
        <v>56363.4</v>
      </c>
      <c r="F345" s="1">
        <v>56461.1</v>
      </c>
    </row>
    <row r="346" spans="1:6" x14ac:dyDescent="0.25">
      <c r="A346" s="1" t="s">
        <v>62</v>
      </c>
      <c r="B346" s="1">
        <v>46093</v>
      </c>
      <c r="C346" s="1">
        <v>56142.5</v>
      </c>
      <c r="D346" s="1">
        <v>56684.3</v>
      </c>
      <c r="E346" s="1">
        <v>55378.65</v>
      </c>
      <c r="F346" s="1">
        <v>56253.75</v>
      </c>
    </row>
    <row r="347" spans="1:6" x14ac:dyDescent="0.25">
      <c r="A347" s="1" t="s">
        <v>62</v>
      </c>
      <c r="B347" s="1">
        <v>46094</v>
      </c>
      <c r="C347" s="1">
        <v>55997.15</v>
      </c>
      <c r="D347" s="1">
        <v>56140.55</v>
      </c>
      <c r="E347" s="1">
        <v>54633.599999999999</v>
      </c>
      <c r="F347" s="1">
        <v>54761.1</v>
      </c>
    </row>
    <row r="348" spans="1:6" x14ac:dyDescent="0.25">
      <c r="A348" s="1" t="s">
        <v>62</v>
      </c>
      <c r="B348" s="1">
        <v>46097</v>
      </c>
      <c r="C348" s="1">
        <v>54652.55</v>
      </c>
      <c r="D348" s="1">
        <v>55013.3</v>
      </c>
      <c r="E348" s="1">
        <v>53712.55</v>
      </c>
      <c r="F348" s="1">
        <v>54614.95</v>
      </c>
    </row>
    <row r="349" spans="1:6" x14ac:dyDescent="0.25">
      <c r="A349" s="1" t="s">
        <v>62</v>
      </c>
      <c r="B349" s="1">
        <v>46098</v>
      </c>
      <c r="C349" s="1">
        <v>54880.800000000003</v>
      </c>
      <c r="D349" s="1">
        <v>55304.7</v>
      </c>
      <c r="E349" s="1">
        <v>54446.05</v>
      </c>
      <c r="F349" s="1">
        <v>55174.400000000001</v>
      </c>
    </row>
    <row r="350" spans="1:6" x14ac:dyDescent="0.25">
      <c r="A350" s="1" t="s">
        <v>62</v>
      </c>
      <c r="B350" s="1">
        <v>46099</v>
      </c>
      <c r="C350" s="1">
        <v>55289.1</v>
      </c>
      <c r="D350" s="1">
        <v>56497.8</v>
      </c>
      <c r="E350" s="1">
        <v>55253.3</v>
      </c>
      <c r="F350" s="1">
        <v>56289.85</v>
      </c>
    </row>
    <row r="351" spans="1:6" x14ac:dyDescent="0.25">
      <c r="A351" s="1" t="s">
        <v>62</v>
      </c>
      <c r="B351" s="1">
        <v>46100</v>
      </c>
      <c r="C351" s="1">
        <v>55391.199999999997</v>
      </c>
      <c r="D351" s="1">
        <v>55419.85</v>
      </c>
      <c r="E351" s="1">
        <v>54253.7</v>
      </c>
      <c r="F351" s="1">
        <v>54492.3</v>
      </c>
    </row>
    <row r="352" spans="1:6" x14ac:dyDescent="0.25">
      <c r="A352" s="1" t="s">
        <v>62</v>
      </c>
      <c r="B352" s="1">
        <v>46101</v>
      </c>
      <c r="C352" s="1">
        <v>54903.35</v>
      </c>
      <c r="D352" s="1">
        <v>55560.35</v>
      </c>
      <c r="E352" s="1">
        <v>54768.55</v>
      </c>
      <c r="F352" s="1">
        <v>54855.5</v>
      </c>
    </row>
    <row r="353" spans="1:6" x14ac:dyDescent="0.25">
      <c r="A353" s="1" t="s">
        <v>62</v>
      </c>
      <c r="B353" s="1">
        <v>46104</v>
      </c>
      <c r="C353" s="1">
        <v>54242.400000000001</v>
      </c>
      <c r="D353" s="1">
        <v>54242.400000000001</v>
      </c>
      <c r="E353" s="1">
        <v>52573.55</v>
      </c>
      <c r="F353" s="1">
        <v>52717.55</v>
      </c>
    </row>
    <row r="354" spans="1:6" x14ac:dyDescent="0.25">
      <c r="A354" s="1" t="s">
        <v>62</v>
      </c>
      <c r="B354" s="1">
        <v>46105</v>
      </c>
      <c r="C354" s="1">
        <v>53878.3</v>
      </c>
      <c r="D354" s="1">
        <v>54315.95</v>
      </c>
      <c r="E354" s="1">
        <v>52958.8</v>
      </c>
      <c r="F354" s="1">
        <v>54087</v>
      </c>
    </row>
    <row r="355" spans="1:6" x14ac:dyDescent="0.25">
      <c r="A355" s="1" t="s">
        <v>62</v>
      </c>
      <c r="B355" s="1">
        <v>46106</v>
      </c>
      <c r="C355" s="1">
        <v>54633.5</v>
      </c>
      <c r="D355" s="1">
        <v>55688.5</v>
      </c>
      <c r="E355" s="1">
        <v>54591.15</v>
      </c>
      <c r="F355" s="1">
        <v>55331.05</v>
      </c>
    </row>
    <row r="356" spans="1:6" x14ac:dyDescent="0.25">
      <c r="A356" s="1" t="s">
        <v>62</v>
      </c>
      <c r="B356" s="1">
        <v>46108</v>
      </c>
      <c r="C356" s="1">
        <v>54997.35</v>
      </c>
      <c r="D356" s="1">
        <v>55014.400000000001</v>
      </c>
      <c r="E356" s="1">
        <v>53991.55</v>
      </c>
      <c r="F356" s="1">
        <v>54097.8</v>
      </c>
    </row>
    <row r="357" spans="1:6" x14ac:dyDescent="0.25">
      <c r="A357" s="1" t="s">
        <v>62</v>
      </c>
      <c r="B357" s="1">
        <v>46111</v>
      </c>
      <c r="C357" s="1">
        <v>53383.45</v>
      </c>
      <c r="D357" s="1">
        <v>53555.6</v>
      </c>
      <c r="E357" s="1">
        <v>52554.45</v>
      </c>
      <c r="F357" s="1">
        <v>52650</v>
      </c>
    </row>
    <row r="358" spans="1:6" x14ac:dyDescent="0.25">
      <c r="A358" s="1" t="s">
        <v>62</v>
      </c>
      <c r="B358" s="1">
        <v>46113</v>
      </c>
      <c r="C358" s="1">
        <v>54075.45</v>
      </c>
      <c r="D358" s="1">
        <v>54519.6</v>
      </c>
      <c r="E358" s="1">
        <v>53582.95</v>
      </c>
      <c r="F358" s="1">
        <v>53819.15</v>
      </c>
    </row>
    <row r="359" spans="1:6" x14ac:dyDescent="0.25">
      <c r="A359" s="1" t="s">
        <v>62</v>
      </c>
      <c r="B359" s="1">
        <v>46114</v>
      </c>
      <c r="C359" s="1">
        <v>53167.25</v>
      </c>
      <c r="D359" s="1">
        <v>53804.25</v>
      </c>
      <c r="E359" s="1">
        <v>52032.85</v>
      </c>
      <c r="F359" s="1">
        <v>53677.05</v>
      </c>
    </row>
    <row r="360" spans="1:6" x14ac:dyDescent="0.25">
      <c r="A360" s="1" t="s">
        <v>62</v>
      </c>
      <c r="B360" s="1">
        <v>46118</v>
      </c>
      <c r="C360" s="1">
        <v>53757.95</v>
      </c>
      <c r="D360" s="1">
        <v>54554.45</v>
      </c>
      <c r="E360" s="1">
        <v>53068.55</v>
      </c>
      <c r="F360" s="1">
        <v>54492.65</v>
      </c>
    </row>
    <row r="361" spans="1:6" x14ac:dyDescent="0.25">
      <c r="A361" s="1" t="s">
        <v>62</v>
      </c>
      <c r="B361" s="1">
        <v>46119</v>
      </c>
      <c r="C361" s="1">
        <v>54218.9</v>
      </c>
      <c r="D361" s="1">
        <v>54667.85</v>
      </c>
      <c r="E361" s="1">
        <v>53656.45</v>
      </c>
      <c r="F361" s="1">
        <v>54600.55</v>
      </c>
    </row>
    <row r="362" spans="1:6" x14ac:dyDescent="0.25">
      <c r="A362" s="1" t="s">
        <v>62</v>
      </c>
      <c r="B362" s="1">
        <v>46120</v>
      </c>
      <c r="C362" s="1">
        <v>56441.65</v>
      </c>
      <c r="D362" s="1">
        <v>56891.75</v>
      </c>
      <c r="E362" s="1">
        <v>56209.8</v>
      </c>
      <c r="F362" s="1">
        <v>56799.5</v>
      </c>
    </row>
    <row r="363" spans="1:6" x14ac:dyDescent="0.25">
      <c r="A363" s="1" t="s">
        <v>62</v>
      </c>
      <c r="B363" s="1">
        <v>46121</v>
      </c>
      <c r="C363" s="1">
        <v>56832.15</v>
      </c>
      <c r="D363" s="1">
        <v>57294</v>
      </c>
      <c r="E363" s="1">
        <v>56341.15</v>
      </c>
      <c r="F363" s="1">
        <v>56978.75</v>
      </c>
    </row>
    <row r="364" spans="1:6" x14ac:dyDescent="0.25">
      <c r="A364" s="1" t="s">
        <v>62</v>
      </c>
      <c r="B364" s="1">
        <v>46122</v>
      </c>
      <c r="C364" s="1">
        <v>57315.6</v>
      </c>
      <c r="D364" s="1">
        <v>57885.75</v>
      </c>
      <c r="E364" s="1">
        <v>57168.2</v>
      </c>
      <c r="F364" s="1">
        <v>57843.95</v>
      </c>
    </row>
    <row r="365" spans="1:6" x14ac:dyDescent="0.25">
      <c r="A365" s="1" t="s">
        <v>62</v>
      </c>
      <c r="B365" s="1">
        <v>46125</v>
      </c>
      <c r="C365" s="1">
        <v>56676.4</v>
      </c>
      <c r="D365" s="1">
        <v>57743</v>
      </c>
      <c r="E365" s="1">
        <v>56289.5</v>
      </c>
      <c r="F365" s="1">
        <v>57513.3</v>
      </c>
    </row>
    <row r="366" spans="1:6" x14ac:dyDescent="0.25">
      <c r="A366" s="1" t="s">
        <v>62</v>
      </c>
      <c r="B366" s="1">
        <v>46127</v>
      </c>
      <c r="C366" s="1">
        <v>58463.9</v>
      </c>
      <c r="D366" s="1">
        <v>58850.25</v>
      </c>
      <c r="E366" s="1">
        <v>58378.35</v>
      </c>
      <c r="F366" s="1">
        <v>58777.75</v>
      </c>
    </row>
    <row r="367" spans="1:6" x14ac:dyDescent="0.25">
      <c r="A367" s="1" t="s">
        <v>62</v>
      </c>
      <c r="B367" s="1">
        <v>46128</v>
      </c>
      <c r="C367" s="1">
        <v>59252.95</v>
      </c>
      <c r="D367" s="1">
        <v>59443.5</v>
      </c>
      <c r="E367" s="1">
        <v>58621.95</v>
      </c>
      <c r="F367" s="1">
        <v>59146.75</v>
      </c>
    </row>
    <row r="368" spans="1:6" x14ac:dyDescent="0.25">
      <c r="A368" s="1" t="s">
        <v>62</v>
      </c>
      <c r="B368" s="1">
        <v>46129</v>
      </c>
      <c r="C368" s="1">
        <v>59275.25</v>
      </c>
      <c r="D368" s="1">
        <v>59961.65</v>
      </c>
      <c r="E368" s="1">
        <v>59057.5</v>
      </c>
      <c r="F368" s="1">
        <v>59898.2</v>
      </c>
    </row>
    <row r="369" spans="1:6" x14ac:dyDescent="0.25">
      <c r="A369" s="1" t="s">
        <v>62</v>
      </c>
      <c r="B369" s="1">
        <v>46132</v>
      </c>
      <c r="C369" s="1">
        <v>60034</v>
      </c>
      <c r="D369" s="1">
        <v>60261.1</v>
      </c>
      <c r="E369" s="1">
        <v>59420.7</v>
      </c>
      <c r="F369" s="1">
        <v>59790.75</v>
      </c>
    </row>
    <row r="370" spans="1:6" x14ac:dyDescent="0.25">
      <c r="A370" s="1" t="s">
        <v>62</v>
      </c>
      <c r="B370" s="1">
        <v>46133</v>
      </c>
      <c r="C370" s="1">
        <v>59933.1</v>
      </c>
      <c r="D370" s="1">
        <v>60338</v>
      </c>
      <c r="E370" s="1">
        <v>59895.8</v>
      </c>
      <c r="F370" s="1">
        <v>60086.7</v>
      </c>
    </row>
    <row r="371" spans="1:6" x14ac:dyDescent="0.25">
      <c r="A371" s="1" t="s">
        <v>62</v>
      </c>
      <c r="B371" s="1">
        <v>46134</v>
      </c>
      <c r="C371" s="1">
        <v>59989.599999999999</v>
      </c>
      <c r="D371" s="1">
        <v>60380.75</v>
      </c>
      <c r="E371" s="1">
        <v>59885</v>
      </c>
      <c r="F371" s="1">
        <v>60201.599999999999</v>
      </c>
    </row>
    <row r="372" spans="1:6" x14ac:dyDescent="0.25">
      <c r="A372" s="1" t="s">
        <v>62</v>
      </c>
      <c r="B372" s="1">
        <v>46135</v>
      </c>
      <c r="C372" s="1">
        <v>60050.1</v>
      </c>
      <c r="D372" s="1">
        <v>60300.95</v>
      </c>
      <c r="E372" s="1">
        <v>59817.8</v>
      </c>
      <c r="F372" s="1">
        <v>59952.800000000003</v>
      </c>
    </row>
    <row r="373" spans="1:6" x14ac:dyDescent="0.25">
      <c r="A373" s="1" t="s">
        <v>62</v>
      </c>
      <c r="B373" s="1">
        <v>46136</v>
      </c>
      <c r="C373" s="1">
        <v>60049.5</v>
      </c>
      <c r="D373" s="1">
        <v>60213.65</v>
      </c>
      <c r="E373" s="1">
        <v>59070.1</v>
      </c>
      <c r="F373" s="1">
        <v>59374.8</v>
      </c>
    </row>
    <row r="374" spans="1:6" x14ac:dyDescent="0.25">
      <c r="A374" s="1" t="s">
        <v>62</v>
      </c>
      <c r="B374" s="1">
        <v>46139</v>
      </c>
      <c r="C374" s="1">
        <v>59686.6</v>
      </c>
      <c r="D374" s="1">
        <v>60372.75</v>
      </c>
      <c r="E374" s="1">
        <v>59643.7</v>
      </c>
      <c r="F374" s="1">
        <v>60248.35</v>
      </c>
    </row>
    <row r="375" spans="1:6" x14ac:dyDescent="0.25">
      <c r="A375" s="1" t="s">
        <v>62</v>
      </c>
      <c r="B375" s="1">
        <v>46140</v>
      </c>
      <c r="C375" s="1">
        <v>60317.9</v>
      </c>
      <c r="D375" s="1">
        <v>60611.15</v>
      </c>
      <c r="E375" s="1">
        <v>60233.4</v>
      </c>
      <c r="F375" s="1">
        <v>60419.4</v>
      </c>
    </row>
    <row r="376" spans="1:6" x14ac:dyDescent="0.25">
      <c r="A376" s="1" t="s">
        <v>62</v>
      </c>
      <c r="B376" s="1">
        <v>46141</v>
      </c>
      <c r="C376" s="1">
        <v>60766.45</v>
      </c>
      <c r="D376" s="1">
        <v>60965.7</v>
      </c>
      <c r="E376" s="1">
        <v>60274.6</v>
      </c>
      <c r="F376" s="1">
        <v>60376.9</v>
      </c>
    </row>
    <row r="377" spans="1:6" x14ac:dyDescent="0.25">
      <c r="A377" s="1" t="s">
        <v>62</v>
      </c>
      <c r="B377" s="1">
        <v>46142</v>
      </c>
      <c r="C377" s="1">
        <v>60148.9</v>
      </c>
      <c r="D377" s="1">
        <v>60156.45</v>
      </c>
      <c r="E377" s="1">
        <v>59323</v>
      </c>
      <c r="F377" s="1">
        <v>59784.85</v>
      </c>
    </row>
    <row r="378" spans="1:6" x14ac:dyDescent="0.25">
      <c r="A378" s="1" t="s">
        <v>62</v>
      </c>
      <c r="B378" s="1">
        <v>46146</v>
      </c>
      <c r="C378" s="1">
        <v>60235.5</v>
      </c>
      <c r="D378" s="1">
        <v>60563.95</v>
      </c>
      <c r="E378" s="1">
        <v>59787.6</v>
      </c>
      <c r="F378" s="1">
        <v>60159.75</v>
      </c>
    </row>
    <row r="379" spans="1:6" x14ac:dyDescent="0.25">
      <c r="A379" s="1" t="s">
        <v>62</v>
      </c>
      <c r="B379" s="1">
        <v>46147</v>
      </c>
      <c r="C379" s="1">
        <v>60165.75</v>
      </c>
      <c r="D379" s="1">
        <v>60347.9</v>
      </c>
      <c r="E379" s="1">
        <v>59878.35</v>
      </c>
      <c r="F379" s="1">
        <v>60264.5</v>
      </c>
    </row>
    <row r="380" spans="1:6" x14ac:dyDescent="0.25">
      <c r="A380" s="1" t="s">
        <v>62</v>
      </c>
      <c r="B380" s="1">
        <v>46148</v>
      </c>
      <c r="C380" s="1">
        <v>60925.95</v>
      </c>
      <c r="D380" s="1">
        <v>61389.15</v>
      </c>
      <c r="E380" s="1">
        <v>60759.7</v>
      </c>
      <c r="F380" s="1">
        <v>61326.7</v>
      </c>
    </row>
    <row r="381" spans="1:6" x14ac:dyDescent="0.25">
      <c r="A381" s="1" t="s">
        <v>62</v>
      </c>
      <c r="B381" s="1">
        <v>46149</v>
      </c>
      <c r="C381" s="1">
        <v>61658.9</v>
      </c>
      <c r="D381" s="1">
        <v>62094.400000000001</v>
      </c>
      <c r="E381" s="1">
        <v>61441.15</v>
      </c>
      <c r="F381" s="1">
        <v>62003.15</v>
      </c>
    </row>
    <row r="382" spans="1:6" x14ac:dyDescent="0.25">
      <c r="A382" s="1" t="s">
        <v>62</v>
      </c>
      <c r="B382" s="1">
        <v>46150</v>
      </c>
      <c r="C382" s="1">
        <v>62039.15</v>
      </c>
      <c r="D382" s="1">
        <v>62113.85</v>
      </c>
      <c r="E382" s="1">
        <v>61766.35</v>
      </c>
      <c r="F382" s="1">
        <v>61910.9</v>
      </c>
    </row>
    <row r="383" spans="1:6" x14ac:dyDescent="0.25">
      <c r="A383" s="1" t="s">
        <v>62</v>
      </c>
      <c r="B383" s="1">
        <v>46153</v>
      </c>
      <c r="C383" s="1">
        <v>61630.3</v>
      </c>
      <c r="D383" s="1">
        <v>61686.5</v>
      </c>
      <c r="E383" s="1">
        <v>61035.05</v>
      </c>
      <c r="F383" s="1">
        <v>61258.400000000001</v>
      </c>
    </row>
    <row r="384" spans="1:6" x14ac:dyDescent="0.25">
      <c r="A384" s="1" t="s">
        <v>62</v>
      </c>
      <c r="B384" s="1">
        <v>46154</v>
      </c>
      <c r="C384" s="1">
        <v>61171.45</v>
      </c>
      <c r="D384" s="1">
        <v>61325.35</v>
      </c>
      <c r="E384" s="1">
        <v>59625.65</v>
      </c>
      <c r="F384" s="1">
        <v>59704.65</v>
      </c>
    </row>
    <row r="385" spans="1:6" x14ac:dyDescent="0.25">
      <c r="A385" s="1" t="s">
        <v>62</v>
      </c>
      <c r="B385" s="1">
        <v>46155</v>
      </c>
      <c r="C385" s="1">
        <v>59761.4</v>
      </c>
      <c r="D385" s="1">
        <v>60607.65</v>
      </c>
      <c r="E385" s="1">
        <v>59560.65</v>
      </c>
      <c r="F385" s="1">
        <v>60164.65</v>
      </c>
    </row>
    <row r="386" spans="1:6" x14ac:dyDescent="0.25">
      <c r="A386" s="1" t="s">
        <v>62</v>
      </c>
      <c r="B386" s="1">
        <v>46156</v>
      </c>
      <c r="C386" s="1">
        <v>60501.05</v>
      </c>
      <c r="D386" s="1">
        <v>60940</v>
      </c>
      <c r="E386" s="1">
        <v>59903</v>
      </c>
      <c r="F386" s="1">
        <v>60839.7</v>
      </c>
    </row>
    <row r="387" spans="1:6" x14ac:dyDescent="0.25">
      <c r="A387" s="1" t="s">
        <v>62</v>
      </c>
      <c r="B387" s="1">
        <v>46157</v>
      </c>
      <c r="C387" s="1">
        <v>61033.85</v>
      </c>
      <c r="D387" s="1">
        <v>61047.15</v>
      </c>
      <c r="E387" s="1">
        <v>60473.05</v>
      </c>
      <c r="F387" s="1">
        <v>60567.15</v>
      </c>
    </row>
    <row r="388" spans="1:6" x14ac:dyDescent="0.25">
      <c r="A388" s="1" t="s">
        <v>62</v>
      </c>
      <c r="B388" s="1">
        <v>46160</v>
      </c>
      <c r="C388" s="1">
        <v>60183.9</v>
      </c>
      <c r="D388" s="1">
        <v>60545.15</v>
      </c>
      <c r="E388" s="1">
        <v>59457.65</v>
      </c>
      <c r="F388" s="1">
        <v>60473.8</v>
      </c>
    </row>
    <row r="389" spans="1:6" x14ac:dyDescent="0.25">
      <c r="A389" s="1" t="s">
        <v>62</v>
      </c>
      <c r="B389" s="1">
        <v>46161</v>
      </c>
      <c r="C389" s="1">
        <v>60643.5</v>
      </c>
      <c r="D389" s="1">
        <v>61409.35</v>
      </c>
      <c r="E389" s="1">
        <v>60640.95</v>
      </c>
      <c r="F389" s="1">
        <v>61022</v>
      </c>
    </row>
    <row r="390" spans="1:6" x14ac:dyDescent="0.25">
      <c r="A390" s="1" t="s">
        <v>62</v>
      </c>
      <c r="B390" s="1">
        <v>46162</v>
      </c>
      <c r="C390" s="1">
        <v>60643.1</v>
      </c>
      <c r="D390" s="1">
        <v>61401.599999999999</v>
      </c>
      <c r="E390" s="1">
        <v>60478.400000000001</v>
      </c>
      <c r="F390" s="1">
        <v>61323.3</v>
      </c>
    </row>
    <row r="391" spans="1:6" x14ac:dyDescent="0.25">
      <c r="A391" s="1" t="s">
        <v>62</v>
      </c>
      <c r="B391" s="1">
        <v>46163</v>
      </c>
      <c r="C391" s="1">
        <v>61772.6</v>
      </c>
      <c r="D391" s="1">
        <v>61894.55</v>
      </c>
      <c r="E391" s="1">
        <v>61180.4</v>
      </c>
      <c r="F391" s="1">
        <v>61300.6</v>
      </c>
    </row>
    <row r="392" spans="1:6" x14ac:dyDescent="0.25">
      <c r="A392" s="1" t="s">
        <v>62</v>
      </c>
      <c r="B392" s="1">
        <v>46164</v>
      </c>
      <c r="C392" s="1">
        <v>61490.25</v>
      </c>
      <c r="D392" s="1">
        <v>61501.8</v>
      </c>
      <c r="E392" s="1">
        <v>61094.6</v>
      </c>
      <c r="F392" s="1">
        <v>61389.3</v>
      </c>
    </row>
    <row r="393" spans="1:6" x14ac:dyDescent="0.25">
      <c r="A393" s="1" t="s">
        <v>62</v>
      </c>
      <c r="B393" s="1">
        <v>46167</v>
      </c>
      <c r="C393" s="1">
        <v>61952.45</v>
      </c>
      <c r="D393" s="1">
        <v>62034.7</v>
      </c>
      <c r="E393" s="1">
        <v>61777</v>
      </c>
      <c r="F393" s="1">
        <v>61966.6</v>
      </c>
    </row>
    <row r="394" spans="1:6" x14ac:dyDescent="0.25">
      <c r="A394" s="1" t="s">
        <v>62</v>
      </c>
      <c r="B394" s="1">
        <v>46168</v>
      </c>
      <c r="C394" s="1">
        <v>62037.25</v>
      </c>
      <c r="D394" s="1">
        <v>62365.25</v>
      </c>
      <c r="E394" s="1">
        <v>61875.85</v>
      </c>
      <c r="F394" s="1">
        <v>62298.9</v>
      </c>
    </row>
    <row r="395" spans="1:6" x14ac:dyDescent="0.25">
      <c r="A395" s="1" t="s">
        <v>62</v>
      </c>
      <c r="B395" s="1">
        <v>46169</v>
      </c>
      <c r="C395" s="1">
        <v>62392.95</v>
      </c>
      <c r="D395" s="1">
        <v>62704.1</v>
      </c>
      <c r="E395" s="1">
        <v>62357.8</v>
      </c>
      <c r="F395" s="1">
        <v>62558.85</v>
      </c>
    </row>
    <row r="396" spans="1:6" x14ac:dyDescent="0.25">
      <c r="A396" s="1" t="s">
        <v>62</v>
      </c>
      <c r="B396" s="1">
        <v>46171</v>
      </c>
      <c r="C396" s="1">
        <v>62861.2</v>
      </c>
      <c r="D396" s="1">
        <v>62907.5</v>
      </c>
      <c r="E396" s="1">
        <v>61581.8</v>
      </c>
      <c r="F396" s="1">
        <v>61723.8</v>
      </c>
    </row>
    <row r="397" spans="1:6" x14ac:dyDescent="0.25">
      <c r="A397" s="1" t="s">
        <v>62</v>
      </c>
      <c r="B397" s="1">
        <v>46174</v>
      </c>
      <c r="C397" s="1">
        <v>61978.2</v>
      </c>
      <c r="D397" s="1">
        <v>62062</v>
      </c>
      <c r="E397" s="1">
        <v>60735.85</v>
      </c>
      <c r="F397" s="1">
        <v>60827.95</v>
      </c>
    </row>
    <row r="398" spans="1:6" x14ac:dyDescent="0.25">
      <c r="A398" s="1" t="s">
        <v>62</v>
      </c>
      <c r="B398" s="1">
        <v>46175</v>
      </c>
      <c r="C398" s="1">
        <v>60479.35</v>
      </c>
      <c r="D398" s="1">
        <v>61018.55</v>
      </c>
      <c r="E398" s="1">
        <v>60170.35</v>
      </c>
      <c r="F398" s="1">
        <v>60942</v>
      </c>
    </row>
    <row r="399" spans="1:6" x14ac:dyDescent="0.25">
      <c r="A399" s="1" t="s">
        <v>62</v>
      </c>
      <c r="B399" s="1">
        <v>46176</v>
      </c>
      <c r="C399" s="1">
        <v>60929.1</v>
      </c>
      <c r="D399" s="1">
        <v>60964.800000000003</v>
      </c>
      <c r="E399" s="1">
        <v>59938.8</v>
      </c>
      <c r="F399" s="1">
        <v>60687.199999999997</v>
      </c>
    </row>
    <row r="400" spans="1:6" x14ac:dyDescent="0.25">
      <c r="A400" s="1" t="s">
        <v>62</v>
      </c>
      <c r="B400" s="1">
        <v>46177</v>
      </c>
      <c r="C400" s="1">
        <v>60568.7</v>
      </c>
      <c r="D400" s="1">
        <v>61273.95</v>
      </c>
      <c r="E400" s="1">
        <v>60379.6</v>
      </c>
      <c r="F400" s="1">
        <v>60966.65</v>
      </c>
    </row>
    <row r="401" spans="1:6" x14ac:dyDescent="0.25">
      <c r="A401" s="1" t="s">
        <v>62</v>
      </c>
      <c r="B401" s="1">
        <v>46178</v>
      </c>
      <c r="C401" s="1">
        <v>61179</v>
      </c>
      <c r="D401" s="1">
        <v>61359.15</v>
      </c>
      <c r="E401" s="1">
        <v>60508.15</v>
      </c>
      <c r="F401" s="1">
        <v>60754.9</v>
      </c>
    </row>
    <row r="402" spans="1:6" x14ac:dyDescent="0.25">
      <c r="A402" s="1" t="s">
        <v>62</v>
      </c>
      <c r="B402" s="1">
        <v>46181</v>
      </c>
      <c r="C402" s="1">
        <v>59976.2</v>
      </c>
      <c r="D402" s="1">
        <v>60569.85</v>
      </c>
      <c r="E402" s="1">
        <v>59648.85</v>
      </c>
      <c r="F402" s="1">
        <v>59905.65</v>
      </c>
    </row>
    <row r="403" spans="1:6" x14ac:dyDescent="0.25">
      <c r="A403" s="1" t="s">
        <v>62</v>
      </c>
      <c r="B403" s="1">
        <v>46182</v>
      </c>
      <c r="C403" s="1">
        <v>60265.1</v>
      </c>
      <c r="D403" s="1">
        <v>60796.6</v>
      </c>
      <c r="E403" s="1">
        <v>60221.599999999999</v>
      </c>
      <c r="F403" s="1">
        <v>60715.45</v>
      </c>
    </row>
    <row r="404" spans="1:6" x14ac:dyDescent="0.25">
      <c r="A404" s="1" t="s">
        <v>62</v>
      </c>
      <c r="B404" s="1">
        <v>46183</v>
      </c>
      <c r="C404" s="1">
        <v>60783.85</v>
      </c>
      <c r="D404" s="1">
        <v>60813.45</v>
      </c>
      <c r="E404" s="1">
        <v>59680.35</v>
      </c>
      <c r="F404" s="1">
        <v>59810.2</v>
      </c>
    </row>
    <row r="405" spans="1:6" x14ac:dyDescent="0.25">
      <c r="A405" s="1" t="s">
        <v>62</v>
      </c>
      <c r="B405" s="1">
        <v>46184</v>
      </c>
      <c r="C405" s="1">
        <v>59546.25</v>
      </c>
      <c r="D405" s="1">
        <v>59763.65</v>
      </c>
      <c r="E405" s="1">
        <v>59217.15</v>
      </c>
      <c r="F405" s="1">
        <v>59325.4</v>
      </c>
    </row>
    <row r="406" spans="1:6" x14ac:dyDescent="0.25">
      <c r="A406" s="1" t="s">
        <v>62</v>
      </c>
      <c r="B406" s="1">
        <v>46185</v>
      </c>
      <c r="C406" s="1">
        <v>60115.85</v>
      </c>
      <c r="D406" s="1">
        <v>60829.15</v>
      </c>
      <c r="E406" s="1">
        <v>59833.8</v>
      </c>
      <c r="F406" s="1">
        <v>60768.1</v>
      </c>
    </row>
    <row r="407" spans="1:6" x14ac:dyDescent="0.25">
      <c r="A407" s="1" t="s">
        <v>62</v>
      </c>
      <c r="B407" s="1">
        <v>46188</v>
      </c>
      <c r="C407" s="1">
        <v>61734.05</v>
      </c>
      <c r="D407" s="1">
        <v>61886.45</v>
      </c>
      <c r="E407" s="1">
        <v>61446.75</v>
      </c>
      <c r="F407" s="1">
        <v>61549.65</v>
      </c>
    </row>
    <row r="408" spans="1:6" x14ac:dyDescent="0.25">
      <c r="A408" s="1" t="s">
        <v>62</v>
      </c>
      <c r="B408" s="1">
        <v>46189</v>
      </c>
      <c r="C408" s="1">
        <v>61783</v>
      </c>
      <c r="D408" s="1">
        <v>61838</v>
      </c>
      <c r="E408" s="1">
        <v>61408.15</v>
      </c>
      <c r="F408" s="1">
        <v>61802.05</v>
      </c>
    </row>
    <row r="409" spans="1:6" x14ac:dyDescent="0.25">
      <c r="A409" s="1" t="s">
        <v>62</v>
      </c>
      <c r="B409" s="1">
        <v>46190</v>
      </c>
      <c r="C409" s="1">
        <v>61960.75</v>
      </c>
      <c r="D409" s="1">
        <v>62152.15</v>
      </c>
      <c r="E409" s="1">
        <v>61811.7</v>
      </c>
      <c r="F409" s="1">
        <v>62123.35</v>
      </c>
    </row>
    <row r="410" spans="1:6" x14ac:dyDescent="0.25">
      <c r="A410" s="1" t="s">
        <v>62</v>
      </c>
      <c r="B410" s="1">
        <v>46191</v>
      </c>
      <c r="C410" s="1">
        <v>62266.400000000001</v>
      </c>
      <c r="D410" s="1">
        <v>62421.95</v>
      </c>
      <c r="E410" s="1">
        <v>62100</v>
      </c>
      <c r="F410" s="1">
        <v>62379.25</v>
      </c>
    </row>
    <row r="411" spans="1:6" x14ac:dyDescent="0.25">
      <c r="A411" s="1" t="s">
        <v>62</v>
      </c>
      <c r="B411" s="1">
        <v>46192</v>
      </c>
      <c r="C411" s="1">
        <v>62092.2</v>
      </c>
      <c r="D411" s="1">
        <v>62583.45</v>
      </c>
      <c r="E411" s="1">
        <v>61947.25</v>
      </c>
      <c r="F411" s="1">
        <v>62517.3</v>
      </c>
    </row>
    <row r="412" spans="1:6" x14ac:dyDescent="0.25">
      <c r="A412" s="1" t="s">
        <v>62</v>
      </c>
      <c r="B412" s="1">
        <v>46195</v>
      </c>
      <c r="C412" s="1">
        <v>62784.7</v>
      </c>
      <c r="D412" s="1">
        <v>62875.6</v>
      </c>
      <c r="E412" s="1">
        <v>62569.1</v>
      </c>
      <c r="F412" s="1">
        <v>62729.1</v>
      </c>
    </row>
    <row r="413" spans="1:6" x14ac:dyDescent="0.25">
      <c r="A413" s="1" t="s">
        <v>62</v>
      </c>
      <c r="B413" s="1">
        <v>46196</v>
      </c>
      <c r="C413" s="1">
        <v>62817.45</v>
      </c>
      <c r="D413" s="1">
        <v>62909.55</v>
      </c>
      <c r="E413" s="1">
        <v>61986.85</v>
      </c>
      <c r="F413" s="1">
        <v>62070.35</v>
      </c>
    </row>
    <row r="414" spans="1:6" x14ac:dyDescent="0.25">
      <c r="A414" s="1" t="s">
        <v>62</v>
      </c>
      <c r="B414" s="1">
        <v>46197</v>
      </c>
      <c r="C414" s="1">
        <v>62049.95</v>
      </c>
      <c r="D414" s="1">
        <v>62336.4</v>
      </c>
      <c r="E414" s="1">
        <v>61646.8</v>
      </c>
      <c r="F414" s="1">
        <v>62135.25</v>
      </c>
    </row>
    <row r="415" spans="1:6" x14ac:dyDescent="0.25">
      <c r="A415" s="1" t="s">
        <v>62</v>
      </c>
      <c r="B415" s="1">
        <v>46198</v>
      </c>
      <c r="C415" s="1">
        <v>62404.5</v>
      </c>
      <c r="D415" s="1">
        <v>62536.35</v>
      </c>
      <c r="E415" s="1">
        <v>61714.8</v>
      </c>
      <c r="F415" s="1">
        <v>61795.5</v>
      </c>
    </row>
    <row r="416" spans="1:6" x14ac:dyDescent="0.25">
      <c r="A416" s="1" t="s">
        <v>62</v>
      </c>
      <c r="B416" s="1">
        <v>46202</v>
      </c>
      <c r="C416" s="1">
        <v>61758.400000000001</v>
      </c>
      <c r="D416" s="1">
        <v>61890.55</v>
      </c>
      <c r="E416" s="1">
        <v>61198.7</v>
      </c>
      <c r="F416" s="1">
        <v>61567.3</v>
      </c>
    </row>
    <row r="417" spans="1:6" x14ac:dyDescent="0.25">
      <c r="A417" s="1" t="s">
        <v>62</v>
      </c>
      <c r="B417" s="1">
        <v>46203</v>
      </c>
      <c r="C417" s="1">
        <v>61709.95</v>
      </c>
      <c r="D417" s="1">
        <v>62052.6</v>
      </c>
      <c r="E417" s="1">
        <v>61398.35</v>
      </c>
      <c r="F417" s="1">
        <v>61797.7</v>
      </c>
    </row>
    <row r="418" spans="1:6" x14ac:dyDescent="0.25">
      <c r="A418" s="1" t="s">
        <v>62</v>
      </c>
      <c r="B418" s="1">
        <v>46204</v>
      </c>
      <c r="C418" s="1">
        <v>61935.35</v>
      </c>
      <c r="D418" s="1">
        <v>62138.5</v>
      </c>
      <c r="E418" s="1">
        <v>61838.400000000001</v>
      </c>
      <c r="F418" s="1">
        <v>62008.800000000003</v>
      </c>
    </row>
    <row r="419" spans="1:6" x14ac:dyDescent="0.25">
      <c r="A419" s="1" t="s">
        <v>62</v>
      </c>
      <c r="B419" s="1">
        <v>46205</v>
      </c>
      <c r="C419" s="1">
        <v>62238.15</v>
      </c>
      <c r="D419" s="1">
        <v>62421</v>
      </c>
      <c r="E419" s="1">
        <v>62127.5</v>
      </c>
      <c r="F419" s="1">
        <v>62307.9</v>
      </c>
    </row>
    <row r="420" spans="1:6" x14ac:dyDescent="0.25">
      <c r="A420" s="1" t="s">
        <v>62</v>
      </c>
      <c r="B420" s="1">
        <v>46206</v>
      </c>
      <c r="C420" s="1">
        <v>62556.25</v>
      </c>
      <c r="D420" s="1">
        <v>62556.55</v>
      </c>
      <c r="E420" s="1">
        <v>62136.5</v>
      </c>
      <c r="F420" s="1">
        <v>62190.3</v>
      </c>
    </row>
    <row r="421" spans="1:6" x14ac:dyDescent="0.25">
      <c r="A421" s="1" t="s">
        <v>62</v>
      </c>
      <c r="B421" s="1">
        <v>46209</v>
      </c>
      <c r="C421" s="1">
        <v>62341.15</v>
      </c>
      <c r="D421" s="1">
        <v>62500.9</v>
      </c>
      <c r="E421" s="1">
        <v>62180.5</v>
      </c>
      <c r="F421" s="1">
        <v>62471.5</v>
      </c>
    </row>
    <row r="422" spans="1:6" x14ac:dyDescent="0.25">
      <c r="A422" s="1" t="s">
        <v>62</v>
      </c>
      <c r="B422" s="1">
        <v>46210</v>
      </c>
      <c r="C422" s="1">
        <v>62579.8</v>
      </c>
      <c r="D422" s="1">
        <v>62611.4</v>
      </c>
      <c r="E422" s="1">
        <v>62047.6</v>
      </c>
      <c r="F422" s="1">
        <v>62285.3</v>
      </c>
    </row>
    <row r="423" spans="1:6" x14ac:dyDescent="0.25">
      <c r="A423" s="1" t="s">
        <v>62</v>
      </c>
      <c r="B423" s="1">
        <v>46211</v>
      </c>
      <c r="C423" s="1">
        <v>61978.1</v>
      </c>
      <c r="D423" s="1">
        <v>62279.5</v>
      </c>
      <c r="E423" s="1">
        <v>61004.9</v>
      </c>
      <c r="F423" s="1">
        <v>61322.75</v>
      </c>
    </row>
    <row r="424" spans="1:6" x14ac:dyDescent="0.25">
      <c r="A424" s="1" t="s">
        <v>62</v>
      </c>
      <c r="B424" s="1">
        <v>46212</v>
      </c>
      <c r="C424" s="1">
        <v>61512.45</v>
      </c>
      <c r="D424" s="1">
        <v>62313.7</v>
      </c>
      <c r="E424" s="1">
        <v>61503.6</v>
      </c>
      <c r="F424" s="1">
        <v>62166.85</v>
      </c>
    </row>
    <row r="425" spans="1:6" x14ac:dyDescent="0.25">
      <c r="A425" s="1" t="s">
        <v>62</v>
      </c>
      <c r="B425" s="1">
        <v>46213</v>
      </c>
      <c r="C425" s="1">
        <v>62636.05</v>
      </c>
      <c r="D425" s="1">
        <v>63076.5</v>
      </c>
      <c r="E425" s="1">
        <v>62576.6</v>
      </c>
      <c r="F425" s="1">
        <v>63036.800000000003</v>
      </c>
    </row>
    <row r="426" spans="1:6" x14ac:dyDescent="0.25">
      <c r="A426" s="1" t="s">
        <v>62</v>
      </c>
      <c r="B426" s="1">
        <v>46216</v>
      </c>
      <c r="C426" s="1">
        <v>62688.65</v>
      </c>
      <c r="D426" s="1">
        <v>63101.5</v>
      </c>
      <c r="E426" s="1">
        <v>62476.7</v>
      </c>
      <c r="F426" s="1">
        <v>63040.95</v>
      </c>
    </row>
    <row r="427" spans="1:6" x14ac:dyDescent="0.25">
      <c r="A427" s="1" t="s">
        <v>62</v>
      </c>
      <c r="B427" s="1">
        <v>46217</v>
      </c>
      <c r="C427" s="1">
        <v>62854.2</v>
      </c>
      <c r="D427" s="1">
        <v>62993.8</v>
      </c>
      <c r="E427" s="1">
        <v>62602.3</v>
      </c>
      <c r="F427" s="1">
        <v>62766.400000000001</v>
      </c>
    </row>
    <row r="428" spans="1:6" x14ac:dyDescent="0.25">
      <c r="A428" s="1" t="s">
        <v>62</v>
      </c>
      <c r="B428" s="1">
        <v>46218</v>
      </c>
      <c r="C428" s="1">
        <v>62943.15</v>
      </c>
      <c r="D428" s="1">
        <v>63183.35</v>
      </c>
      <c r="E428" s="1">
        <v>62780.4</v>
      </c>
      <c r="F428" s="1">
        <v>62943.199999999997</v>
      </c>
    </row>
    <row r="429" spans="1:6" x14ac:dyDescent="0.25">
      <c r="A429" s="1" t="s">
        <v>62</v>
      </c>
      <c r="B429" s="1">
        <v>46219</v>
      </c>
      <c r="C429" s="1">
        <v>63130.85</v>
      </c>
      <c r="D429" s="1">
        <v>63176.25</v>
      </c>
      <c r="E429" s="1">
        <v>62555.35</v>
      </c>
      <c r="F429" s="1">
        <v>62686.75</v>
      </c>
    </row>
    <row r="430" spans="1:6" x14ac:dyDescent="0.25">
      <c r="A430" s="1" t="s">
        <v>62</v>
      </c>
      <c r="B430" s="1">
        <v>46220</v>
      </c>
      <c r="C430" s="1">
        <v>62785.55</v>
      </c>
      <c r="D430" s="1">
        <v>62786.25</v>
      </c>
      <c r="E430" s="1">
        <v>62198.9</v>
      </c>
      <c r="F430" s="1">
        <v>62428.05</v>
      </c>
    </row>
    <row r="431" spans="1:6" x14ac:dyDescent="0.25">
      <c r="A431" s="1" t="s">
        <v>62</v>
      </c>
      <c r="B431" s="1">
        <v>46223</v>
      </c>
      <c r="C431" s="1">
        <v>62335.75</v>
      </c>
      <c r="D431" s="1">
        <v>62894.75</v>
      </c>
      <c r="E431" s="1">
        <v>62249.75</v>
      </c>
      <c r="F431" s="1">
        <v>62801.75</v>
      </c>
    </row>
    <row r="432" spans="1:6" x14ac:dyDescent="0.25">
      <c r="A432" s="1" t="s">
        <v>62</v>
      </c>
      <c r="B432" s="1">
        <v>46224</v>
      </c>
      <c r="C432" s="1">
        <v>62849.1</v>
      </c>
      <c r="D432" s="1">
        <v>63026.1</v>
      </c>
      <c r="E432" s="1">
        <v>62749.8</v>
      </c>
      <c r="F432" s="1">
        <v>62987.6</v>
      </c>
    </row>
    <row r="433" spans="1:6" x14ac:dyDescent="0.25">
      <c r="A433" s="1" t="s">
        <v>62</v>
      </c>
      <c r="B433" s="1">
        <v>46225</v>
      </c>
      <c r="C433" s="1">
        <v>62966.3</v>
      </c>
      <c r="D433" s="1">
        <v>62968.1</v>
      </c>
      <c r="E433" s="1">
        <v>62196.05</v>
      </c>
      <c r="F433" s="1">
        <v>62300.6</v>
      </c>
    </row>
    <row r="434" spans="1:6" x14ac:dyDescent="0.25">
      <c r="A434" s="1" t="s">
        <v>62</v>
      </c>
      <c r="B434" s="1">
        <v>46226</v>
      </c>
      <c r="C434" s="1">
        <v>62134.3</v>
      </c>
      <c r="D434" s="1">
        <v>62285.4</v>
      </c>
      <c r="E434" s="1">
        <v>61549.95</v>
      </c>
      <c r="F434" s="1">
        <v>61685</v>
      </c>
    </row>
    <row r="435" spans="1:6" x14ac:dyDescent="0.25">
      <c r="A435" s="1" t="s">
        <v>62</v>
      </c>
      <c r="B435" s="1">
        <v>46227</v>
      </c>
      <c r="C435" s="1">
        <v>61295.45</v>
      </c>
      <c r="D435" s="1">
        <v>61689.85</v>
      </c>
      <c r="E435" s="1">
        <v>60898.6</v>
      </c>
      <c r="F435" s="1">
        <v>61622.35</v>
      </c>
    </row>
    <row r="436" spans="1:6" x14ac:dyDescent="0.25">
      <c r="A436" s="1" t="s">
        <v>62</v>
      </c>
      <c r="B436" s="1">
        <v>46230</v>
      </c>
      <c r="C436" s="1">
        <v>62109.95</v>
      </c>
      <c r="D436" s="1">
        <v>62356.800000000003</v>
      </c>
      <c r="E436" s="1">
        <v>62109</v>
      </c>
      <c r="F436" s="1">
        <v>62303.65</v>
      </c>
    </row>
    <row r="437" spans="1:6" x14ac:dyDescent="0.25">
      <c r="A437" s="1" t="s">
        <v>62</v>
      </c>
      <c r="B437" s="1">
        <v>46231</v>
      </c>
      <c r="C437" s="1">
        <v>62352.9</v>
      </c>
      <c r="D437" s="1">
        <v>62495.5</v>
      </c>
      <c r="E437" s="1">
        <v>62202.6</v>
      </c>
      <c r="F437" s="1">
        <v>62351.5</v>
      </c>
    </row>
    <row r="438" spans="1:6" x14ac:dyDescent="0.25">
      <c r="A438" s="1" t="s">
        <v>62</v>
      </c>
      <c r="B438" s="1">
        <v>46232</v>
      </c>
      <c r="C438" s="1">
        <v>62651.95</v>
      </c>
      <c r="D438" s="1">
        <v>62933.55</v>
      </c>
      <c r="E438" s="1">
        <v>62567.55</v>
      </c>
      <c r="F438" s="1">
        <v>62862.25</v>
      </c>
    </row>
    <row r="439" spans="1:6" x14ac:dyDescent="0.25">
      <c r="A439" s="1" t="s">
        <v>62</v>
      </c>
      <c r="B439" s="1">
        <v>46233</v>
      </c>
      <c r="C439" s="1">
        <v>62782.05</v>
      </c>
      <c r="D439" s="1">
        <v>62829.4</v>
      </c>
      <c r="E439" s="1">
        <v>62412.45</v>
      </c>
      <c r="F439" s="1">
        <v>62641.75</v>
      </c>
    </row>
    <row r="440" spans="1:6" x14ac:dyDescent="0.25">
      <c r="A440" s="1" t="s">
        <v>62</v>
      </c>
      <c r="B440" s="1">
        <v>46234</v>
      </c>
      <c r="C440" s="1">
        <v>62817</v>
      </c>
      <c r="D440" s="1">
        <v>63072.4</v>
      </c>
      <c r="E440" s="1">
        <v>62569.2</v>
      </c>
      <c r="F440" s="1">
        <v>62915.3</v>
      </c>
    </row>
    <row r="441" spans="1:6" x14ac:dyDescent="0.25">
      <c r="A441" s="1" t="s">
        <v>62</v>
      </c>
      <c r="B441" s="1">
        <v>46237</v>
      </c>
      <c r="C441" s="1">
        <v>63235.6</v>
      </c>
      <c r="D441" s="1">
        <v>63681.8</v>
      </c>
      <c r="E441" s="1">
        <v>63107.55</v>
      </c>
      <c r="F441" s="1">
        <v>63679.3</v>
      </c>
    </row>
    <row r="442" spans="1:6" x14ac:dyDescent="0.25">
      <c r="A442" s="1" t="s">
        <v>62</v>
      </c>
      <c r="B442" s="1">
        <v>46238</v>
      </c>
      <c r="C442" s="1">
        <v>63739.9</v>
      </c>
      <c r="D442" s="1">
        <v>63740.85</v>
      </c>
      <c r="E442" s="1">
        <v>63278.95</v>
      </c>
      <c r="F442" s="1">
        <v>63491.6</v>
      </c>
    </row>
    <row r="443" spans="1:6" x14ac:dyDescent="0.25">
      <c r="A443" s="1" t="s">
        <v>62</v>
      </c>
      <c r="B443" s="1">
        <v>46239</v>
      </c>
      <c r="C443" s="1">
        <v>63852.15</v>
      </c>
      <c r="D443" s="1">
        <v>63852.15</v>
      </c>
      <c r="E443" s="1">
        <v>63442.65</v>
      </c>
      <c r="F443" s="1">
        <v>63605.25</v>
      </c>
    </row>
    <row r="444" spans="1:6" x14ac:dyDescent="0.25">
      <c r="A444" s="1" t="s">
        <v>62</v>
      </c>
      <c r="B444" s="1">
        <v>46240</v>
      </c>
      <c r="C444" s="1">
        <v>63656.25</v>
      </c>
      <c r="D444" s="1">
        <v>63677.7</v>
      </c>
      <c r="E444" s="1">
        <v>63306.85</v>
      </c>
      <c r="F444" s="1">
        <v>63326.8</v>
      </c>
    </row>
    <row r="445" spans="1:6" x14ac:dyDescent="0.25">
      <c r="A445" s="1" t="s">
        <v>62</v>
      </c>
      <c r="B445" s="1">
        <v>46241</v>
      </c>
      <c r="C445" s="1">
        <v>63254.9</v>
      </c>
      <c r="D445" s="1">
        <v>63596.65</v>
      </c>
      <c r="E445" s="1">
        <v>63181.5</v>
      </c>
      <c r="F445" s="1">
        <v>63463.55</v>
      </c>
    </row>
    <row r="446" spans="1:6" x14ac:dyDescent="0.25">
      <c r="A446" s="1" t="s">
        <v>62</v>
      </c>
      <c r="B446" s="1">
        <v>46244</v>
      </c>
      <c r="C446" s="1">
        <v>63628.5</v>
      </c>
      <c r="D446" s="1">
        <v>63986.7</v>
      </c>
      <c r="E446" s="1">
        <v>63397.05</v>
      </c>
      <c r="F446" s="1">
        <v>63855.7</v>
      </c>
    </row>
    <row r="447" spans="1:6" x14ac:dyDescent="0.25">
      <c r="A447" s="1" t="s">
        <v>62</v>
      </c>
      <c r="B447" s="1">
        <v>46245</v>
      </c>
      <c r="C447" s="1">
        <v>63934.05</v>
      </c>
      <c r="D447" s="1">
        <v>63953.95</v>
      </c>
      <c r="E447" s="1">
        <v>63586.75</v>
      </c>
      <c r="F447" s="1">
        <v>63843.85</v>
      </c>
    </row>
    <row r="448" spans="1:6" x14ac:dyDescent="0.25">
      <c r="A448" s="1" t="s">
        <v>62</v>
      </c>
      <c r="B448" s="1">
        <v>46246</v>
      </c>
      <c r="C448" s="1">
        <v>63919.45</v>
      </c>
      <c r="D448" s="1">
        <v>64026.2</v>
      </c>
      <c r="E448" s="1">
        <v>63529.1</v>
      </c>
      <c r="F448" s="1">
        <v>64024.4</v>
      </c>
    </row>
    <row r="449" spans="1:6" x14ac:dyDescent="0.25">
      <c r="A449" s="1" t="s">
        <v>62</v>
      </c>
      <c r="B449" s="1">
        <v>46247</v>
      </c>
      <c r="C449" s="1">
        <v>64013.25</v>
      </c>
      <c r="D449" s="1">
        <v>64125.35</v>
      </c>
      <c r="E449" s="1">
        <v>63812.55</v>
      </c>
      <c r="F449" s="1">
        <v>64121.55</v>
      </c>
    </row>
    <row r="450" spans="1:6" x14ac:dyDescent="0.25">
      <c r="A450" s="1" t="s">
        <v>62</v>
      </c>
      <c r="B450" s="1">
        <v>46248</v>
      </c>
      <c r="C450" s="1">
        <v>64114.55</v>
      </c>
      <c r="D450" s="1">
        <v>64139.05</v>
      </c>
      <c r="E450" s="1">
        <v>63746.1</v>
      </c>
      <c r="F450" s="1">
        <v>63782.15</v>
      </c>
    </row>
    <row r="451" spans="1:6" x14ac:dyDescent="0.25">
      <c r="A451" s="1" t="s">
        <v>62</v>
      </c>
      <c r="B451" s="1">
        <v>46251</v>
      </c>
      <c r="C451" s="1">
        <v>63723.1</v>
      </c>
      <c r="D451" s="1">
        <v>63930.25</v>
      </c>
      <c r="E451" s="1">
        <v>63505.9</v>
      </c>
      <c r="F451" s="1">
        <v>63817</v>
      </c>
    </row>
    <row r="452" spans="1:6" x14ac:dyDescent="0.25">
      <c r="A452" s="1" t="s">
        <v>62</v>
      </c>
      <c r="B452" s="1">
        <v>46252</v>
      </c>
      <c r="C452" s="1">
        <v>63753.7</v>
      </c>
      <c r="D452" s="1">
        <v>63802.3</v>
      </c>
      <c r="E452" s="1">
        <v>63491.1</v>
      </c>
      <c r="F452" s="1">
        <v>63539.4</v>
      </c>
    </row>
    <row r="453" spans="1:6" x14ac:dyDescent="0.25">
      <c r="A453" s="1" t="s">
        <v>62</v>
      </c>
      <c r="B453" s="1">
        <v>46253</v>
      </c>
      <c r="C453" s="1">
        <v>63582.1</v>
      </c>
      <c r="D453" s="1">
        <v>63593</v>
      </c>
      <c r="E453" s="1">
        <v>63198.400000000001</v>
      </c>
      <c r="F453" s="1">
        <v>63408.75</v>
      </c>
    </row>
    <row r="454" spans="1:6" x14ac:dyDescent="0.25">
      <c r="A454" s="1" t="s">
        <v>62</v>
      </c>
      <c r="B454" s="1">
        <v>46254</v>
      </c>
      <c r="C454" s="1">
        <v>63771.95</v>
      </c>
      <c r="D454" s="1">
        <v>63938.85</v>
      </c>
      <c r="E454" s="1">
        <v>63631.7</v>
      </c>
      <c r="F454" s="1">
        <v>63671.55</v>
      </c>
    </row>
    <row r="455" spans="1:6" x14ac:dyDescent="0.25">
      <c r="A455" s="1" t="s">
        <v>62</v>
      </c>
      <c r="B455" s="1">
        <v>46255</v>
      </c>
      <c r="C455" s="1">
        <v>63726.85</v>
      </c>
      <c r="D455" s="1">
        <v>63752.2</v>
      </c>
      <c r="E455" s="1">
        <v>63457.95</v>
      </c>
      <c r="F455" s="1">
        <v>63735.75</v>
      </c>
    </row>
    <row r="456" spans="1:6" x14ac:dyDescent="0.25">
      <c r="A456" s="1" t="s">
        <v>62</v>
      </c>
      <c r="B456" s="1">
        <v>46258</v>
      </c>
      <c r="C456" s="1">
        <v>63828.75</v>
      </c>
      <c r="D456" s="1">
        <v>63990.35</v>
      </c>
      <c r="E456" s="1">
        <v>63683.35</v>
      </c>
      <c r="F456" s="1">
        <v>63817.25</v>
      </c>
    </row>
    <row r="457" spans="1:6" x14ac:dyDescent="0.25">
      <c r="A457" s="1" t="s">
        <v>62</v>
      </c>
      <c r="B457" s="1">
        <v>46259</v>
      </c>
      <c r="C457" s="1">
        <v>63799.5</v>
      </c>
      <c r="D457" s="1">
        <v>64169.8</v>
      </c>
      <c r="E457" s="1">
        <v>63602.2</v>
      </c>
      <c r="F457" s="1">
        <v>64162.9</v>
      </c>
    </row>
    <row r="458" spans="1:6" x14ac:dyDescent="0.25">
      <c r="A458" s="1" t="s">
        <v>62</v>
      </c>
      <c r="B458" s="1">
        <v>46260</v>
      </c>
      <c r="C458" s="1">
        <v>64289.4</v>
      </c>
      <c r="D458" s="1">
        <v>64450.9</v>
      </c>
      <c r="E458" s="1">
        <v>64095.9</v>
      </c>
      <c r="F458" s="1">
        <v>64101.2</v>
      </c>
    </row>
    <row r="459" spans="1:6" x14ac:dyDescent="0.25">
      <c r="A459" s="1" t="s">
        <v>62</v>
      </c>
      <c r="B459" s="1">
        <v>46261</v>
      </c>
      <c r="C459" s="1">
        <v>64215.7</v>
      </c>
      <c r="D459" s="1">
        <v>64378</v>
      </c>
      <c r="E459" s="1">
        <v>63975.1</v>
      </c>
      <c r="F459" s="1">
        <v>64035.45</v>
      </c>
    </row>
    <row r="460" spans="1:6" x14ac:dyDescent="0.25">
      <c r="A460" s="1" t="s">
        <v>62</v>
      </c>
      <c r="B460" s="1">
        <v>46262</v>
      </c>
      <c r="C460" s="1">
        <v>64093.2</v>
      </c>
      <c r="D460" s="1">
        <v>64234</v>
      </c>
      <c r="E460" s="1">
        <v>63945.55</v>
      </c>
      <c r="F460" s="1">
        <v>64069.5</v>
      </c>
    </row>
    <row r="461" spans="1:6" x14ac:dyDescent="0.25">
      <c r="A461" s="1" t="s">
        <v>62</v>
      </c>
      <c r="B461" s="1">
        <v>46265</v>
      </c>
      <c r="C461" s="1">
        <v>63980.4</v>
      </c>
      <c r="D461" s="1">
        <v>64230.75</v>
      </c>
      <c r="E461" s="1">
        <v>63347.5</v>
      </c>
      <c r="F461" s="1">
        <v>64224.75</v>
      </c>
    </row>
    <row r="462" spans="1:6" x14ac:dyDescent="0.25">
      <c r="A462" s="1" t="s">
        <v>62</v>
      </c>
      <c r="B462" s="1">
        <v>46266</v>
      </c>
      <c r="C462" s="1">
        <v>64017.95</v>
      </c>
      <c r="D462" s="1">
        <v>64020.15</v>
      </c>
      <c r="E462" s="1">
        <v>63101.35</v>
      </c>
      <c r="F462" s="1">
        <v>63334.5</v>
      </c>
    </row>
    <row r="463" spans="1:6" x14ac:dyDescent="0.25">
      <c r="A463" s="1" t="s">
        <v>62</v>
      </c>
      <c r="B463" s="1">
        <v>46267</v>
      </c>
      <c r="C463" s="1">
        <v>62988.85</v>
      </c>
      <c r="D463" s="1">
        <v>63007.25</v>
      </c>
      <c r="E463" s="1">
        <v>62445.15</v>
      </c>
      <c r="F463" s="1">
        <v>63001.599999999999</v>
      </c>
    </row>
    <row r="464" spans="1:6" x14ac:dyDescent="0.25">
      <c r="A464" s="1" t="s">
        <v>62</v>
      </c>
      <c r="B464" s="1">
        <v>46268</v>
      </c>
      <c r="C464" s="1">
        <v>63186.15</v>
      </c>
      <c r="D464" s="1">
        <v>63253.2</v>
      </c>
      <c r="E464" s="1">
        <v>62902.35</v>
      </c>
      <c r="F464" s="1">
        <v>63235.199999999997</v>
      </c>
    </row>
    <row r="465" spans="1:6" x14ac:dyDescent="0.25">
      <c r="A465" s="1" t="s">
        <v>62</v>
      </c>
      <c r="B465" s="1">
        <v>46269</v>
      </c>
      <c r="C465" s="1">
        <v>63243.75</v>
      </c>
      <c r="D465" s="1">
        <v>63407.8</v>
      </c>
      <c r="E465" s="1">
        <v>63063.1</v>
      </c>
      <c r="F465" s="1">
        <v>63079.05</v>
      </c>
    </row>
    <row r="466" spans="1:6" x14ac:dyDescent="0.25">
      <c r="A466" s="1" t="s">
        <v>62</v>
      </c>
      <c r="B466" s="1">
        <v>46272</v>
      </c>
      <c r="C466" s="1">
        <v>63084.5</v>
      </c>
      <c r="D466" s="1">
        <v>63166.6</v>
      </c>
      <c r="E466" s="1">
        <v>62667.15</v>
      </c>
      <c r="F466" s="1">
        <v>62786.15</v>
      </c>
    </row>
    <row r="467" spans="1:6" x14ac:dyDescent="0.25">
      <c r="A467" s="1" t="s">
        <v>62</v>
      </c>
      <c r="B467" s="1">
        <v>46273</v>
      </c>
      <c r="C467" s="1">
        <v>62801.2</v>
      </c>
      <c r="D467" s="1">
        <v>62976.6</v>
      </c>
      <c r="E467" s="1">
        <v>62580</v>
      </c>
      <c r="F467" s="1">
        <v>62915.8</v>
      </c>
    </row>
    <row r="468" spans="1:6" x14ac:dyDescent="0.25">
      <c r="A468" s="1" t="s">
        <v>62</v>
      </c>
      <c r="B468" s="1">
        <v>46274</v>
      </c>
      <c r="C468" s="1">
        <v>62635.3</v>
      </c>
      <c r="D468" s="1">
        <v>62783.199999999997</v>
      </c>
      <c r="E468" s="1">
        <v>62459.55</v>
      </c>
      <c r="F468" s="1">
        <v>62592.800000000003</v>
      </c>
    </row>
    <row r="469" spans="1:6" x14ac:dyDescent="0.25">
      <c r="A469" s="1" t="s">
        <v>62</v>
      </c>
      <c r="B469" s="1">
        <v>46275</v>
      </c>
      <c r="C469" s="1">
        <v>62548.5</v>
      </c>
      <c r="D469" s="1">
        <v>62594.2</v>
      </c>
      <c r="E469" s="1">
        <v>62193.1</v>
      </c>
      <c r="F469" s="1">
        <v>62357.35</v>
      </c>
    </row>
    <row r="470" spans="1:6" x14ac:dyDescent="0.25">
      <c r="A470" s="1" t="s">
        <v>62</v>
      </c>
      <c r="B470" s="1">
        <v>46276</v>
      </c>
      <c r="C470" s="1">
        <v>61988.2</v>
      </c>
      <c r="D470" s="1">
        <v>62264</v>
      </c>
      <c r="E470" s="1">
        <v>61374.45</v>
      </c>
      <c r="F470" s="1">
        <v>62197.2</v>
      </c>
    </row>
    <row r="471" spans="1:6" x14ac:dyDescent="0.25">
      <c r="A471" s="1" t="s">
        <v>62</v>
      </c>
      <c r="B471" s="1">
        <v>46280</v>
      </c>
      <c r="C471" s="1">
        <v>62443.8</v>
      </c>
      <c r="D471" s="1">
        <v>62516.95</v>
      </c>
      <c r="E471" s="1">
        <v>60875</v>
      </c>
      <c r="F471" s="1">
        <v>60878.25</v>
      </c>
    </row>
    <row r="472" spans="1:6" x14ac:dyDescent="0.25">
      <c r="A472" s="1" t="s">
        <v>62</v>
      </c>
      <c r="B472" s="1">
        <v>46281</v>
      </c>
      <c r="C472" s="1">
        <v>60986</v>
      </c>
      <c r="D472" s="1">
        <v>61150.400000000001</v>
      </c>
      <c r="E472" s="1">
        <v>60189.05</v>
      </c>
      <c r="F472" s="1">
        <v>60874.2</v>
      </c>
    </row>
    <row r="473" spans="1:6" x14ac:dyDescent="0.25">
      <c r="A473" s="1" t="s">
        <v>62</v>
      </c>
      <c r="B473" s="1">
        <v>46282</v>
      </c>
      <c r="C473" s="1">
        <v>60890.7</v>
      </c>
      <c r="D473" s="1">
        <v>61593.2</v>
      </c>
      <c r="E473" s="1">
        <v>60850.8</v>
      </c>
      <c r="F473" s="1">
        <v>61432.1</v>
      </c>
    </row>
    <row r="474" spans="1:6" x14ac:dyDescent="0.25">
      <c r="A474" s="1" t="s">
        <v>62</v>
      </c>
      <c r="B474" s="1">
        <v>46283</v>
      </c>
      <c r="C474" s="1">
        <v>61560.7</v>
      </c>
      <c r="D474" s="1">
        <v>62203.25</v>
      </c>
      <c r="E474" s="1">
        <v>61553.3</v>
      </c>
      <c r="F474" s="1">
        <v>62191.25</v>
      </c>
    </row>
    <row r="475" spans="1:6" x14ac:dyDescent="0.25">
      <c r="A475" s="1" t="s">
        <v>62</v>
      </c>
      <c r="B475" s="1">
        <v>46286</v>
      </c>
      <c r="C475" s="1">
        <v>62009</v>
      </c>
      <c r="D475" s="1">
        <v>62163.7</v>
      </c>
      <c r="E475" s="1">
        <v>61902.400000000001</v>
      </c>
      <c r="F475" s="1">
        <v>62013.1</v>
      </c>
    </row>
    <row r="476" spans="1:6" x14ac:dyDescent="0.25">
      <c r="A476" s="1" t="s">
        <v>62</v>
      </c>
      <c r="B476" s="1">
        <v>46287</v>
      </c>
      <c r="C476" s="1">
        <v>62144.4</v>
      </c>
      <c r="D476" s="1">
        <v>62260.85</v>
      </c>
      <c r="E476" s="1">
        <v>61767</v>
      </c>
      <c r="F476" s="1">
        <v>61963.15</v>
      </c>
    </row>
    <row r="477" spans="1:6" x14ac:dyDescent="0.25">
      <c r="A477" s="1" t="s">
        <v>62</v>
      </c>
      <c r="B477" s="1">
        <v>46288</v>
      </c>
      <c r="C477" s="1">
        <v>62073.3</v>
      </c>
      <c r="D477" s="1">
        <v>62418.25</v>
      </c>
      <c r="E477" s="1">
        <v>62063.05</v>
      </c>
      <c r="F477" s="1">
        <v>62396.45</v>
      </c>
    </row>
    <row r="478" spans="1:6" x14ac:dyDescent="0.25">
      <c r="A478" s="1" t="s">
        <v>62</v>
      </c>
      <c r="B478" s="1">
        <v>46289</v>
      </c>
      <c r="C478" s="1">
        <v>61575</v>
      </c>
      <c r="D478" s="1">
        <v>61840.25</v>
      </c>
      <c r="E478" s="1">
        <v>60922.95</v>
      </c>
      <c r="F478" s="1">
        <v>60990.15</v>
      </c>
    </row>
    <row r="479" spans="1:6" x14ac:dyDescent="0.25">
      <c r="A479" s="1" t="s">
        <v>62</v>
      </c>
      <c r="B479" s="1">
        <v>46290</v>
      </c>
      <c r="C479" s="1">
        <v>60970.05</v>
      </c>
      <c r="D479" s="1">
        <v>61117.45</v>
      </c>
      <c r="E479" s="1">
        <v>60595.45</v>
      </c>
      <c r="F479" s="1">
        <v>60906</v>
      </c>
    </row>
    <row r="480" spans="1:6" x14ac:dyDescent="0.25">
      <c r="A480" s="1" t="s">
        <v>62</v>
      </c>
      <c r="B480" s="1">
        <v>46293</v>
      </c>
      <c r="C480" s="1">
        <v>60783.75</v>
      </c>
      <c r="D480" s="1">
        <v>60783.75</v>
      </c>
      <c r="E480" s="1">
        <v>59814.05</v>
      </c>
      <c r="F480" s="1">
        <v>59914.2</v>
      </c>
    </row>
    <row r="481" spans="1:6" x14ac:dyDescent="0.25">
      <c r="A481" s="1" t="s">
        <v>62</v>
      </c>
      <c r="B481" s="1">
        <v>46294</v>
      </c>
      <c r="C481" s="1">
        <v>59839.6</v>
      </c>
      <c r="D481" s="1">
        <v>59884.5</v>
      </c>
      <c r="E481" s="1">
        <v>59234.75</v>
      </c>
      <c r="F481" s="1">
        <v>59319.4</v>
      </c>
    </row>
    <row r="482" spans="1:6" x14ac:dyDescent="0.25">
      <c r="A482" s="1" t="s">
        <v>62</v>
      </c>
      <c r="B482" s="1">
        <v>46295</v>
      </c>
      <c r="C482" s="1">
        <v>59539.199999999997</v>
      </c>
      <c r="D482" s="1">
        <v>59915.9</v>
      </c>
      <c r="E482" s="1">
        <v>59301</v>
      </c>
      <c r="F482" s="1">
        <v>59332.05</v>
      </c>
    </row>
    <row r="483" spans="1:6" x14ac:dyDescent="0.25">
      <c r="A483" s="1" t="s">
        <v>62</v>
      </c>
      <c r="B483" s="1">
        <v>46296</v>
      </c>
      <c r="C483" s="1">
        <v>59175.65</v>
      </c>
      <c r="D483" s="1">
        <v>59384.55</v>
      </c>
      <c r="E483" s="1">
        <v>58006.85</v>
      </c>
      <c r="F483" s="1">
        <v>58732</v>
      </c>
    </row>
    <row r="484" spans="1:6" x14ac:dyDescent="0.25">
      <c r="A484" s="1" t="s">
        <v>62</v>
      </c>
      <c r="B484" s="1">
        <v>46300</v>
      </c>
      <c r="C484" s="1">
        <v>59001.65</v>
      </c>
      <c r="D484" s="1">
        <v>59353.05</v>
      </c>
      <c r="E484" s="1">
        <v>58816.95</v>
      </c>
      <c r="F484" s="1">
        <v>59123.65</v>
      </c>
    </row>
    <row r="485" spans="1:6" x14ac:dyDescent="0.25">
      <c r="A485" s="1" t="s">
        <v>62</v>
      </c>
      <c r="B485" s="1">
        <v>46301</v>
      </c>
      <c r="C485" s="1">
        <v>59229.05</v>
      </c>
      <c r="D485" s="1">
        <v>59765.9</v>
      </c>
      <c r="E485" s="1">
        <v>59084.800000000003</v>
      </c>
      <c r="F485" s="1">
        <v>59761.2</v>
      </c>
    </row>
    <row r="486" spans="1:6" x14ac:dyDescent="0.25">
      <c r="A486" s="1" t="s">
        <v>62</v>
      </c>
      <c r="B486" s="1">
        <v>46302</v>
      </c>
      <c r="C486" s="1">
        <v>59674.3</v>
      </c>
      <c r="D486" s="1">
        <v>59718.55</v>
      </c>
      <c r="E486" s="1">
        <v>59200.05</v>
      </c>
      <c r="F486" s="1">
        <v>59382.6</v>
      </c>
    </row>
    <row r="487" spans="1:6" x14ac:dyDescent="0.25">
      <c r="A487" s="1" t="s">
        <v>62</v>
      </c>
      <c r="B487" s="1">
        <v>46303</v>
      </c>
      <c r="C487" s="1">
        <v>59350.05</v>
      </c>
      <c r="D487" s="1">
        <v>59350.05</v>
      </c>
      <c r="E487" s="1">
        <v>57877</v>
      </c>
      <c r="F487" s="1">
        <v>57882.5</v>
      </c>
    </row>
    <row r="488" spans="1:6" x14ac:dyDescent="0.25">
      <c r="A488" s="1" t="s">
        <v>62</v>
      </c>
      <c r="B488" s="1">
        <v>46304</v>
      </c>
      <c r="C488" s="1">
        <v>58116.05</v>
      </c>
      <c r="D488" s="1">
        <v>58939.75</v>
      </c>
      <c r="E488" s="1">
        <v>57944.3</v>
      </c>
      <c r="F488" s="1">
        <v>58787.3</v>
      </c>
    </row>
    <row r="489" spans="1:6" x14ac:dyDescent="0.25">
      <c r="A489" s="1" t="s">
        <v>62</v>
      </c>
      <c r="B489" s="1">
        <v>46307</v>
      </c>
      <c r="C489" s="1">
        <v>58913.65</v>
      </c>
      <c r="D489" s="1">
        <v>59149.5</v>
      </c>
      <c r="E489" s="1">
        <v>58642.25</v>
      </c>
      <c r="F489" s="1">
        <v>58834.55</v>
      </c>
    </row>
    <row r="490" spans="1:6" x14ac:dyDescent="0.25">
      <c r="A490" s="1" t="s">
        <v>62</v>
      </c>
      <c r="B490" s="1">
        <v>46308</v>
      </c>
      <c r="C490" s="1">
        <v>58845.3</v>
      </c>
      <c r="D490" s="1">
        <v>59460.45</v>
      </c>
      <c r="E490" s="1">
        <v>58590.25</v>
      </c>
      <c r="F490" s="1">
        <v>59459.199999999997</v>
      </c>
    </row>
    <row r="491" spans="1:6" x14ac:dyDescent="0.25">
      <c r="A491" s="1" t="s">
        <v>62</v>
      </c>
      <c r="B491" s="1">
        <v>46309</v>
      </c>
      <c r="C491" s="1">
        <v>59414.45</v>
      </c>
      <c r="D491" s="1">
        <v>59582.8</v>
      </c>
      <c r="E491" s="1">
        <v>59101.85</v>
      </c>
      <c r="F491" s="1">
        <v>59409.1</v>
      </c>
    </row>
    <row r="492" spans="1:6" x14ac:dyDescent="0.25">
      <c r="A492" s="1" t="s">
        <v>62</v>
      </c>
      <c r="B492" s="1">
        <v>46310</v>
      </c>
      <c r="C492" s="1">
        <v>59396.9</v>
      </c>
      <c r="D492" s="1">
        <v>59603.4</v>
      </c>
      <c r="E492" s="1">
        <v>59068.85</v>
      </c>
      <c r="F492" s="1">
        <v>59197.25</v>
      </c>
    </row>
    <row r="493" spans="1:6" x14ac:dyDescent="0.25">
      <c r="A493" s="1" t="s">
        <v>62</v>
      </c>
      <c r="B493" s="1">
        <v>46311</v>
      </c>
      <c r="C493" s="1">
        <v>59262.05</v>
      </c>
      <c r="D493" s="1">
        <v>59302.15</v>
      </c>
      <c r="E493" s="1">
        <v>58775.9</v>
      </c>
      <c r="F493" s="1">
        <v>59129.75</v>
      </c>
    </row>
    <row r="494" spans="1:6" x14ac:dyDescent="0.25">
      <c r="A494" s="1" t="s">
        <v>63</v>
      </c>
      <c r="B494" s="1">
        <v>45950</v>
      </c>
      <c r="C494" s="1">
        <v>18189.849999999999</v>
      </c>
      <c r="D494" s="1">
        <v>18223.099999999999</v>
      </c>
      <c r="E494" s="1">
        <v>18095.900000000001</v>
      </c>
      <c r="F494" s="1">
        <v>18206.150000000001</v>
      </c>
    </row>
    <row r="495" spans="1:6" x14ac:dyDescent="0.25">
      <c r="A495" s="1" t="s">
        <v>63</v>
      </c>
      <c r="B495" s="1">
        <v>45951</v>
      </c>
      <c r="C495" s="1">
        <v>18295.349999999999</v>
      </c>
      <c r="D495" s="1">
        <v>18346.7</v>
      </c>
      <c r="E495" s="1">
        <v>18265.650000000001</v>
      </c>
      <c r="F495" s="1">
        <v>18300.650000000001</v>
      </c>
    </row>
    <row r="496" spans="1:6" x14ac:dyDescent="0.25">
      <c r="A496" s="1" t="s">
        <v>63</v>
      </c>
      <c r="B496" s="1">
        <v>45953</v>
      </c>
      <c r="C496" s="1">
        <v>18355.400000000001</v>
      </c>
      <c r="D496" s="1">
        <v>18367.75</v>
      </c>
      <c r="E496" s="1">
        <v>18248.8</v>
      </c>
      <c r="F496" s="1">
        <v>18291.45</v>
      </c>
    </row>
    <row r="497" spans="1:6" x14ac:dyDescent="0.25">
      <c r="A497" s="1" t="s">
        <v>63</v>
      </c>
      <c r="B497" s="1">
        <v>45954</v>
      </c>
      <c r="C497" s="1">
        <v>18319.55</v>
      </c>
      <c r="D497" s="1">
        <v>18334.95</v>
      </c>
      <c r="E497" s="1">
        <v>18207.7</v>
      </c>
      <c r="F497" s="1">
        <v>18253.349999999999</v>
      </c>
    </row>
    <row r="498" spans="1:6" x14ac:dyDescent="0.25">
      <c r="A498" s="1" t="s">
        <v>63</v>
      </c>
      <c r="B498" s="1">
        <v>45957</v>
      </c>
      <c r="C498" s="1">
        <v>18306.25</v>
      </c>
      <c r="D498" s="1">
        <v>18409</v>
      </c>
      <c r="E498" s="1">
        <v>18261.8</v>
      </c>
      <c r="F498" s="1">
        <v>18403.05</v>
      </c>
    </row>
    <row r="499" spans="1:6" x14ac:dyDescent="0.25">
      <c r="A499" s="1" t="s">
        <v>63</v>
      </c>
      <c r="B499" s="1">
        <v>45958</v>
      </c>
      <c r="C499" s="1">
        <v>18445.55</v>
      </c>
      <c r="D499" s="1">
        <v>18485.599999999999</v>
      </c>
      <c r="E499" s="1">
        <v>18348.95</v>
      </c>
      <c r="F499" s="1">
        <v>18407.599999999999</v>
      </c>
    </row>
    <row r="500" spans="1:6" x14ac:dyDescent="0.25">
      <c r="A500" s="1" t="s">
        <v>63</v>
      </c>
      <c r="B500" s="1">
        <v>45959</v>
      </c>
      <c r="C500" s="1">
        <v>18416.349999999999</v>
      </c>
      <c r="D500" s="1">
        <v>18504.95</v>
      </c>
      <c r="E500" s="1">
        <v>18341.849999999999</v>
      </c>
      <c r="F500" s="1">
        <v>18487.55</v>
      </c>
    </row>
    <row r="501" spans="1:6" x14ac:dyDescent="0.25">
      <c r="A501" s="1" t="s">
        <v>63</v>
      </c>
      <c r="B501" s="1">
        <v>45960</v>
      </c>
      <c r="C501" s="1">
        <v>18519.150000000001</v>
      </c>
      <c r="D501" s="1">
        <v>18523.25</v>
      </c>
      <c r="E501" s="1">
        <v>18405.599999999999</v>
      </c>
      <c r="F501" s="1">
        <v>18469.7</v>
      </c>
    </row>
    <row r="502" spans="1:6" x14ac:dyDescent="0.25">
      <c r="A502" s="1" t="s">
        <v>63</v>
      </c>
      <c r="B502" s="1">
        <v>45961</v>
      </c>
      <c r="C502" s="1">
        <v>18518.75</v>
      </c>
      <c r="D502" s="1">
        <v>18569.45</v>
      </c>
      <c r="E502" s="1">
        <v>18365.2</v>
      </c>
      <c r="F502" s="1">
        <v>18380.8</v>
      </c>
    </row>
    <row r="503" spans="1:6" x14ac:dyDescent="0.25">
      <c r="A503" s="1" t="s">
        <v>63</v>
      </c>
      <c r="B503" s="1">
        <v>45964</v>
      </c>
      <c r="C503" s="1">
        <v>18404.8</v>
      </c>
      <c r="D503" s="1">
        <v>18550.400000000001</v>
      </c>
      <c r="E503" s="1">
        <v>18402.400000000001</v>
      </c>
      <c r="F503" s="1">
        <v>18513.400000000001</v>
      </c>
    </row>
    <row r="504" spans="1:6" x14ac:dyDescent="0.25">
      <c r="A504" s="1" t="s">
        <v>63</v>
      </c>
      <c r="B504" s="1">
        <v>45965</v>
      </c>
      <c r="C504" s="1">
        <v>18533.95</v>
      </c>
      <c r="D504" s="1">
        <v>18535.95</v>
      </c>
      <c r="E504" s="1">
        <v>18345.3</v>
      </c>
      <c r="F504" s="1">
        <v>18360.900000000001</v>
      </c>
    </row>
    <row r="505" spans="1:6" x14ac:dyDescent="0.25">
      <c r="A505" s="1" t="s">
        <v>63</v>
      </c>
      <c r="B505" s="1">
        <v>45967</v>
      </c>
      <c r="C505" s="1">
        <v>18379.2</v>
      </c>
      <c r="D505" s="1">
        <v>18388.25</v>
      </c>
      <c r="E505" s="1">
        <v>18075.3</v>
      </c>
      <c r="F505" s="1">
        <v>18105</v>
      </c>
    </row>
    <row r="506" spans="1:6" x14ac:dyDescent="0.25">
      <c r="A506" s="1" t="s">
        <v>63</v>
      </c>
      <c r="B506" s="1">
        <v>45968</v>
      </c>
      <c r="C506" s="1">
        <v>18006.25</v>
      </c>
      <c r="D506" s="1">
        <v>18128.45</v>
      </c>
      <c r="E506" s="1">
        <v>17843.900000000001</v>
      </c>
      <c r="F506" s="1">
        <v>18075.95</v>
      </c>
    </row>
    <row r="507" spans="1:6" x14ac:dyDescent="0.25">
      <c r="A507" s="1" t="s">
        <v>63</v>
      </c>
      <c r="B507" s="1">
        <v>45971</v>
      </c>
      <c r="C507" s="1">
        <v>18128.650000000001</v>
      </c>
      <c r="D507" s="1">
        <v>18183.900000000001</v>
      </c>
      <c r="E507" s="1">
        <v>18097.599999999999</v>
      </c>
      <c r="F507" s="1">
        <v>18138.599999999999</v>
      </c>
    </row>
    <row r="508" spans="1:6" x14ac:dyDescent="0.25">
      <c r="A508" s="1" t="s">
        <v>63</v>
      </c>
      <c r="B508" s="1">
        <v>45972</v>
      </c>
      <c r="C508" s="1">
        <v>18170.900000000001</v>
      </c>
      <c r="D508" s="1">
        <v>18188.7</v>
      </c>
      <c r="E508" s="1">
        <v>18042.3</v>
      </c>
      <c r="F508" s="1">
        <v>18101.400000000001</v>
      </c>
    </row>
    <row r="509" spans="1:6" x14ac:dyDescent="0.25">
      <c r="A509" s="1" t="s">
        <v>63</v>
      </c>
      <c r="B509" s="1">
        <v>45973</v>
      </c>
      <c r="C509" s="1">
        <v>18174.349999999999</v>
      </c>
      <c r="D509" s="1">
        <v>18265.2</v>
      </c>
      <c r="E509" s="1">
        <v>18155.349999999999</v>
      </c>
      <c r="F509" s="1">
        <v>18250.45</v>
      </c>
    </row>
    <row r="510" spans="1:6" x14ac:dyDescent="0.25">
      <c r="A510" s="1" t="s">
        <v>63</v>
      </c>
      <c r="B510" s="1">
        <v>45974</v>
      </c>
      <c r="C510" s="1">
        <v>18287</v>
      </c>
      <c r="D510" s="1">
        <v>18312.55</v>
      </c>
      <c r="E510" s="1">
        <v>18160.3</v>
      </c>
      <c r="F510" s="1">
        <v>18183.650000000001</v>
      </c>
    </row>
    <row r="511" spans="1:6" x14ac:dyDescent="0.25">
      <c r="A511" s="1" t="s">
        <v>63</v>
      </c>
      <c r="B511" s="1">
        <v>45975</v>
      </c>
      <c r="C511" s="1">
        <v>18154.3</v>
      </c>
      <c r="D511" s="1">
        <v>18286.8</v>
      </c>
      <c r="E511" s="1">
        <v>18148</v>
      </c>
      <c r="F511" s="1">
        <v>18252.5</v>
      </c>
    </row>
    <row r="512" spans="1:6" x14ac:dyDescent="0.25">
      <c r="A512" s="1" t="s">
        <v>63</v>
      </c>
      <c r="B512" s="1">
        <v>45978</v>
      </c>
      <c r="C512" s="1">
        <v>18309</v>
      </c>
      <c r="D512" s="1">
        <v>18382.55</v>
      </c>
      <c r="E512" s="1">
        <v>18304.400000000001</v>
      </c>
      <c r="F512" s="1">
        <v>18347.599999999999</v>
      </c>
    </row>
    <row r="513" spans="1:6" x14ac:dyDescent="0.25">
      <c r="A513" s="1" t="s">
        <v>63</v>
      </c>
      <c r="B513" s="1">
        <v>45979</v>
      </c>
      <c r="C513" s="1">
        <v>18381.5</v>
      </c>
      <c r="D513" s="1">
        <v>18381.5</v>
      </c>
      <c r="E513" s="1">
        <v>18133</v>
      </c>
      <c r="F513" s="1">
        <v>18154.75</v>
      </c>
    </row>
    <row r="514" spans="1:6" x14ac:dyDescent="0.25">
      <c r="A514" s="1" t="s">
        <v>63</v>
      </c>
      <c r="B514" s="1">
        <v>45980</v>
      </c>
      <c r="C514" s="1">
        <v>18159.2</v>
      </c>
      <c r="D514" s="1">
        <v>18163.349999999999</v>
      </c>
      <c r="E514" s="1">
        <v>18052.2</v>
      </c>
      <c r="F514" s="1">
        <v>18075.95</v>
      </c>
    </row>
    <row r="515" spans="1:6" x14ac:dyDescent="0.25">
      <c r="A515" s="1" t="s">
        <v>63</v>
      </c>
      <c r="B515" s="1">
        <v>45981</v>
      </c>
      <c r="C515" s="1">
        <v>18146.55</v>
      </c>
      <c r="D515" s="1">
        <v>18176.5</v>
      </c>
      <c r="E515" s="1">
        <v>18059.3</v>
      </c>
      <c r="F515" s="1">
        <v>18067.25</v>
      </c>
    </row>
    <row r="516" spans="1:6" x14ac:dyDescent="0.25">
      <c r="A516" s="1" t="s">
        <v>63</v>
      </c>
      <c r="B516" s="1">
        <v>45982</v>
      </c>
      <c r="C516" s="1">
        <v>18043.900000000001</v>
      </c>
      <c r="D516" s="1">
        <v>18045.45</v>
      </c>
      <c r="E516" s="1">
        <v>17835.2</v>
      </c>
      <c r="F516" s="1">
        <v>17847.5</v>
      </c>
    </row>
    <row r="517" spans="1:6" x14ac:dyDescent="0.25">
      <c r="A517" s="1" t="s">
        <v>63</v>
      </c>
      <c r="B517" s="1">
        <v>45985</v>
      </c>
      <c r="C517" s="1">
        <v>17874.5</v>
      </c>
      <c r="D517" s="1">
        <v>17885.650000000001</v>
      </c>
      <c r="E517" s="1">
        <v>17665.650000000001</v>
      </c>
      <c r="F517" s="1">
        <v>17696.5</v>
      </c>
    </row>
    <row r="518" spans="1:6" x14ac:dyDescent="0.25">
      <c r="A518" s="1" t="s">
        <v>63</v>
      </c>
      <c r="B518" s="1">
        <v>45986</v>
      </c>
      <c r="C518" s="1">
        <v>17714.400000000001</v>
      </c>
      <c r="D518" s="1">
        <v>17767.849999999999</v>
      </c>
      <c r="E518" s="1">
        <v>17675.7</v>
      </c>
      <c r="F518" s="1">
        <v>17730.3</v>
      </c>
    </row>
    <row r="519" spans="1:6" x14ac:dyDescent="0.25">
      <c r="A519" s="1" t="s">
        <v>63</v>
      </c>
      <c r="B519" s="1">
        <v>45987</v>
      </c>
      <c r="C519" s="1">
        <v>17784.3</v>
      </c>
      <c r="D519" s="1">
        <v>17977.650000000001</v>
      </c>
      <c r="E519" s="1">
        <v>17755.75</v>
      </c>
      <c r="F519" s="1">
        <v>17971.849999999999</v>
      </c>
    </row>
    <row r="520" spans="1:6" x14ac:dyDescent="0.25">
      <c r="A520" s="1" t="s">
        <v>63</v>
      </c>
      <c r="B520" s="1">
        <v>45988</v>
      </c>
      <c r="C520" s="1">
        <v>18023.25</v>
      </c>
      <c r="D520" s="1">
        <v>18029</v>
      </c>
      <c r="E520" s="1">
        <v>17837.5</v>
      </c>
      <c r="F520" s="1">
        <v>17876.8</v>
      </c>
    </row>
    <row r="521" spans="1:6" x14ac:dyDescent="0.25">
      <c r="A521" s="1" t="s">
        <v>63</v>
      </c>
      <c r="B521" s="1">
        <v>45989</v>
      </c>
      <c r="C521" s="1">
        <v>17897.8</v>
      </c>
      <c r="D521" s="1">
        <v>17905.150000000001</v>
      </c>
      <c r="E521" s="1">
        <v>17796</v>
      </c>
      <c r="F521" s="1">
        <v>17829.25</v>
      </c>
    </row>
    <row r="522" spans="1:6" x14ac:dyDescent="0.25">
      <c r="A522" s="1" t="s">
        <v>63</v>
      </c>
      <c r="B522" s="1">
        <v>45992</v>
      </c>
      <c r="C522" s="1">
        <v>17900.95</v>
      </c>
      <c r="D522" s="1">
        <v>17958.95</v>
      </c>
      <c r="E522" s="1">
        <v>17843.25</v>
      </c>
      <c r="F522" s="1">
        <v>17874.7</v>
      </c>
    </row>
    <row r="523" spans="1:6" x14ac:dyDescent="0.25">
      <c r="A523" s="1" t="s">
        <v>63</v>
      </c>
      <c r="B523" s="1">
        <v>45993</v>
      </c>
      <c r="C523" s="1">
        <v>17875.7</v>
      </c>
      <c r="D523" s="1">
        <v>17876.849999999999</v>
      </c>
      <c r="E523" s="1">
        <v>17737.150000000001</v>
      </c>
      <c r="F523" s="1">
        <v>17776.45</v>
      </c>
    </row>
    <row r="524" spans="1:6" x14ac:dyDescent="0.25">
      <c r="A524" s="1" t="s">
        <v>63</v>
      </c>
      <c r="B524" s="1">
        <v>45994</v>
      </c>
      <c r="C524" s="1">
        <v>17789.349999999999</v>
      </c>
      <c r="D524" s="1">
        <v>17807.75</v>
      </c>
      <c r="E524" s="1">
        <v>17588.3</v>
      </c>
      <c r="F524" s="1">
        <v>17649.45</v>
      </c>
    </row>
    <row r="525" spans="1:6" x14ac:dyDescent="0.25">
      <c r="A525" s="1" t="s">
        <v>63</v>
      </c>
      <c r="B525" s="1">
        <v>45995</v>
      </c>
      <c r="C525" s="1">
        <v>17658.3</v>
      </c>
      <c r="D525" s="1">
        <v>17702.349999999999</v>
      </c>
      <c r="E525" s="1">
        <v>17568.849999999999</v>
      </c>
      <c r="F525" s="1">
        <v>17607.849999999999</v>
      </c>
    </row>
    <row r="526" spans="1:6" x14ac:dyDescent="0.25">
      <c r="A526" s="1" t="s">
        <v>63</v>
      </c>
      <c r="B526" s="1">
        <v>45996</v>
      </c>
      <c r="C526" s="1">
        <v>17606.2</v>
      </c>
      <c r="D526" s="1">
        <v>17610.349999999999</v>
      </c>
      <c r="E526" s="1">
        <v>17448.05</v>
      </c>
      <c r="F526" s="1">
        <v>17507.75</v>
      </c>
    </row>
    <row r="527" spans="1:6" x14ac:dyDescent="0.25">
      <c r="A527" s="1" t="s">
        <v>63</v>
      </c>
      <c r="B527" s="1">
        <v>45999</v>
      </c>
      <c r="C527" s="1">
        <v>17505.849999999999</v>
      </c>
      <c r="D527" s="1">
        <v>17514.099999999999</v>
      </c>
      <c r="E527" s="1">
        <v>16983.900000000001</v>
      </c>
      <c r="F527" s="1">
        <v>17051.650000000001</v>
      </c>
    </row>
    <row r="528" spans="1:6" x14ac:dyDescent="0.25">
      <c r="A528" s="1" t="s">
        <v>63</v>
      </c>
      <c r="B528" s="1">
        <v>46000</v>
      </c>
      <c r="C528" s="1">
        <v>17012.099999999999</v>
      </c>
      <c r="D528" s="1">
        <v>17265.75</v>
      </c>
      <c r="E528" s="1">
        <v>16782.55</v>
      </c>
      <c r="F528" s="1">
        <v>17245.8</v>
      </c>
    </row>
    <row r="529" spans="1:6" x14ac:dyDescent="0.25">
      <c r="A529" s="1" t="s">
        <v>63</v>
      </c>
      <c r="B529" s="1">
        <v>46001</v>
      </c>
      <c r="C529" s="1">
        <v>17265.8</v>
      </c>
      <c r="D529" s="1">
        <v>17371.25</v>
      </c>
      <c r="E529" s="1">
        <v>17049.849999999999</v>
      </c>
      <c r="F529" s="1">
        <v>17090.150000000001</v>
      </c>
    </row>
    <row r="530" spans="1:6" x14ac:dyDescent="0.25">
      <c r="A530" s="1" t="s">
        <v>63</v>
      </c>
      <c r="B530" s="1">
        <v>46002</v>
      </c>
      <c r="C530" s="1">
        <v>17101.900000000001</v>
      </c>
      <c r="D530" s="1">
        <v>17245.05</v>
      </c>
      <c r="E530" s="1">
        <v>17014.7</v>
      </c>
      <c r="F530" s="1">
        <v>17228.05</v>
      </c>
    </row>
    <row r="531" spans="1:6" x14ac:dyDescent="0.25">
      <c r="A531" s="1" t="s">
        <v>63</v>
      </c>
      <c r="B531" s="1">
        <v>46003</v>
      </c>
      <c r="C531" s="1">
        <v>17298.05</v>
      </c>
      <c r="D531" s="1">
        <v>17401.349999999999</v>
      </c>
      <c r="E531" s="1">
        <v>17277.55</v>
      </c>
      <c r="F531" s="1">
        <v>17389.95</v>
      </c>
    </row>
    <row r="532" spans="1:6" x14ac:dyDescent="0.25">
      <c r="A532" s="1" t="s">
        <v>63</v>
      </c>
      <c r="B532" s="1">
        <v>46006</v>
      </c>
      <c r="C532" s="1">
        <v>17389.150000000001</v>
      </c>
      <c r="D532" s="1">
        <v>17442.150000000001</v>
      </c>
      <c r="E532" s="1">
        <v>17328.05</v>
      </c>
      <c r="F532" s="1">
        <v>17425.849999999999</v>
      </c>
    </row>
    <row r="533" spans="1:6" x14ac:dyDescent="0.25">
      <c r="A533" s="1" t="s">
        <v>63</v>
      </c>
      <c r="B533" s="1">
        <v>46007</v>
      </c>
      <c r="C533" s="1">
        <v>17399.599999999999</v>
      </c>
      <c r="D533" s="1">
        <v>17400.599999999999</v>
      </c>
      <c r="E533" s="1">
        <v>17240.55</v>
      </c>
      <c r="F533" s="1">
        <v>17265.150000000001</v>
      </c>
    </row>
    <row r="534" spans="1:6" x14ac:dyDescent="0.25">
      <c r="A534" s="1" t="s">
        <v>63</v>
      </c>
      <c r="B534" s="1">
        <v>46008</v>
      </c>
      <c r="C534" s="1">
        <v>17293.25</v>
      </c>
      <c r="D534" s="1">
        <v>17326.8</v>
      </c>
      <c r="E534" s="1">
        <v>17103.95</v>
      </c>
      <c r="F534" s="1">
        <v>17138.55</v>
      </c>
    </row>
    <row r="535" spans="1:6" x14ac:dyDescent="0.25">
      <c r="A535" s="1" t="s">
        <v>63</v>
      </c>
      <c r="B535" s="1">
        <v>46009</v>
      </c>
      <c r="C535" s="1">
        <v>17154.150000000001</v>
      </c>
      <c r="D535" s="1">
        <v>17190.45</v>
      </c>
      <c r="E535" s="1">
        <v>16998.599999999999</v>
      </c>
      <c r="F535" s="1">
        <v>17160.2</v>
      </c>
    </row>
    <row r="536" spans="1:6" x14ac:dyDescent="0.25">
      <c r="A536" s="1" t="s">
        <v>63</v>
      </c>
      <c r="B536" s="1">
        <v>46010</v>
      </c>
      <c r="C536" s="1">
        <v>17205.25</v>
      </c>
      <c r="D536" s="1">
        <v>17407.7</v>
      </c>
      <c r="E536" s="1">
        <v>17191.150000000001</v>
      </c>
      <c r="F536" s="1">
        <v>17390.349999999999</v>
      </c>
    </row>
    <row r="537" spans="1:6" x14ac:dyDescent="0.25">
      <c r="A537" s="1" t="s">
        <v>63</v>
      </c>
      <c r="B537" s="1">
        <v>46013</v>
      </c>
      <c r="C537" s="1">
        <v>17466.400000000001</v>
      </c>
      <c r="D537" s="1">
        <v>17621.400000000001</v>
      </c>
      <c r="E537" s="1">
        <v>17425.55</v>
      </c>
      <c r="F537" s="1">
        <v>17593.05</v>
      </c>
    </row>
    <row r="538" spans="1:6" x14ac:dyDescent="0.25">
      <c r="A538" s="1" t="s">
        <v>63</v>
      </c>
      <c r="B538" s="1">
        <v>46014</v>
      </c>
      <c r="C538" s="1">
        <v>17633.25</v>
      </c>
      <c r="D538" s="1">
        <v>17679.599999999999</v>
      </c>
      <c r="E538" s="1">
        <v>17575.5</v>
      </c>
      <c r="F538" s="1">
        <v>17658.8</v>
      </c>
    </row>
    <row r="539" spans="1:6" x14ac:dyDescent="0.25">
      <c r="A539" s="1" t="s">
        <v>63</v>
      </c>
      <c r="B539" s="1">
        <v>46015</v>
      </c>
      <c r="C539" s="1">
        <v>17679.95</v>
      </c>
      <c r="D539" s="1">
        <v>17762.7</v>
      </c>
      <c r="E539" s="1">
        <v>17647.8</v>
      </c>
      <c r="F539" s="1">
        <v>17708.599999999999</v>
      </c>
    </row>
    <row r="540" spans="1:6" x14ac:dyDescent="0.25">
      <c r="A540" s="1" t="s">
        <v>63</v>
      </c>
      <c r="B540" s="1">
        <v>46017</v>
      </c>
      <c r="C540" s="1">
        <v>17739.2</v>
      </c>
      <c r="D540" s="1">
        <v>17784.400000000001</v>
      </c>
      <c r="E540" s="1">
        <v>17668.099999999999</v>
      </c>
      <c r="F540" s="1">
        <v>17695.099999999999</v>
      </c>
    </row>
    <row r="541" spans="1:6" x14ac:dyDescent="0.25">
      <c r="A541" s="1" t="s">
        <v>63</v>
      </c>
      <c r="B541" s="1">
        <v>46020</v>
      </c>
      <c r="C541" s="1">
        <v>17756.55</v>
      </c>
      <c r="D541" s="1">
        <v>17764.3</v>
      </c>
      <c r="E541" s="1">
        <v>17543.099999999999</v>
      </c>
      <c r="F541" s="1">
        <v>17567.7</v>
      </c>
    </row>
    <row r="542" spans="1:6" x14ac:dyDescent="0.25">
      <c r="A542" s="1" t="s">
        <v>63</v>
      </c>
      <c r="B542" s="1">
        <v>46021</v>
      </c>
      <c r="C542" s="1">
        <v>17553.8</v>
      </c>
      <c r="D542" s="1">
        <v>17570.599999999999</v>
      </c>
      <c r="E542" s="1">
        <v>17407</v>
      </c>
      <c r="F542" s="1">
        <v>17518.95</v>
      </c>
    </row>
    <row r="543" spans="1:6" x14ac:dyDescent="0.25">
      <c r="A543" s="1" t="s">
        <v>63</v>
      </c>
      <c r="B543" s="1">
        <v>46022</v>
      </c>
      <c r="C543" s="1">
        <v>17579.599999999999</v>
      </c>
      <c r="D543" s="1">
        <v>17758.599999999999</v>
      </c>
      <c r="E543" s="1">
        <v>17574.95</v>
      </c>
      <c r="F543" s="1">
        <v>17713.95</v>
      </c>
    </row>
    <row r="544" spans="1:6" x14ac:dyDescent="0.25">
      <c r="A544" s="1" t="s">
        <v>63</v>
      </c>
      <c r="B544" s="1">
        <v>46023</v>
      </c>
      <c r="C544" s="1">
        <v>17745.8</v>
      </c>
      <c r="D544" s="1">
        <v>17749.900000000001</v>
      </c>
      <c r="E544" s="1">
        <v>17606.599999999999</v>
      </c>
      <c r="F544" s="1">
        <v>17704.900000000001</v>
      </c>
    </row>
    <row r="545" spans="1:6" x14ac:dyDescent="0.25">
      <c r="A545" s="1" t="s">
        <v>63</v>
      </c>
      <c r="B545" s="1">
        <v>46024</v>
      </c>
      <c r="C545" s="1">
        <v>17744.5</v>
      </c>
      <c r="D545" s="1">
        <v>17845.25</v>
      </c>
      <c r="E545" s="1">
        <v>17699.099999999999</v>
      </c>
      <c r="F545" s="1">
        <v>17832.05</v>
      </c>
    </row>
    <row r="546" spans="1:6" x14ac:dyDescent="0.25">
      <c r="A546" s="1" t="s">
        <v>63</v>
      </c>
      <c r="B546" s="1">
        <v>46027</v>
      </c>
      <c r="C546" s="1">
        <v>17882.650000000001</v>
      </c>
      <c r="D546" s="1">
        <v>17984.900000000001</v>
      </c>
      <c r="E546" s="1">
        <v>17836.3</v>
      </c>
      <c r="F546" s="1">
        <v>17926.400000000001</v>
      </c>
    </row>
    <row r="547" spans="1:6" x14ac:dyDescent="0.25">
      <c r="A547" s="1" t="s">
        <v>63</v>
      </c>
      <c r="B547" s="1">
        <v>46028</v>
      </c>
      <c r="C547" s="1">
        <v>18000.650000000001</v>
      </c>
      <c r="D547" s="1">
        <v>18000.650000000001</v>
      </c>
      <c r="E547" s="1">
        <v>17812.05</v>
      </c>
      <c r="F547" s="1">
        <v>17887.849999999999</v>
      </c>
    </row>
    <row r="548" spans="1:6" x14ac:dyDescent="0.25">
      <c r="A548" s="1" t="s">
        <v>63</v>
      </c>
      <c r="B548" s="1">
        <v>46029</v>
      </c>
      <c r="C548" s="1">
        <v>17891.95</v>
      </c>
      <c r="D548" s="1">
        <v>17993.7</v>
      </c>
      <c r="E548" s="1">
        <v>17840.3</v>
      </c>
      <c r="F548" s="1">
        <v>17958.5</v>
      </c>
    </row>
    <row r="549" spans="1:6" x14ac:dyDescent="0.25">
      <c r="A549" s="1" t="s">
        <v>63</v>
      </c>
      <c r="B549" s="1">
        <v>46030</v>
      </c>
      <c r="C549" s="1">
        <v>17972.7</v>
      </c>
      <c r="D549" s="1">
        <v>17997.25</v>
      </c>
      <c r="E549" s="1">
        <v>17560.75</v>
      </c>
      <c r="F549" s="1">
        <v>17601.05</v>
      </c>
    </row>
    <row r="550" spans="1:6" x14ac:dyDescent="0.25">
      <c r="A550" s="1" t="s">
        <v>63</v>
      </c>
      <c r="B550" s="1">
        <v>46031</v>
      </c>
      <c r="C550" s="1">
        <v>17572.5</v>
      </c>
      <c r="D550" s="1">
        <v>17637.900000000001</v>
      </c>
      <c r="E550" s="1">
        <v>17252.95</v>
      </c>
      <c r="F550" s="1">
        <v>17282.650000000001</v>
      </c>
    </row>
    <row r="551" spans="1:6" x14ac:dyDescent="0.25">
      <c r="A551" s="1" t="s">
        <v>63</v>
      </c>
      <c r="B551" s="1">
        <v>46034</v>
      </c>
      <c r="C551" s="1">
        <v>17287.099999999999</v>
      </c>
      <c r="D551" s="1">
        <v>17294.650000000001</v>
      </c>
      <c r="E551" s="1">
        <v>16946.95</v>
      </c>
      <c r="F551" s="1">
        <v>17193.3</v>
      </c>
    </row>
    <row r="552" spans="1:6" x14ac:dyDescent="0.25">
      <c r="A552" s="1" t="s">
        <v>63</v>
      </c>
      <c r="B552" s="1">
        <v>46035</v>
      </c>
      <c r="C552" s="1">
        <v>17264.25</v>
      </c>
      <c r="D552" s="1">
        <v>17359.25</v>
      </c>
      <c r="E552" s="1">
        <v>17163.95</v>
      </c>
      <c r="F552" s="1">
        <v>17295.8</v>
      </c>
    </row>
    <row r="553" spans="1:6" x14ac:dyDescent="0.25">
      <c r="A553" s="1" t="s">
        <v>63</v>
      </c>
      <c r="B553" s="1">
        <v>46036</v>
      </c>
      <c r="C553" s="1">
        <v>17281.849999999999</v>
      </c>
      <c r="D553" s="1">
        <v>17453.900000000001</v>
      </c>
      <c r="E553" s="1">
        <v>17259.5</v>
      </c>
      <c r="F553" s="1">
        <v>17410.849999999999</v>
      </c>
    </row>
    <row r="554" spans="1:6" x14ac:dyDescent="0.25">
      <c r="A554" s="1" t="s">
        <v>63</v>
      </c>
      <c r="B554" s="1">
        <v>46038</v>
      </c>
      <c r="C554" s="1">
        <v>17427.7</v>
      </c>
      <c r="D554" s="1">
        <v>17495</v>
      </c>
      <c r="E554" s="1">
        <v>17340</v>
      </c>
      <c r="F554" s="1">
        <v>17362.3</v>
      </c>
    </row>
    <row r="555" spans="1:6" x14ac:dyDescent="0.25">
      <c r="A555" s="1" t="s">
        <v>63</v>
      </c>
      <c r="B555" s="1">
        <v>46041</v>
      </c>
      <c r="C555" s="1">
        <v>17339.349999999999</v>
      </c>
      <c r="D555" s="1">
        <v>17366.900000000001</v>
      </c>
      <c r="E555" s="1">
        <v>17165.75</v>
      </c>
      <c r="F555" s="1">
        <v>17190.7</v>
      </c>
    </row>
    <row r="556" spans="1:6" x14ac:dyDescent="0.25">
      <c r="A556" s="1" t="s">
        <v>63</v>
      </c>
      <c r="B556" s="1">
        <v>46042</v>
      </c>
      <c r="C556" s="1">
        <v>17185.8</v>
      </c>
      <c r="D556" s="1">
        <v>17186.2</v>
      </c>
      <c r="E556" s="1">
        <v>16660.55</v>
      </c>
      <c r="F556" s="1">
        <v>16701.05</v>
      </c>
    </row>
    <row r="557" spans="1:6" x14ac:dyDescent="0.25">
      <c r="A557" s="1" t="s">
        <v>63</v>
      </c>
      <c r="B557" s="1">
        <v>46043</v>
      </c>
      <c r="C557" s="1">
        <v>16648.849999999999</v>
      </c>
      <c r="D557" s="1">
        <v>16736.900000000001</v>
      </c>
      <c r="E557" s="1">
        <v>16362.9</v>
      </c>
      <c r="F557" s="1">
        <v>16551.2</v>
      </c>
    </row>
    <row r="558" spans="1:6" x14ac:dyDescent="0.25">
      <c r="A558" s="1" t="s">
        <v>63</v>
      </c>
      <c r="B558" s="1">
        <v>46044</v>
      </c>
      <c r="C558" s="1">
        <v>16717.900000000001</v>
      </c>
      <c r="D558" s="1">
        <v>16807.7</v>
      </c>
      <c r="E558" s="1">
        <v>16534.900000000001</v>
      </c>
      <c r="F558" s="1">
        <v>16677.25</v>
      </c>
    </row>
    <row r="559" spans="1:6" x14ac:dyDescent="0.25">
      <c r="A559" s="1" t="s">
        <v>63</v>
      </c>
      <c r="B559" s="1">
        <v>46045</v>
      </c>
      <c r="C559" s="1">
        <v>16765.400000000001</v>
      </c>
      <c r="D559" s="1">
        <v>16770.849999999999</v>
      </c>
      <c r="E559" s="1">
        <v>16326.35</v>
      </c>
      <c r="F559" s="1">
        <v>16352.75</v>
      </c>
    </row>
    <row r="560" spans="1:6" x14ac:dyDescent="0.25">
      <c r="A560" s="1" t="s">
        <v>63</v>
      </c>
      <c r="B560" s="1">
        <v>46049</v>
      </c>
      <c r="C560" s="1">
        <v>16445.3</v>
      </c>
      <c r="D560" s="1">
        <v>16493.45</v>
      </c>
      <c r="E560" s="1">
        <v>16186.75</v>
      </c>
      <c r="F560" s="1">
        <v>16419.349999999999</v>
      </c>
    </row>
    <row r="561" spans="1:6" x14ac:dyDescent="0.25">
      <c r="A561" s="1" t="s">
        <v>63</v>
      </c>
      <c r="B561" s="1">
        <v>46050</v>
      </c>
      <c r="C561" s="1">
        <v>16511.3</v>
      </c>
      <c r="D561" s="1">
        <v>16817.150000000001</v>
      </c>
      <c r="E561" s="1">
        <v>16489.25</v>
      </c>
      <c r="F561" s="1">
        <v>16790.95</v>
      </c>
    </row>
    <row r="562" spans="1:6" x14ac:dyDescent="0.25">
      <c r="A562" s="1" t="s">
        <v>63</v>
      </c>
      <c r="B562" s="1">
        <v>46051</v>
      </c>
      <c r="C562" s="1">
        <v>16880.05</v>
      </c>
      <c r="D562" s="1">
        <v>16888.75</v>
      </c>
      <c r="E562" s="1">
        <v>16692.900000000001</v>
      </c>
      <c r="F562" s="1">
        <v>16825</v>
      </c>
    </row>
    <row r="563" spans="1:6" x14ac:dyDescent="0.25">
      <c r="A563" s="1" t="s">
        <v>63</v>
      </c>
      <c r="B563" s="1">
        <v>46052</v>
      </c>
      <c r="C563" s="1">
        <v>16739.599999999999</v>
      </c>
      <c r="D563" s="1">
        <v>16946.849999999999</v>
      </c>
      <c r="E563" s="1">
        <v>16565.650000000001</v>
      </c>
      <c r="F563" s="1">
        <v>16879.099999999999</v>
      </c>
    </row>
    <row r="564" spans="1:6" x14ac:dyDescent="0.25">
      <c r="A564" s="1" t="s">
        <v>63</v>
      </c>
      <c r="B564" s="1">
        <v>46054</v>
      </c>
      <c r="C564" s="1">
        <v>16767.7</v>
      </c>
      <c r="D564" s="1">
        <v>16780.5</v>
      </c>
      <c r="E564" s="1">
        <v>16155.35</v>
      </c>
      <c r="F564" s="1">
        <v>16418.150000000001</v>
      </c>
    </row>
    <row r="565" spans="1:6" x14ac:dyDescent="0.25">
      <c r="A565" s="1" t="s">
        <v>63</v>
      </c>
      <c r="B565" s="1">
        <v>46055</v>
      </c>
      <c r="C565" s="1">
        <v>16381.95</v>
      </c>
      <c r="D565" s="1">
        <v>16583.7</v>
      </c>
      <c r="E565" s="1">
        <v>16136.9</v>
      </c>
      <c r="F565" s="1">
        <v>16523.349999999999</v>
      </c>
    </row>
    <row r="566" spans="1:6" x14ac:dyDescent="0.25">
      <c r="A566" s="1" t="s">
        <v>63</v>
      </c>
      <c r="B566" s="1">
        <v>46056</v>
      </c>
      <c r="C566" s="1">
        <v>17295.599999999999</v>
      </c>
      <c r="D566" s="1">
        <v>17366.099999999999</v>
      </c>
      <c r="E566" s="1">
        <v>16938.75</v>
      </c>
      <c r="F566" s="1">
        <v>16988.95</v>
      </c>
    </row>
    <row r="567" spans="1:6" x14ac:dyDescent="0.25">
      <c r="A567" s="1" t="s">
        <v>63</v>
      </c>
      <c r="B567" s="1">
        <v>46057</v>
      </c>
      <c r="C567" s="1">
        <v>16993.25</v>
      </c>
      <c r="D567" s="1">
        <v>17234.7</v>
      </c>
      <c r="E567" s="1">
        <v>16918.25</v>
      </c>
      <c r="F567" s="1">
        <v>17205.099999999999</v>
      </c>
    </row>
    <row r="568" spans="1:6" x14ac:dyDescent="0.25">
      <c r="A568" s="1" t="s">
        <v>63</v>
      </c>
      <c r="B568" s="1">
        <v>46058</v>
      </c>
      <c r="C568" s="1">
        <v>17151.349999999999</v>
      </c>
      <c r="D568" s="1">
        <v>17151.400000000001</v>
      </c>
      <c r="E568" s="1">
        <v>16896.8</v>
      </c>
      <c r="F568" s="1">
        <v>16983.900000000001</v>
      </c>
    </row>
    <row r="569" spans="1:6" x14ac:dyDescent="0.25">
      <c r="A569" s="1" t="s">
        <v>63</v>
      </c>
      <c r="B569" s="1">
        <v>46059</v>
      </c>
      <c r="C569" s="1">
        <v>16914.400000000001</v>
      </c>
      <c r="D569" s="1">
        <v>16956.95</v>
      </c>
      <c r="E569" s="1">
        <v>16705.349999999999</v>
      </c>
      <c r="F569" s="1">
        <v>16938.650000000001</v>
      </c>
    </row>
    <row r="570" spans="1:6" x14ac:dyDescent="0.25">
      <c r="A570" s="1" t="s">
        <v>63</v>
      </c>
      <c r="B570" s="1">
        <v>46062</v>
      </c>
      <c r="C570" s="1">
        <v>17082.55</v>
      </c>
      <c r="D570" s="1">
        <v>17404.150000000001</v>
      </c>
      <c r="E570" s="1">
        <v>17045.599999999999</v>
      </c>
      <c r="F570" s="1">
        <v>17385.900000000001</v>
      </c>
    </row>
    <row r="571" spans="1:6" x14ac:dyDescent="0.25">
      <c r="A571" s="1" t="s">
        <v>63</v>
      </c>
      <c r="B571" s="1">
        <v>46063</v>
      </c>
      <c r="C571" s="1">
        <v>17447.3</v>
      </c>
      <c r="D571" s="1">
        <v>17508.849999999999</v>
      </c>
      <c r="E571" s="1">
        <v>17397.2</v>
      </c>
      <c r="F571" s="1">
        <v>17451.2</v>
      </c>
    </row>
    <row r="572" spans="1:6" x14ac:dyDescent="0.25">
      <c r="A572" s="1" t="s">
        <v>63</v>
      </c>
      <c r="B572" s="1">
        <v>46064</v>
      </c>
      <c r="C572" s="1">
        <v>17482.3</v>
      </c>
      <c r="D572" s="1">
        <v>17483.25</v>
      </c>
      <c r="E572" s="1">
        <v>17362.099999999999</v>
      </c>
      <c r="F572" s="1">
        <v>17455</v>
      </c>
    </row>
    <row r="573" spans="1:6" x14ac:dyDescent="0.25">
      <c r="A573" s="1" t="s">
        <v>63</v>
      </c>
      <c r="B573" s="1">
        <v>46065</v>
      </c>
      <c r="C573" s="1">
        <v>17433.150000000001</v>
      </c>
      <c r="D573" s="1">
        <v>17435</v>
      </c>
      <c r="E573" s="1">
        <v>17275.2</v>
      </c>
      <c r="F573" s="1">
        <v>17344.099999999999</v>
      </c>
    </row>
    <row r="574" spans="1:6" x14ac:dyDescent="0.25">
      <c r="A574" s="1" t="s">
        <v>63</v>
      </c>
      <c r="B574" s="1">
        <v>46066</v>
      </c>
      <c r="C574" s="1">
        <v>17193.650000000001</v>
      </c>
      <c r="D574" s="1">
        <v>17196.349999999999</v>
      </c>
      <c r="E574" s="1">
        <v>16951.900000000001</v>
      </c>
      <c r="F574" s="1">
        <v>17032.900000000001</v>
      </c>
    </row>
    <row r="575" spans="1:6" x14ac:dyDescent="0.25">
      <c r="A575" s="1" t="s">
        <v>63</v>
      </c>
      <c r="B575" s="1">
        <v>46069</v>
      </c>
      <c r="C575" s="1">
        <v>16927</v>
      </c>
      <c r="D575" s="1">
        <v>17062.75</v>
      </c>
      <c r="E575" s="1">
        <v>16822.25</v>
      </c>
      <c r="F575" s="1">
        <v>17050.900000000001</v>
      </c>
    </row>
    <row r="576" spans="1:6" x14ac:dyDescent="0.25">
      <c r="A576" s="1" t="s">
        <v>63</v>
      </c>
      <c r="B576" s="1">
        <v>46070</v>
      </c>
      <c r="C576" s="1">
        <v>17050.95</v>
      </c>
      <c r="D576" s="1">
        <v>17166.2</v>
      </c>
      <c r="E576" s="1">
        <v>17011.45</v>
      </c>
      <c r="F576" s="1">
        <v>17146.7</v>
      </c>
    </row>
    <row r="577" spans="1:6" x14ac:dyDescent="0.25">
      <c r="A577" s="1" t="s">
        <v>63</v>
      </c>
      <c r="B577" s="1">
        <v>46071</v>
      </c>
      <c r="C577" s="1">
        <v>17184.099999999999</v>
      </c>
      <c r="D577" s="1">
        <v>17257.599999999999</v>
      </c>
      <c r="E577" s="1">
        <v>17133.5</v>
      </c>
      <c r="F577" s="1">
        <v>17239.25</v>
      </c>
    </row>
    <row r="578" spans="1:6" x14ac:dyDescent="0.25">
      <c r="A578" s="1" t="s">
        <v>63</v>
      </c>
      <c r="B578" s="1">
        <v>46072</v>
      </c>
      <c r="C578" s="1">
        <v>17294.599999999999</v>
      </c>
      <c r="D578" s="1">
        <v>17308.349999999999</v>
      </c>
      <c r="E578" s="1">
        <v>16970.95</v>
      </c>
      <c r="F578" s="1">
        <v>17020.349999999999</v>
      </c>
    </row>
    <row r="579" spans="1:6" x14ac:dyDescent="0.25">
      <c r="A579" s="1" t="s">
        <v>63</v>
      </c>
      <c r="B579" s="1">
        <v>46073</v>
      </c>
      <c r="C579" s="1">
        <v>16995.55</v>
      </c>
      <c r="D579" s="1">
        <v>17087.599999999999</v>
      </c>
      <c r="E579" s="1">
        <v>16937.5</v>
      </c>
      <c r="F579" s="1">
        <v>17002.150000000001</v>
      </c>
    </row>
    <row r="580" spans="1:6" x14ac:dyDescent="0.25">
      <c r="A580" s="1" t="s">
        <v>63</v>
      </c>
      <c r="B580" s="1">
        <v>46076</v>
      </c>
      <c r="C580" s="1">
        <v>17119.55</v>
      </c>
      <c r="D580" s="1">
        <v>17202.3</v>
      </c>
      <c r="E580" s="1">
        <v>16984.900000000001</v>
      </c>
      <c r="F580" s="1">
        <v>17051.95</v>
      </c>
    </row>
    <row r="581" spans="1:6" x14ac:dyDescent="0.25">
      <c r="A581" s="1" t="s">
        <v>63</v>
      </c>
      <c r="B581" s="1">
        <v>46077</v>
      </c>
      <c r="C581" s="1">
        <v>17005.75</v>
      </c>
      <c r="D581" s="1">
        <v>17024.599999999999</v>
      </c>
      <c r="E581" s="1">
        <v>16842</v>
      </c>
      <c r="F581" s="1">
        <v>16958.650000000001</v>
      </c>
    </row>
    <row r="582" spans="1:6" x14ac:dyDescent="0.25">
      <c r="A582" s="1" t="s">
        <v>63</v>
      </c>
      <c r="B582" s="1">
        <v>46078</v>
      </c>
      <c r="C582" s="1">
        <v>17032.75</v>
      </c>
      <c r="D582" s="1">
        <v>17146.900000000001</v>
      </c>
      <c r="E582" s="1">
        <v>17015.900000000001</v>
      </c>
      <c r="F582" s="1">
        <v>17118.7</v>
      </c>
    </row>
    <row r="583" spans="1:6" x14ac:dyDescent="0.25">
      <c r="A583" s="1" t="s">
        <v>63</v>
      </c>
      <c r="B583" s="1">
        <v>46079</v>
      </c>
      <c r="C583" s="1">
        <v>17143.599999999999</v>
      </c>
      <c r="D583" s="1">
        <v>17206</v>
      </c>
      <c r="E583" s="1">
        <v>17036.3</v>
      </c>
      <c r="F583" s="1">
        <v>17117.650000000001</v>
      </c>
    </row>
    <row r="584" spans="1:6" x14ac:dyDescent="0.25">
      <c r="A584" s="1" t="s">
        <v>63</v>
      </c>
      <c r="B584" s="1">
        <v>46080</v>
      </c>
      <c r="C584" s="1">
        <v>17109.75</v>
      </c>
      <c r="D584" s="1">
        <v>17112</v>
      </c>
      <c r="E584" s="1">
        <v>16904.5</v>
      </c>
      <c r="F584" s="1">
        <v>16928.900000000001</v>
      </c>
    </row>
    <row r="585" spans="1:6" x14ac:dyDescent="0.25">
      <c r="A585" s="1" t="s">
        <v>63</v>
      </c>
      <c r="B585" s="1">
        <v>46083</v>
      </c>
      <c r="C585" s="1">
        <v>16289.6</v>
      </c>
      <c r="D585" s="1">
        <v>16839.2</v>
      </c>
      <c r="E585" s="1">
        <v>16284.7</v>
      </c>
      <c r="F585" s="1">
        <v>16632.400000000001</v>
      </c>
    </row>
    <row r="586" spans="1:6" x14ac:dyDescent="0.25">
      <c r="A586" s="1" t="s">
        <v>63</v>
      </c>
      <c r="B586" s="1">
        <v>46085</v>
      </c>
      <c r="C586" s="1">
        <v>16412.349999999999</v>
      </c>
      <c r="D586" s="1">
        <v>16413.400000000001</v>
      </c>
      <c r="E586" s="1">
        <v>16156.35</v>
      </c>
      <c r="F586" s="1">
        <v>16281.5</v>
      </c>
    </row>
    <row r="587" spans="1:6" x14ac:dyDescent="0.25">
      <c r="A587" s="1" t="s">
        <v>63</v>
      </c>
      <c r="B587" s="1">
        <v>46086</v>
      </c>
      <c r="C587" s="1">
        <v>16397.099999999999</v>
      </c>
      <c r="D587" s="1">
        <v>16567.7</v>
      </c>
      <c r="E587" s="1">
        <v>16311.55</v>
      </c>
      <c r="F587" s="1">
        <v>16538.8</v>
      </c>
    </row>
    <row r="588" spans="1:6" x14ac:dyDescent="0.25">
      <c r="A588" s="1" t="s">
        <v>63</v>
      </c>
      <c r="B588" s="1">
        <v>46087</v>
      </c>
      <c r="C588" s="1">
        <v>16524.349999999999</v>
      </c>
      <c r="D588" s="1">
        <v>16658.45</v>
      </c>
      <c r="E588" s="1">
        <v>16481.650000000001</v>
      </c>
      <c r="F588" s="1">
        <v>16498.900000000001</v>
      </c>
    </row>
    <row r="589" spans="1:6" x14ac:dyDescent="0.25">
      <c r="A589" s="1" t="s">
        <v>63</v>
      </c>
      <c r="B589" s="1">
        <v>46090</v>
      </c>
      <c r="C589" s="1">
        <v>16199.35</v>
      </c>
      <c r="D589" s="1">
        <v>16199.35</v>
      </c>
      <c r="E589" s="1">
        <v>15896.95</v>
      </c>
      <c r="F589" s="1">
        <v>16132.2</v>
      </c>
    </row>
    <row r="590" spans="1:6" x14ac:dyDescent="0.25">
      <c r="A590" s="1" t="s">
        <v>63</v>
      </c>
      <c r="B590" s="1">
        <v>46091</v>
      </c>
      <c r="C590" s="1">
        <v>16339.4</v>
      </c>
      <c r="D590" s="1">
        <v>16512.75</v>
      </c>
      <c r="E590" s="1">
        <v>16268.95</v>
      </c>
      <c r="F590" s="1">
        <v>16473.8</v>
      </c>
    </row>
    <row r="591" spans="1:6" x14ac:dyDescent="0.25">
      <c r="A591" s="1" t="s">
        <v>63</v>
      </c>
      <c r="B591" s="1">
        <v>46092</v>
      </c>
      <c r="C591" s="1">
        <v>16521.849999999999</v>
      </c>
      <c r="D591" s="1">
        <v>16652.849999999999</v>
      </c>
      <c r="E591" s="1">
        <v>16384.25</v>
      </c>
      <c r="F591" s="1">
        <v>16414.849999999999</v>
      </c>
    </row>
    <row r="592" spans="1:6" x14ac:dyDescent="0.25">
      <c r="A592" s="1" t="s">
        <v>63</v>
      </c>
      <c r="B592" s="1">
        <v>46093</v>
      </c>
      <c r="C592" s="1">
        <v>16337.15</v>
      </c>
      <c r="D592" s="1">
        <v>16423.05</v>
      </c>
      <c r="E592" s="1">
        <v>16097.45</v>
      </c>
      <c r="F592" s="1">
        <v>16305.25</v>
      </c>
    </row>
    <row r="593" spans="1:6" x14ac:dyDescent="0.25">
      <c r="A593" s="1" t="s">
        <v>63</v>
      </c>
      <c r="B593" s="1">
        <v>46094</v>
      </c>
      <c r="C593" s="1">
        <v>16246.9</v>
      </c>
      <c r="D593" s="1">
        <v>16253.55</v>
      </c>
      <c r="E593" s="1">
        <v>15832.9</v>
      </c>
      <c r="F593" s="1">
        <v>15895.25</v>
      </c>
    </row>
    <row r="594" spans="1:6" x14ac:dyDescent="0.25">
      <c r="A594" s="1" t="s">
        <v>63</v>
      </c>
      <c r="B594" s="1">
        <v>46097</v>
      </c>
      <c r="C594" s="1">
        <v>15858.25</v>
      </c>
      <c r="D594" s="1">
        <v>15892.2</v>
      </c>
      <c r="E594" s="1">
        <v>15526.75</v>
      </c>
      <c r="F594" s="1">
        <v>15810.35</v>
      </c>
    </row>
    <row r="595" spans="1:6" x14ac:dyDescent="0.25">
      <c r="A595" s="1" t="s">
        <v>63</v>
      </c>
      <c r="B595" s="1">
        <v>46098</v>
      </c>
      <c r="C595" s="1">
        <v>15888.25</v>
      </c>
      <c r="D595" s="1">
        <v>15957.6</v>
      </c>
      <c r="E595" s="1">
        <v>15765.7</v>
      </c>
      <c r="F595" s="1">
        <v>15912.9</v>
      </c>
    </row>
    <row r="596" spans="1:6" x14ac:dyDescent="0.25">
      <c r="A596" s="1" t="s">
        <v>63</v>
      </c>
      <c r="B596" s="1">
        <v>46099</v>
      </c>
      <c r="C596" s="1">
        <v>15976.1</v>
      </c>
      <c r="D596" s="1">
        <v>16230.7</v>
      </c>
      <c r="E596" s="1">
        <v>15946.3</v>
      </c>
      <c r="F596" s="1">
        <v>16179.15</v>
      </c>
    </row>
    <row r="597" spans="1:6" x14ac:dyDescent="0.25">
      <c r="A597" s="1" t="s">
        <v>63</v>
      </c>
      <c r="B597" s="1">
        <v>46100</v>
      </c>
      <c r="C597" s="1">
        <v>15933.15</v>
      </c>
      <c r="D597" s="1">
        <v>15959.4</v>
      </c>
      <c r="E597" s="1">
        <v>15656.9</v>
      </c>
      <c r="F597" s="1">
        <v>15704.25</v>
      </c>
    </row>
    <row r="598" spans="1:6" x14ac:dyDescent="0.25">
      <c r="A598" s="1" t="s">
        <v>63</v>
      </c>
      <c r="B598" s="1">
        <v>46101</v>
      </c>
      <c r="C598" s="1">
        <v>15829.7</v>
      </c>
      <c r="D598" s="1">
        <v>15929.1</v>
      </c>
      <c r="E598" s="1">
        <v>15694.9</v>
      </c>
      <c r="F598" s="1">
        <v>15718.6</v>
      </c>
    </row>
    <row r="599" spans="1:6" x14ac:dyDescent="0.25">
      <c r="A599" s="1" t="s">
        <v>63</v>
      </c>
      <c r="B599" s="1">
        <v>46104</v>
      </c>
      <c r="C599" s="1">
        <v>15565.3</v>
      </c>
      <c r="D599" s="1">
        <v>15565.3</v>
      </c>
      <c r="E599" s="1">
        <v>14986</v>
      </c>
      <c r="F599" s="1">
        <v>15098.7</v>
      </c>
    </row>
    <row r="600" spans="1:6" x14ac:dyDescent="0.25">
      <c r="A600" s="1" t="s">
        <v>63</v>
      </c>
      <c r="B600" s="1">
        <v>46105</v>
      </c>
      <c r="C600" s="1">
        <v>15459.7</v>
      </c>
      <c r="D600" s="1">
        <v>15534.7</v>
      </c>
      <c r="E600" s="1">
        <v>15115.7</v>
      </c>
      <c r="F600" s="1">
        <v>15495.2</v>
      </c>
    </row>
    <row r="601" spans="1:6" x14ac:dyDescent="0.25">
      <c r="A601" s="1" t="s">
        <v>63</v>
      </c>
      <c r="B601" s="1">
        <v>46106</v>
      </c>
      <c r="C601" s="1">
        <v>15665.6</v>
      </c>
      <c r="D601" s="1">
        <v>15985.75</v>
      </c>
      <c r="E601" s="1">
        <v>15621.9</v>
      </c>
      <c r="F601" s="1">
        <v>15896.55</v>
      </c>
    </row>
    <row r="602" spans="1:6" x14ac:dyDescent="0.25">
      <c r="A602" s="1" t="s">
        <v>63</v>
      </c>
      <c r="B602" s="1">
        <v>46108</v>
      </c>
      <c r="C602" s="1">
        <v>15796.4</v>
      </c>
      <c r="D602" s="1">
        <v>15801.5</v>
      </c>
      <c r="E602" s="1">
        <v>15574.9</v>
      </c>
      <c r="F602" s="1">
        <v>15620</v>
      </c>
    </row>
    <row r="603" spans="1:6" x14ac:dyDescent="0.25">
      <c r="A603" s="1" t="s">
        <v>63</v>
      </c>
      <c r="B603" s="1">
        <v>46111</v>
      </c>
      <c r="C603" s="1">
        <v>15435.4</v>
      </c>
      <c r="D603" s="1">
        <v>15493.95</v>
      </c>
      <c r="E603" s="1">
        <v>15168.5</v>
      </c>
      <c r="F603" s="1">
        <v>15203.8</v>
      </c>
    </row>
    <row r="604" spans="1:6" x14ac:dyDescent="0.25">
      <c r="A604" s="1" t="s">
        <v>63</v>
      </c>
      <c r="B604" s="1">
        <v>46113</v>
      </c>
      <c r="C604" s="1">
        <v>15618.8</v>
      </c>
      <c r="D604" s="1">
        <v>15848.55</v>
      </c>
      <c r="E604" s="1">
        <v>15532.75</v>
      </c>
      <c r="F604" s="1">
        <v>15709.8</v>
      </c>
    </row>
    <row r="605" spans="1:6" x14ac:dyDescent="0.25">
      <c r="A605" s="1" t="s">
        <v>63</v>
      </c>
      <c r="B605" s="1">
        <v>46114</v>
      </c>
      <c r="C605" s="1">
        <v>15475.7</v>
      </c>
      <c r="D605" s="1">
        <v>15696.05</v>
      </c>
      <c r="E605" s="1">
        <v>15183.55</v>
      </c>
      <c r="F605" s="1">
        <v>15650.5</v>
      </c>
    </row>
    <row r="606" spans="1:6" x14ac:dyDescent="0.25">
      <c r="A606" s="1" t="s">
        <v>63</v>
      </c>
      <c r="B606" s="1">
        <v>46118</v>
      </c>
      <c r="C606" s="1">
        <v>15675.8</v>
      </c>
      <c r="D606" s="1">
        <v>15868.65</v>
      </c>
      <c r="E606" s="1">
        <v>15467.25</v>
      </c>
      <c r="F606" s="1">
        <v>15853.05</v>
      </c>
    </row>
    <row r="607" spans="1:6" x14ac:dyDescent="0.25">
      <c r="A607" s="1" t="s">
        <v>63</v>
      </c>
      <c r="B607" s="1">
        <v>46119</v>
      </c>
      <c r="C607" s="1">
        <v>15790.55</v>
      </c>
      <c r="D607" s="1">
        <v>15919.1</v>
      </c>
      <c r="E607" s="1">
        <v>15697.45</v>
      </c>
      <c r="F607" s="1">
        <v>15843.3</v>
      </c>
    </row>
    <row r="608" spans="1:6" x14ac:dyDescent="0.25">
      <c r="A608" s="1" t="s">
        <v>63</v>
      </c>
      <c r="B608" s="1">
        <v>46120</v>
      </c>
      <c r="C608" s="1">
        <v>16429.75</v>
      </c>
      <c r="D608" s="1">
        <v>16558.349999999999</v>
      </c>
      <c r="E608" s="1">
        <v>16281.55</v>
      </c>
      <c r="F608" s="1">
        <v>16538.05</v>
      </c>
    </row>
    <row r="609" spans="1:6" x14ac:dyDescent="0.25">
      <c r="A609" s="1" t="s">
        <v>63</v>
      </c>
      <c r="B609" s="1">
        <v>46121</v>
      </c>
      <c r="C609" s="1">
        <v>16549.05</v>
      </c>
      <c r="D609" s="1">
        <v>16685.5</v>
      </c>
      <c r="E609" s="1">
        <v>16447.400000000001</v>
      </c>
      <c r="F609" s="1">
        <v>16566</v>
      </c>
    </row>
    <row r="610" spans="1:6" x14ac:dyDescent="0.25">
      <c r="A610" s="1" t="s">
        <v>63</v>
      </c>
      <c r="B610" s="1">
        <v>46122</v>
      </c>
      <c r="C610" s="1">
        <v>16675.400000000001</v>
      </c>
      <c r="D610" s="1">
        <v>16876.150000000001</v>
      </c>
      <c r="E610" s="1">
        <v>16659</v>
      </c>
      <c r="F610" s="1">
        <v>16840.099999999999</v>
      </c>
    </row>
    <row r="611" spans="1:6" x14ac:dyDescent="0.25">
      <c r="A611" s="1" t="s">
        <v>63</v>
      </c>
      <c r="B611" s="1">
        <v>46125</v>
      </c>
      <c r="C611" s="1">
        <v>16523.599999999999</v>
      </c>
      <c r="D611" s="1">
        <v>16805.3</v>
      </c>
      <c r="E611" s="1">
        <v>16338.9</v>
      </c>
      <c r="F611" s="1">
        <v>16762</v>
      </c>
    </row>
    <row r="612" spans="1:6" x14ac:dyDescent="0.25">
      <c r="A612" s="1" t="s">
        <v>63</v>
      </c>
      <c r="B612" s="1">
        <v>46127</v>
      </c>
      <c r="C612" s="1">
        <v>17063.599999999999</v>
      </c>
      <c r="D612" s="1">
        <v>17188.849999999999</v>
      </c>
      <c r="E612" s="1">
        <v>17031.7</v>
      </c>
      <c r="F612" s="1">
        <v>17156.400000000001</v>
      </c>
    </row>
    <row r="613" spans="1:6" x14ac:dyDescent="0.25">
      <c r="A613" s="1" t="s">
        <v>63</v>
      </c>
      <c r="B613" s="1">
        <v>46128</v>
      </c>
      <c r="C613" s="1">
        <v>17321.25</v>
      </c>
      <c r="D613" s="1">
        <v>17384</v>
      </c>
      <c r="E613" s="1">
        <v>17178.400000000001</v>
      </c>
      <c r="F613" s="1">
        <v>17308.849999999999</v>
      </c>
    </row>
    <row r="614" spans="1:6" x14ac:dyDescent="0.25">
      <c r="A614" s="1" t="s">
        <v>63</v>
      </c>
      <c r="B614" s="1">
        <v>46129</v>
      </c>
      <c r="C614" s="1">
        <v>17364.45</v>
      </c>
      <c r="D614" s="1">
        <v>17590.650000000001</v>
      </c>
      <c r="E614" s="1">
        <v>17341.349999999999</v>
      </c>
      <c r="F614" s="1">
        <v>17565.7</v>
      </c>
    </row>
    <row r="615" spans="1:6" x14ac:dyDescent="0.25">
      <c r="A615" s="1" t="s">
        <v>63</v>
      </c>
      <c r="B615" s="1">
        <v>46132</v>
      </c>
      <c r="C615" s="1">
        <v>17593</v>
      </c>
      <c r="D615" s="1">
        <v>17611.900000000001</v>
      </c>
      <c r="E615" s="1">
        <v>17358.75</v>
      </c>
      <c r="F615" s="1">
        <v>17486.900000000001</v>
      </c>
    </row>
    <row r="616" spans="1:6" x14ac:dyDescent="0.25">
      <c r="A616" s="1" t="s">
        <v>63</v>
      </c>
      <c r="B616" s="1">
        <v>46133</v>
      </c>
      <c r="C616" s="1">
        <v>17547.099999999999</v>
      </c>
      <c r="D616" s="1">
        <v>17711.55</v>
      </c>
      <c r="E616" s="1">
        <v>17534.05</v>
      </c>
      <c r="F616" s="1">
        <v>17641.5</v>
      </c>
    </row>
    <row r="617" spans="1:6" x14ac:dyDescent="0.25">
      <c r="A617" s="1" t="s">
        <v>63</v>
      </c>
      <c r="B617" s="1">
        <v>46134</v>
      </c>
      <c r="C617" s="1">
        <v>17644.05</v>
      </c>
      <c r="D617" s="1">
        <v>17862.099999999999</v>
      </c>
      <c r="E617" s="1">
        <v>17626.75</v>
      </c>
      <c r="F617" s="1">
        <v>17840.349999999999</v>
      </c>
    </row>
    <row r="618" spans="1:6" x14ac:dyDescent="0.25">
      <c r="A618" s="1" t="s">
        <v>63</v>
      </c>
      <c r="B618" s="1">
        <v>46135</v>
      </c>
      <c r="C618" s="1">
        <v>17792.2</v>
      </c>
      <c r="D618" s="1">
        <v>17901</v>
      </c>
      <c r="E618" s="1">
        <v>17687.900000000001</v>
      </c>
      <c r="F618" s="1">
        <v>17720.75</v>
      </c>
    </row>
    <row r="619" spans="1:6" x14ac:dyDescent="0.25">
      <c r="A619" s="1" t="s">
        <v>63</v>
      </c>
      <c r="B619" s="1">
        <v>46136</v>
      </c>
      <c r="C619" s="1">
        <v>17766.900000000001</v>
      </c>
      <c r="D619" s="1">
        <v>17852.55</v>
      </c>
      <c r="E619" s="1">
        <v>17471.05</v>
      </c>
      <c r="F619" s="1">
        <v>17567.2</v>
      </c>
    </row>
    <row r="620" spans="1:6" x14ac:dyDescent="0.25">
      <c r="A620" s="1" t="s">
        <v>63</v>
      </c>
      <c r="B620" s="1">
        <v>46139</v>
      </c>
      <c r="C620" s="1">
        <v>17670.099999999999</v>
      </c>
      <c r="D620" s="1">
        <v>17918.75</v>
      </c>
      <c r="E620" s="1">
        <v>17665.3</v>
      </c>
      <c r="F620" s="1">
        <v>17900.650000000001</v>
      </c>
    </row>
    <row r="621" spans="1:6" x14ac:dyDescent="0.25">
      <c r="A621" s="1" t="s">
        <v>63</v>
      </c>
      <c r="B621" s="1">
        <v>46140</v>
      </c>
      <c r="C621" s="1">
        <v>17960.099999999999</v>
      </c>
      <c r="D621" s="1">
        <v>18072.650000000001</v>
      </c>
      <c r="E621" s="1">
        <v>17935.8</v>
      </c>
      <c r="F621" s="1">
        <v>17976.099999999999</v>
      </c>
    </row>
    <row r="622" spans="1:6" x14ac:dyDescent="0.25">
      <c r="A622" s="1" t="s">
        <v>63</v>
      </c>
      <c r="B622" s="1">
        <v>46141</v>
      </c>
      <c r="C622" s="1">
        <v>18098.900000000001</v>
      </c>
      <c r="D622" s="1">
        <v>18196.75</v>
      </c>
      <c r="E622" s="1">
        <v>18064.650000000001</v>
      </c>
      <c r="F622" s="1">
        <v>18093.150000000001</v>
      </c>
    </row>
    <row r="623" spans="1:6" x14ac:dyDescent="0.25">
      <c r="A623" s="1" t="s">
        <v>63</v>
      </c>
      <c r="B623" s="1">
        <v>46142</v>
      </c>
      <c r="C623" s="1">
        <v>18073.5</v>
      </c>
      <c r="D623" s="1">
        <v>18097.75</v>
      </c>
      <c r="E623" s="1">
        <v>17816.5</v>
      </c>
      <c r="F623" s="1">
        <v>18007.150000000001</v>
      </c>
    </row>
    <row r="624" spans="1:6" x14ac:dyDescent="0.25">
      <c r="A624" s="1" t="s">
        <v>63</v>
      </c>
      <c r="B624" s="1">
        <v>46146</v>
      </c>
      <c r="C624" s="1">
        <v>18147.599999999999</v>
      </c>
      <c r="D624" s="1">
        <v>18232.599999999999</v>
      </c>
      <c r="E624" s="1">
        <v>17996.650000000001</v>
      </c>
      <c r="F624" s="1">
        <v>18132.5</v>
      </c>
    </row>
    <row r="625" spans="1:6" x14ac:dyDescent="0.25">
      <c r="A625" s="1" t="s">
        <v>63</v>
      </c>
      <c r="B625" s="1">
        <v>46147</v>
      </c>
      <c r="C625" s="1">
        <v>18162.45</v>
      </c>
      <c r="D625" s="1">
        <v>18207.099999999999</v>
      </c>
      <c r="E625" s="1">
        <v>18080.7</v>
      </c>
      <c r="F625" s="1">
        <v>18182.400000000001</v>
      </c>
    </row>
    <row r="626" spans="1:6" x14ac:dyDescent="0.25">
      <c r="A626" s="1" t="s">
        <v>63</v>
      </c>
      <c r="B626" s="1">
        <v>46148</v>
      </c>
      <c r="C626" s="1">
        <v>18365.900000000001</v>
      </c>
      <c r="D626" s="1">
        <v>18565.150000000001</v>
      </c>
      <c r="E626" s="1">
        <v>18305.150000000001</v>
      </c>
      <c r="F626" s="1">
        <v>18534.099999999999</v>
      </c>
    </row>
    <row r="627" spans="1:6" x14ac:dyDescent="0.25">
      <c r="A627" s="1" t="s">
        <v>63</v>
      </c>
      <c r="B627" s="1">
        <v>46149</v>
      </c>
      <c r="C627" s="1">
        <v>18635.099999999999</v>
      </c>
      <c r="D627" s="1">
        <v>18728.2</v>
      </c>
      <c r="E627" s="1">
        <v>18567.55</v>
      </c>
      <c r="F627" s="1">
        <v>18695.650000000001</v>
      </c>
    </row>
    <row r="628" spans="1:6" x14ac:dyDescent="0.25">
      <c r="A628" s="1" t="s">
        <v>63</v>
      </c>
      <c r="B628" s="1">
        <v>46150</v>
      </c>
      <c r="C628" s="1">
        <v>18714.400000000001</v>
      </c>
      <c r="D628" s="1">
        <v>18795.8</v>
      </c>
      <c r="E628" s="1">
        <v>18669.099999999999</v>
      </c>
      <c r="F628" s="1">
        <v>18737</v>
      </c>
    </row>
    <row r="629" spans="1:6" x14ac:dyDescent="0.25">
      <c r="A629" s="1" t="s">
        <v>63</v>
      </c>
      <c r="B629" s="1">
        <v>46153</v>
      </c>
      <c r="C629" s="1">
        <v>18648.599999999999</v>
      </c>
      <c r="D629" s="1">
        <v>18663.400000000001</v>
      </c>
      <c r="E629" s="1">
        <v>18450.75</v>
      </c>
      <c r="F629" s="1">
        <v>18525.8</v>
      </c>
    </row>
    <row r="630" spans="1:6" x14ac:dyDescent="0.25">
      <c r="A630" s="1" t="s">
        <v>63</v>
      </c>
      <c r="B630" s="1">
        <v>46154</v>
      </c>
      <c r="C630" s="1">
        <v>18512.5</v>
      </c>
      <c r="D630" s="1">
        <v>18550.150000000001</v>
      </c>
      <c r="E630" s="1">
        <v>17913.45</v>
      </c>
      <c r="F630" s="1">
        <v>17939</v>
      </c>
    </row>
    <row r="631" spans="1:6" x14ac:dyDescent="0.25">
      <c r="A631" s="1" t="s">
        <v>63</v>
      </c>
      <c r="B631" s="1">
        <v>46155</v>
      </c>
      <c r="C631" s="1">
        <v>17977.95</v>
      </c>
      <c r="D631" s="1">
        <v>18129.95</v>
      </c>
      <c r="E631" s="1">
        <v>17908.349999999999</v>
      </c>
      <c r="F631" s="1">
        <v>17994.05</v>
      </c>
    </row>
    <row r="632" spans="1:6" x14ac:dyDescent="0.25">
      <c r="A632" s="1" t="s">
        <v>63</v>
      </c>
      <c r="B632" s="1">
        <v>46156</v>
      </c>
      <c r="C632" s="1">
        <v>18104.45</v>
      </c>
      <c r="D632" s="1">
        <v>18145.900000000001</v>
      </c>
      <c r="E632" s="1">
        <v>17782.75</v>
      </c>
      <c r="F632" s="1">
        <v>17991.55</v>
      </c>
    </row>
    <row r="633" spans="1:6" x14ac:dyDescent="0.25">
      <c r="A633" s="1" t="s">
        <v>63</v>
      </c>
      <c r="B633" s="1">
        <v>46157</v>
      </c>
      <c r="C633" s="1">
        <v>18035.25</v>
      </c>
      <c r="D633" s="1">
        <v>18045.599999999999</v>
      </c>
      <c r="E633" s="1">
        <v>17837.5</v>
      </c>
      <c r="F633" s="1">
        <v>17882.599999999999</v>
      </c>
    </row>
    <row r="634" spans="1:6" x14ac:dyDescent="0.25">
      <c r="A634" s="1" t="s">
        <v>63</v>
      </c>
      <c r="B634" s="1">
        <v>46160</v>
      </c>
      <c r="C634" s="1">
        <v>17777.7</v>
      </c>
      <c r="D634" s="1">
        <v>17777.900000000001</v>
      </c>
      <c r="E634" s="1">
        <v>17420.8</v>
      </c>
      <c r="F634" s="1">
        <v>17656.75</v>
      </c>
    </row>
    <row r="635" spans="1:6" x14ac:dyDescent="0.25">
      <c r="A635" s="1" t="s">
        <v>63</v>
      </c>
      <c r="B635" s="1">
        <v>46161</v>
      </c>
      <c r="C635" s="1">
        <v>17703.599999999999</v>
      </c>
      <c r="D635" s="1">
        <v>17921</v>
      </c>
      <c r="E635" s="1">
        <v>17699</v>
      </c>
      <c r="F635" s="1">
        <v>17863.55</v>
      </c>
    </row>
    <row r="636" spans="1:6" x14ac:dyDescent="0.25">
      <c r="A636" s="1" t="s">
        <v>63</v>
      </c>
      <c r="B636" s="1">
        <v>46162</v>
      </c>
      <c r="C636" s="1">
        <v>17771.8</v>
      </c>
      <c r="D636" s="1">
        <v>17890.900000000001</v>
      </c>
      <c r="E636" s="1">
        <v>17654.150000000001</v>
      </c>
      <c r="F636" s="1">
        <v>17870.900000000001</v>
      </c>
    </row>
    <row r="637" spans="1:6" x14ac:dyDescent="0.25">
      <c r="A637" s="1" t="s">
        <v>63</v>
      </c>
      <c r="B637" s="1">
        <v>46163</v>
      </c>
      <c r="C637" s="1">
        <v>17998.05</v>
      </c>
      <c r="D637" s="1">
        <v>18056.25</v>
      </c>
      <c r="E637" s="1">
        <v>17926.55</v>
      </c>
      <c r="F637" s="1">
        <v>17983.05</v>
      </c>
    </row>
    <row r="638" spans="1:6" x14ac:dyDescent="0.25">
      <c r="A638" s="1" t="s">
        <v>63</v>
      </c>
      <c r="B638" s="1">
        <v>46164</v>
      </c>
      <c r="C638" s="1">
        <v>18020.55</v>
      </c>
      <c r="D638" s="1">
        <v>18037.45</v>
      </c>
      <c r="E638" s="1">
        <v>17933</v>
      </c>
      <c r="F638" s="1">
        <v>17956.2</v>
      </c>
    </row>
    <row r="639" spans="1:6" x14ac:dyDescent="0.25">
      <c r="A639" s="1" t="s">
        <v>63</v>
      </c>
      <c r="B639" s="1">
        <v>46167</v>
      </c>
      <c r="C639" s="1">
        <v>18130.2</v>
      </c>
      <c r="D639" s="1">
        <v>18216.849999999999</v>
      </c>
      <c r="E639" s="1">
        <v>18118.55</v>
      </c>
      <c r="F639" s="1">
        <v>18202.7</v>
      </c>
    </row>
    <row r="640" spans="1:6" x14ac:dyDescent="0.25">
      <c r="A640" s="1" t="s">
        <v>63</v>
      </c>
      <c r="B640" s="1">
        <v>46168</v>
      </c>
      <c r="C640" s="1">
        <v>18227.2</v>
      </c>
      <c r="D640" s="1">
        <v>18393.099999999999</v>
      </c>
      <c r="E640" s="1">
        <v>18217.150000000001</v>
      </c>
      <c r="F640" s="1">
        <v>18267.2</v>
      </c>
    </row>
    <row r="641" spans="1:6" x14ac:dyDescent="0.25">
      <c r="A641" s="1" t="s">
        <v>63</v>
      </c>
      <c r="B641" s="1">
        <v>46169</v>
      </c>
      <c r="C641" s="1">
        <v>18305</v>
      </c>
      <c r="D641" s="1">
        <v>18390.05</v>
      </c>
      <c r="E641" s="1">
        <v>18249.7</v>
      </c>
      <c r="F641" s="1">
        <v>18294.3</v>
      </c>
    </row>
    <row r="642" spans="1:6" x14ac:dyDescent="0.25">
      <c r="A642" s="1" t="s">
        <v>63</v>
      </c>
      <c r="B642" s="1">
        <v>46171</v>
      </c>
      <c r="C642" s="1">
        <v>18366.849999999999</v>
      </c>
      <c r="D642" s="1">
        <v>18415.5</v>
      </c>
      <c r="E642" s="1">
        <v>18093.8</v>
      </c>
      <c r="F642" s="1">
        <v>18138.8</v>
      </c>
    </row>
    <row r="643" spans="1:6" x14ac:dyDescent="0.25">
      <c r="A643" s="1" t="s">
        <v>63</v>
      </c>
      <c r="B643" s="1">
        <v>46174</v>
      </c>
      <c r="C643" s="1">
        <v>18238.95</v>
      </c>
      <c r="D643" s="1">
        <v>18295.650000000001</v>
      </c>
      <c r="E643" s="1">
        <v>17949.7</v>
      </c>
      <c r="F643" s="1">
        <v>17979.8</v>
      </c>
    </row>
    <row r="644" spans="1:6" x14ac:dyDescent="0.25">
      <c r="A644" s="1" t="s">
        <v>63</v>
      </c>
      <c r="B644" s="1">
        <v>46175</v>
      </c>
      <c r="C644" s="1">
        <v>17897.599999999999</v>
      </c>
      <c r="D644" s="1">
        <v>18073.8</v>
      </c>
      <c r="E644" s="1">
        <v>17787.900000000001</v>
      </c>
      <c r="F644" s="1">
        <v>18052.3</v>
      </c>
    </row>
    <row r="645" spans="1:6" x14ac:dyDescent="0.25">
      <c r="A645" s="1" t="s">
        <v>63</v>
      </c>
      <c r="B645" s="1">
        <v>46176</v>
      </c>
      <c r="C645" s="1">
        <v>18078.650000000001</v>
      </c>
      <c r="D645" s="1">
        <v>18094.5</v>
      </c>
      <c r="E645" s="1">
        <v>17781.349999999999</v>
      </c>
      <c r="F645" s="1">
        <v>18032.05</v>
      </c>
    </row>
    <row r="646" spans="1:6" x14ac:dyDescent="0.25">
      <c r="A646" s="1" t="s">
        <v>63</v>
      </c>
      <c r="B646" s="1">
        <v>46177</v>
      </c>
      <c r="C646" s="1">
        <v>17984.3</v>
      </c>
      <c r="D646" s="1">
        <v>18176.55</v>
      </c>
      <c r="E646" s="1">
        <v>17960.900000000001</v>
      </c>
      <c r="F646" s="1">
        <v>18121.05</v>
      </c>
    </row>
    <row r="647" spans="1:6" x14ac:dyDescent="0.25">
      <c r="A647" s="1" t="s">
        <v>63</v>
      </c>
      <c r="B647" s="1">
        <v>46178</v>
      </c>
      <c r="C647" s="1">
        <v>18176.099999999999</v>
      </c>
      <c r="D647" s="1">
        <v>18229</v>
      </c>
      <c r="E647" s="1">
        <v>18024.25</v>
      </c>
      <c r="F647" s="1">
        <v>18110.3</v>
      </c>
    </row>
    <row r="648" spans="1:6" x14ac:dyDescent="0.25">
      <c r="A648" s="1" t="s">
        <v>63</v>
      </c>
      <c r="B648" s="1">
        <v>46181</v>
      </c>
      <c r="C648" s="1">
        <v>17899</v>
      </c>
      <c r="D648" s="1">
        <v>18020.650000000001</v>
      </c>
      <c r="E648" s="1">
        <v>17700.95</v>
      </c>
      <c r="F648" s="1">
        <v>17763.45</v>
      </c>
    </row>
    <row r="649" spans="1:6" x14ac:dyDescent="0.25">
      <c r="A649" s="1" t="s">
        <v>63</v>
      </c>
      <c r="B649" s="1">
        <v>46182</v>
      </c>
      <c r="C649" s="1">
        <v>17847.599999999999</v>
      </c>
      <c r="D649" s="1">
        <v>18088</v>
      </c>
      <c r="E649" s="1">
        <v>17847.3</v>
      </c>
      <c r="F649" s="1">
        <v>18063.599999999999</v>
      </c>
    </row>
    <row r="650" spans="1:6" x14ac:dyDescent="0.25">
      <c r="A650" s="1" t="s">
        <v>63</v>
      </c>
      <c r="B650" s="1">
        <v>46183</v>
      </c>
      <c r="C650" s="1">
        <v>18107.150000000001</v>
      </c>
      <c r="D650" s="1">
        <v>18136.05</v>
      </c>
      <c r="E650" s="1">
        <v>17790.400000000001</v>
      </c>
      <c r="F650" s="1">
        <v>17822.5</v>
      </c>
    </row>
    <row r="651" spans="1:6" x14ac:dyDescent="0.25">
      <c r="A651" s="1" t="s">
        <v>63</v>
      </c>
      <c r="B651" s="1">
        <v>46184</v>
      </c>
      <c r="C651" s="1">
        <v>17735.099999999999</v>
      </c>
      <c r="D651" s="1">
        <v>17864.25</v>
      </c>
      <c r="E651" s="1">
        <v>17631.55</v>
      </c>
      <c r="F651" s="1">
        <v>17702.599999999999</v>
      </c>
    </row>
    <row r="652" spans="1:6" x14ac:dyDescent="0.25">
      <c r="A652" s="1" t="s">
        <v>63</v>
      </c>
      <c r="B652" s="1">
        <v>46185</v>
      </c>
      <c r="C652" s="1">
        <v>17946.900000000001</v>
      </c>
      <c r="D652" s="1">
        <v>18212.55</v>
      </c>
      <c r="E652" s="1">
        <v>17900.8</v>
      </c>
      <c r="F652" s="1">
        <v>18197.45</v>
      </c>
    </row>
    <row r="653" spans="1:6" x14ac:dyDescent="0.25">
      <c r="A653" s="1" t="s">
        <v>63</v>
      </c>
      <c r="B653" s="1">
        <v>46188</v>
      </c>
      <c r="C653" s="1">
        <v>18485.7</v>
      </c>
      <c r="D653" s="1">
        <v>18532.7</v>
      </c>
      <c r="E653" s="1">
        <v>18368.45</v>
      </c>
      <c r="F653" s="1">
        <v>18400</v>
      </c>
    </row>
    <row r="654" spans="1:6" x14ac:dyDescent="0.25">
      <c r="A654" s="1" t="s">
        <v>63</v>
      </c>
      <c r="B654" s="1">
        <v>46189</v>
      </c>
      <c r="C654" s="1">
        <v>18468.7</v>
      </c>
      <c r="D654" s="1">
        <v>18520.2</v>
      </c>
      <c r="E654" s="1">
        <v>18384.849999999999</v>
      </c>
      <c r="F654" s="1">
        <v>18477.75</v>
      </c>
    </row>
    <row r="655" spans="1:6" x14ac:dyDescent="0.25">
      <c r="A655" s="1" t="s">
        <v>63</v>
      </c>
      <c r="B655" s="1">
        <v>46190</v>
      </c>
      <c r="C655" s="1">
        <v>18543.95</v>
      </c>
      <c r="D655" s="1">
        <v>18644.3</v>
      </c>
      <c r="E655" s="1">
        <v>18525.2</v>
      </c>
      <c r="F655" s="1">
        <v>18623.2</v>
      </c>
    </row>
    <row r="656" spans="1:6" x14ac:dyDescent="0.25">
      <c r="A656" s="1" t="s">
        <v>63</v>
      </c>
      <c r="B656" s="1">
        <v>46191</v>
      </c>
      <c r="C656" s="1">
        <v>18676.3</v>
      </c>
      <c r="D656" s="1">
        <v>18764.349999999999</v>
      </c>
      <c r="E656" s="1">
        <v>18633.25</v>
      </c>
      <c r="F656" s="1">
        <v>18705.599999999999</v>
      </c>
    </row>
    <row r="657" spans="1:6" x14ac:dyDescent="0.25">
      <c r="A657" s="1" t="s">
        <v>63</v>
      </c>
      <c r="B657" s="1">
        <v>46192</v>
      </c>
      <c r="C657" s="1">
        <v>18676.599999999999</v>
      </c>
      <c r="D657" s="1">
        <v>18826.650000000001</v>
      </c>
      <c r="E657" s="1">
        <v>18638.3</v>
      </c>
      <c r="F657" s="1">
        <v>18784.45</v>
      </c>
    </row>
    <row r="658" spans="1:6" x14ac:dyDescent="0.25">
      <c r="A658" s="1" t="s">
        <v>63</v>
      </c>
      <c r="B658" s="1">
        <v>46195</v>
      </c>
      <c r="C658" s="1">
        <v>18878.849999999999</v>
      </c>
      <c r="D658" s="1">
        <v>18924.5</v>
      </c>
      <c r="E658" s="1">
        <v>18824.099999999999</v>
      </c>
      <c r="F658" s="1">
        <v>18897</v>
      </c>
    </row>
    <row r="659" spans="1:6" x14ac:dyDescent="0.25">
      <c r="A659" s="1" t="s">
        <v>63</v>
      </c>
      <c r="B659" s="1">
        <v>46196</v>
      </c>
      <c r="C659" s="1">
        <v>18942.349999999999</v>
      </c>
      <c r="D659" s="1">
        <v>19001.900000000001</v>
      </c>
      <c r="E659" s="1">
        <v>18742.8</v>
      </c>
      <c r="F659" s="1">
        <v>18805.900000000001</v>
      </c>
    </row>
    <row r="660" spans="1:6" x14ac:dyDescent="0.25">
      <c r="A660" s="1" t="s">
        <v>63</v>
      </c>
      <c r="B660" s="1">
        <v>46197</v>
      </c>
      <c r="C660" s="1">
        <v>18792.599999999999</v>
      </c>
      <c r="D660" s="1">
        <v>18894.8</v>
      </c>
      <c r="E660" s="1">
        <v>18665.099999999999</v>
      </c>
      <c r="F660" s="1">
        <v>18879.3</v>
      </c>
    </row>
    <row r="661" spans="1:6" x14ac:dyDescent="0.25">
      <c r="A661" s="1" t="s">
        <v>63</v>
      </c>
      <c r="B661" s="1">
        <v>46198</v>
      </c>
      <c r="C661" s="1">
        <v>18954.900000000001</v>
      </c>
      <c r="D661" s="1">
        <v>18962.099999999999</v>
      </c>
      <c r="E661" s="1">
        <v>18766.95</v>
      </c>
      <c r="F661" s="1">
        <v>18790.349999999999</v>
      </c>
    </row>
    <row r="662" spans="1:6" x14ac:dyDescent="0.25">
      <c r="A662" s="1" t="s">
        <v>63</v>
      </c>
      <c r="B662" s="1">
        <v>46202</v>
      </c>
      <c r="C662" s="1">
        <v>18778.75</v>
      </c>
      <c r="D662" s="1">
        <v>18797.3</v>
      </c>
      <c r="E662" s="1">
        <v>18596.349999999999</v>
      </c>
      <c r="F662" s="1">
        <v>18673.099999999999</v>
      </c>
    </row>
    <row r="663" spans="1:6" x14ac:dyDescent="0.25">
      <c r="A663" s="1" t="s">
        <v>63</v>
      </c>
      <c r="B663" s="1">
        <v>46203</v>
      </c>
      <c r="C663" s="1">
        <v>18732.25</v>
      </c>
      <c r="D663" s="1">
        <v>18909.599999999999</v>
      </c>
      <c r="E663" s="1">
        <v>18697.05</v>
      </c>
      <c r="F663" s="1">
        <v>18863.099999999999</v>
      </c>
    </row>
    <row r="664" spans="1:6" x14ac:dyDescent="0.25">
      <c r="A664" s="1" t="s">
        <v>63</v>
      </c>
      <c r="B664" s="1">
        <v>46204</v>
      </c>
      <c r="C664" s="1">
        <v>18901.25</v>
      </c>
      <c r="D664" s="1">
        <v>19023.7</v>
      </c>
      <c r="E664" s="1">
        <v>18891.849999999999</v>
      </c>
      <c r="F664" s="1">
        <v>18931.05</v>
      </c>
    </row>
    <row r="665" spans="1:6" x14ac:dyDescent="0.25">
      <c r="A665" s="1" t="s">
        <v>63</v>
      </c>
      <c r="B665" s="1">
        <v>46205</v>
      </c>
      <c r="C665" s="1">
        <v>19008.849999999999</v>
      </c>
      <c r="D665" s="1">
        <v>19179.2</v>
      </c>
      <c r="E665" s="1">
        <v>18984.099999999999</v>
      </c>
      <c r="F665" s="1">
        <v>19167.8</v>
      </c>
    </row>
    <row r="666" spans="1:6" x14ac:dyDescent="0.25">
      <c r="A666" s="1" t="s">
        <v>63</v>
      </c>
      <c r="B666" s="1">
        <v>46206</v>
      </c>
      <c r="C666" s="1">
        <v>19259.05</v>
      </c>
      <c r="D666" s="1">
        <v>19277.349999999999</v>
      </c>
      <c r="E666" s="1">
        <v>19153.7</v>
      </c>
      <c r="F666" s="1">
        <v>19175.099999999999</v>
      </c>
    </row>
    <row r="667" spans="1:6" x14ac:dyDescent="0.25">
      <c r="A667" s="1" t="s">
        <v>63</v>
      </c>
      <c r="B667" s="1">
        <v>46209</v>
      </c>
      <c r="C667" s="1">
        <v>19186.25</v>
      </c>
      <c r="D667" s="1">
        <v>19335.900000000001</v>
      </c>
      <c r="E667" s="1">
        <v>19136.400000000001</v>
      </c>
      <c r="F667" s="1">
        <v>19319.099999999999</v>
      </c>
    </row>
    <row r="668" spans="1:6" x14ac:dyDescent="0.25">
      <c r="A668" s="1" t="s">
        <v>63</v>
      </c>
      <c r="B668" s="1">
        <v>46210</v>
      </c>
      <c r="C668" s="1">
        <v>19352.25</v>
      </c>
      <c r="D668" s="1">
        <v>19360.05</v>
      </c>
      <c r="E668" s="1">
        <v>19161.95</v>
      </c>
      <c r="F668" s="1">
        <v>19213.400000000001</v>
      </c>
    </row>
    <row r="669" spans="1:6" x14ac:dyDescent="0.25">
      <c r="A669" s="1" t="s">
        <v>63</v>
      </c>
      <c r="B669" s="1">
        <v>46211</v>
      </c>
      <c r="C669" s="1">
        <v>19120.400000000001</v>
      </c>
      <c r="D669" s="1">
        <v>19201.55</v>
      </c>
      <c r="E669" s="1">
        <v>18706.75</v>
      </c>
      <c r="F669" s="1">
        <v>18783.3</v>
      </c>
    </row>
    <row r="670" spans="1:6" x14ac:dyDescent="0.25">
      <c r="A670" s="1" t="s">
        <v>63</v>
      </c>
      <c r="B670" s="1">
        <v>46212</v>
      </c>
      <c r="C670" s="1">
        <v>18846.400000000001</v>
      </c>
      <c r="D670" s="1">
        <v>19162.599999999999</v>
      </c>
      <c r="E670" s="1">
        <v>18831.349999999999</v>
      </c>
      <c r="F670" s="1">
        <v>19120.849999999999</v>
      </c>
    </row>
    <row r="671" spans="1:6" x14ac:dyDescent="0.25">
      <c r="A671" s="1" t="s">
        <v>63</v>
      </c>
      <c r="B671" s="1">
        <v>46213</v>
      </c>
      <c r="C671" s="1">
        <v>19257.849999999999</v>
      </c>
      <c r="D671" s="1">
        <v>19444.349999999999</v>
      </c>
      <c r="E671" s="1">
        <v>19228.95</v>
      </c>
      <c r="F671" s="1">
        <v>19416.5</v>
      </c>
    </row>
    <row r="672" spans="1:6" x14ac:dyDescent="0.25">
      <c r="A672" s="1" t="s">
        <v>63</v>
      </c>
      <c r="B672" s="1">
        <v>46216</v>
      </c>
      <c r="C672" s="1">
        <v>19295.25</v>
      </c>
      <c r="D672" s="1">
        <v>19449.099999999999</v>
      </c>
      <c r="E672" s="1">
        <v>19213</v>
      </c>
      <c r="F672" s="1">
        <v>19422.95</v>
      </c>
    </row>
    <row r="673" spans="1:6" x14ac:dyDescent="0.25">
      <c r="A673" s="1" t="s">
        <v>63</v>
      </c>
      <c r="B673" s="1">
        <v>46217</v>
      </c>
      <c r="C673" s="1">
        <v>19367.95</v>
      </c>
      <c r="D673" s="1">
        <v>19371.400000000001</v>
      </c>
      <c r="E673" s="1">
        <v>19205.900000000001</v>
      </c>
      <c r="F673" s="1">
        <v>19227.349999999999</v>
      </c>
    </row>
    <row r="674" spans="1:6" x14ac:dyDescent="0.25">
      <c r="A674" s="1" t="s">
        <v>63</v>
      </c>
      <c r="B674" s="1">
        <v>46218</v>
      </c>
      <c r="C674" s="1">
        <v>19302.8</v>
      </c>
      <c r="D674" s="1">
        <v>19470.5</v>
      </c>
      <c r="E674" s="1">
        <v>19291.8</v>
      </c>
      <c r="F674" s="1">
        <v>19355.349999999999</v>
      </c>
    </row>
    <row r="675" spans="1:6" x14ac:dyDescent="0.25">
      <c r="A675" s="1" t="s">
        <v>63</v>
      </c>
      <c r="B675" s="1">
        <v>46219</v>
      </c>
      <c r="C675" s="1">
        <v>19446.3</v>
      </c>
      <c r="D675" s="1">
        <v>19455.8</v>
      </c>
      <c r="E675" s="1">
        <v>19277.099999999999</v>
      </c>
      <c r="F675" s="1">
        <v>19336.25</v>
      </c>
    </row>
    <row r="676" spans="1:6" x14ac:dyDescent="0.25">
      <c r="A676" s="1" t="s">
        <v>63</v>
      </c>
      <c r="B676" s="1">
        <v>46220</v>
      </c>
      <c r="C676" s="1">
        <v>19372.8</v>
      </c>
      <c r="D676" s="1">
        <v>19381.55</v>
      </c>
      <c r="E676" s="1">
        <v>19115.45</v>
      </c>
      <c r="F676" s="1">
        <v>19296.3</v>
      </c>
    </row>
    <row r="677" spans="1:6" x14ac:dyDescent="0.25">
      <c r="A677" s="1" t="s">
        <v>63</v>
      </c>
      <c r="B677" s="1">
        <v>46223</v>
      </c>
      <c r="C677" s="1">
        <v>19274.8</v>
      </c>
      <c r="D677" s="1">
        <v>19396.099999999999</v>
      </c>
      <c r="E677" s="1">
        <v>19231.05</v>
      </c>
      <c r="F677" s="1">
        <v>19326.45</v>
      </c>
    </row>
    <row r="678" spans="1:6" x14ac:dyDescent="0.25">
      <c r="A678" s="1" t="s">
        <v>63</v>
      </c>
      <c r="B678" s="1">
        <v>46224</v>
      </c>
      <c r="C678" s="1">
        <v>19372.900000000001</v>
      </c>
      <c r="D678" s="1">
        <v>19441.95</v>
      </c>
      <c r="E678" s="1">
        <v>19335.650000000001</v>
      </c>
      <c r="F678" s="1">
        <v>19428.05</v>
      </c>
    </row>
    <row r="679" spans="1:6" x14ac:dyDescent="0.25">
      <c r="A679" s="1" t="s">
        <v>63</v>
      </c>
      <c r="B679" s="1">
        <v>46225</v>
      </c>
      <c r="C679" s="1">
        <v>19418.5</v>
      </c>
      <c r="D679" s="1">
        <v>19422.150000000001</v>
      </c>
      <c r="E679" s="1">
        <v>19112.099999999999</v>
      </c>
      <c r="F679" s="1">
        <v>19129.25</v>
      </c>
    </row>
    <row r="680" spans="1:6" x14ac:dyDescent="0.25">
      <c r="A680" s="1" t="s">
        <v>63</v>
      </c>
      <c r="B680" s="1">
        <v>46226</v>
      </c>
      <c r="C680" s="1">
        <v>19100.5</v>
      </c>
      <c r="D680" s="1">
        <v>19138</v>
      </c>
      <c r="E680" s="1">
        <v>18919.05</v>
      </c>
      <c r="F680" s="1">
        <v>18936.349999999999</v>
      </c>
    </row>
    <row r="681" spans="1:6" x14ac:dyDescent="0.25">
      <c r="A681" s="1" t="s">
        <v>63</v>
      </c>
      <c r="B681" s="1">
        <v>46227</v>
      </c>
      <c r="C681" s="1">
        <v>18824.8</v>
      </c>
      <c r="D681" s="1">
        <v>18896.099999999999</v>
      </c>
      <c r="E681" s="1">
        <v>18648.5</v>
      </c>
      <c r="F681" s="1">
        <v>18874.95</v>
      </c>
    </row>
    <row r="682" spans="1:6" x14ac:dyDescent="0.25">
      <c r="A682" s="1" t="s">
        <v>63</v>
      </c>
      <c r="B682" s="1">
        <v>46230</v>
      </c>
      <c r="C682" s="1">
        <v>19024.349999999999</v>
      </c>
      <c r="D682" s="1">
        <v>19142.05</v>
      </c>
      <c r="E682" s="1">
        <v>19006.900000000001</v>
      </c>
      <c r="F682" s="1">
        <v>19122.599999999999</v>
      </c>
    </row>
    <row r="683" spans="1:6" x14ac:dyDescent="0.25">
      <c r="A683" s="1" t="s">
        <v>63</v>
      </c>
      <c r="B683" s="1">
        <v>46231</v>
      </c>
      <c r="C683" s="1">
        <v>19118</v>
      </c>
      <c r="D683" s="1">
        <v>19145.3</v>
      </c>
      <c r="E683" s="1">
        <v>19019.25</v>
      </c>
      <c r="F683" s="1">
        <v>19080.7</v>
      </c>
    </row>
    <row r="684" spans="1:6" x14ac:dyDescent="0.25">
      <c r="A684" s="1" t="s">
        <v>63</v>
      </c>
      <c r="B684" s="1">
        <v>46232</v>
      </c>
      <c r="C684" s="1">
        <v>19160.900000000001</v>
      </c>
      <c r="D684" s="1">
        <v>19378.25</v>
      </c>
      <c r="E684" s="1">
        <v>19113.75</v>
      </c>
      <c r="F684" s="1">
        <v>19362.349999999999</v>
      </c>
    </row>
    <row r="685" spans="1:6" x14ac:dyDescent="0.25">
      <c r="A685" s="1" t="s">
        <v>63</v>
      </c>
      <c r="B685" s="1">
        <v>46233</v>
      </c>
      <c r="C685" s="1">
        <v>19364.95</v>
      </c>
      <c r="D685" s="1">
        <v>19366.5</v>
      </c>
      <c r="E685" s="1">
        <v>19232.900000000001</v>
      </c>
      <c r="F685" s="1">
        <v>19254.45</v>
      </c>
    </row>
    <row r="686" spans="1:6" x14ac:dyDescent="0.25">
      <c r="A686" s="1" t="s">
        <v>63</v>
      </c>
      <c r="B686" s="1">
        <v>46234</v>
      </c>
      <c r="C686" s="1">
        <v>19310.8</v>
      </c>
      <c r="D686" s="1">
        <v>19416.3</v>
      </c>
      <c r="E686" s="1">
        <v>19274.25</v>
      </c>
      <c r="F686" s="1">
        <v>19339.650000000001</v>
      </c>
    </row>
    <row r="687" spans="1:6" x14ac:dyDescent="0.25">
      <c r="A687" s="1" t="s">
        <v>63</v>
      </c>
      <c r="B687" s="1">
        <v>46237</v>
      </c>
      <c r="C687" s="1">
        <v>19446.3</v>
      </c>
      <c r="D687" s="1">
        <v>19610.849999999999</v>
      </c>
      <c r="E687" s="1">
        <v>19407.7</v>
      </c>
      <c r="F687" s="1">
        <v>19589.349999999999</v>
      </c>
    </row>
    <row r="688" spans="1:6" x14ac:dyDescent="0.25">
      <c r="A688" s="1" t="s">
        <v>63</v>
      </c>
      <c r="B688" s="1">
        <v>46238</v>
      </c>
      <c r="C688" s="1">
        <v>19668.25</v>
      </c>
      <c r="D688" s="1">
        <v>19757.75</v>
      </c>
      <c r="E688" s="1">
        <v>19603.25</v>
      </c>
      <c r="F688" s="1">
        <v>19635.25</v>
      </c>
    </row>
    <row r="689" spans="1:6" x14ac:dyDescent="0.25">
      <c r="A689" s="1" t="s">
        <v>63</v>
      </c>
      <c r="B689" s="1">
        <v>46239</v>
      </c>
      <c r="C689" s="1">
        <v>19729.8</v>
      </c>
      <c r="D689" s="1">
        <v>19823.650000000001</v>
      </c>
      <c r="E689" s="1">
        <v>19710.400000000001</v>
      </c>
      <c r="F689" s="1">
        <v>19783.7</v>
      </c>
    </row>
    <row r="690" spans="1:6" x14ac:dyDescent="0.25">
      <c r="A690" s="1" t="s">
        <v>63</v>
      </c>
      <c r="B690" s="1">
        <v>46240</v>
      </c>
      <c r="C690" s="1">
        <v>19869.3</v>
      </c>
      <c r="D690" s="1">
        <v>19936.55</v>
      </c>
      <c r="E690" s="1">
        <v>19806.25</v>
      </c>
      <c r="F690" s="1">
        <v>19878.25</v>
      </c>
    </row>
    <row r="691" spans="1:6" x14ac:dyDescent="0.25">
      <c r="A691" s="1" t="s">
        <v>63</v>
      </c>
      <c r="B691" s="1">
        <v>46241</v>
      </c>
      <c r="C691" s="1">
        <v>19848.55</v>
      </c>
      <c r="D691" s="1">
        <v>19927.900000000001</v>
      </c>
      <c r="E691" s="1">
        <v>19804.3</v>
      </c>
      <c r="F691" s="1">
        <v>19867.8</v>
      </c>
    </row>
    <row r="692" spans="1:6" x14ac:dyDescent="0.25">
      <c r="A692" s="1" t="s">
        <v>63</v>
      </c>
      <c r="B692" s="1">
        <v>46244</v>
      </c>
      <c r="C692" s="1">
        <v>19840.7</v>
      </c>
      <c r="D692" s="1">
        <v>19931.099999999999</v>
      </c>
      <c r="E692" s="1">
        <v>19793.25</v>
      </c>
      <c r="F692" s="1">
        <v>19813.95</v>
      </c>
    </row>
    <row r="693" spans="1:6" x14ac:dyDescent="0.25">
      <c r="A693" s="1" t="s">
        <v>63</v>
      </c>
      <c r="B693" s="1">
        <v>46245</v>
      </c>
      <c r="C693" s="1">
        <v>19860</v>
      </c>
      <c r="D693" s="1">
        <v>19909.599999999999</v>
      </c>
      <c r="E693" s="1">
        <v>19834.400000000001</v>
      </c>
      <c r="F693" s="1">
        <v>19857.150000000001</v>
      </c>
    </row>
    <row r="694" spans="1:6" x14ac:dyDescent="0.25">
      <c r="A694" s="1" t="s">
        <v>63</v>
      </c>
      <c r="B694" s="1">
        <v>46246</v>
      </c>
      <c r="C694" s="1">
        <v>19898.400000000001</v>
      </c>
      <c r="D694" s="1">
        <v>19898.75</v>
      </c>
      <c r="E694" s="1">
        <v>19786</v>
      </c>
      <c r="F694" s="1">
        <v>19821.650000000001</v>
      </c>
    </row>
    <row r="695" spans="1:6" x14ac:dyDescent="0.25">
      <c r="A695" s="1" t="s">
        <v>63</v>
      </c>
      <c r="B695" s="1">
        <v>46247</v>
      </c>
      <c r="C695" s="1">
        <v>19855.75</v>
      </c>
      <c r="D695" s="1">
        <v>19898.5</v>
      </c>
      <c r="E695" s="1">
        <v>19841.5</v>
      </c>
      <c r="F695" s="1">
        <v>19875.099999999999</v>
      </c>
    </row>
    <row r="696" spans="1:6" x14ac:dyDescent="0.25">
      <c r="A696" s="1" t="s">
        <v>63</v>
      </c>
      <c r="B696" s="1">
        <v>46248</v>
      </c>
      <c r="C696" s="1">
        <v>19874.25</v>
      </c>
      <c r="D696" s="1">
        <v>19913.400000000001</v>
      </c>
      <c r="E696" s="1">
        <v>19728.599999999999</v>
      </c>
      <c r="F696" s="1">
        <v>19738.55</v>
      </c>
    </row>
    <row r="697" spans="1:6" x14ac:dyDescent="0.25">
      <c r="A697" s="1" t="s">
        <v>63</v>
      </c>
      <c r="B697" s="1">
        <v>46251</v>
      </c>
      <c r="C697" s="1">
        <v>19757.3</v>
      </c>
      <c r="D697" s="1">
        <v>19815.95</v>
      </c>
      <c r="E697" s="1">
        <v>19674.3</v>
      </c>
      <c r="F697" s="1">
        <v>19809.25</v>
      </c>
    </row>
    <row r="698" spans="1:6" x14ac:dyDescent="0.25">
      <c r="A698" s="1" t="s">
        <v>63</v>
      </c>
      <c r="B698" s="1">
        <v>46252</v>
      </c>
      <c r="C698" s="1">
        <v>19789.95</v>
      </c>
      <c r="D698" s="1">
        <v>19868.3</v>
      </c>
      <c r="E698" s="1">
        <v>19764.349999999999</v>
      </c>
      <c r="F698" s="1">
        <v>19808.849999999999</v>
      </c>
    </row>
    <row r="699" spans="1:6" x14ac:dyDescent="0.25">
      <c r="A699" s="1" t="s">
        <v>63</v>
      </c>
      <c r="B699" s="1">
        <v>46253</v>
      </c>
      <c r="C699" s="1">
        <v>19809.400000000001</v>
      </c>
      <c r="D699" s="1">
        <v>19820.2</v>
      </c>
      <c r="E699" s="1">
        <v>19678.650000000001</v>
      </c>
      <c r="F699" s="1">
        <v>19707.150000000001</v>
      </c>
    </row>
    <row r="700" spans="1:6" x14ac:dyDescent="0.25">
      <c r="A700" s="1" t="s">
        <v>63</v>
      </c>
      <c r="B700" s="1">
        <v>46254</v>
      </c>
      <c r="C700" s="1">
        <v>19814.349999999999</v>
      </c>
      <c r="D700" s="1">
        <v>19919.400000000001</v>
      </c>
      <c r="E700" s="1">
        <v>19810.75</v>
      </c>
      <c r="F700" s="1">
        <v>19841.45</v>
      </c>
    </row>
    <row r="701" spans="1:6" x14ac:dyDescent="0.25">
      <c r="A701" s="1" t="s">
        <v>63</v>
      </c>
      <c r="B701" s="1">
        <v>46255</v>
      </c>
      <c r="C701" s="1">
        <v>19933.900000000001</v>
      </c>
      <c r="D701" s="1">
        <v>20031.05</v>
      </c>
      <c r="E701" s="1">
        <v>19920.650000000001</v>
      </c>
      <c r="F701" s="1">
        <v>19977.75</v>
      </c>
    </row>
    <row r="702" spans="1:6" x14ac:dyDescent="0.25">
      <c r="A702" s="1" t="s">
        <v>63</v>
      </c>
      <c r="B702" s="1">
        <v>46258</v>
      </c>
      <c r="C702" s="1">
        <v>20021.95</v>
      </c>
      <c r="D702" s="1">
        <v>20080.3</v>
      </c>
      <c r="E702" s="1">
        <v>19911</v>
      </c>
      <c r="F702" s="1">
        <v>19926.75</v>
      </c>
    </row>
    <row r="703" spans="1:6" x14ac:dyDescent="0.25">
      <c r="A703" s="1" t="s">
        <v>63</v>
      </c>
      <c r="B703" s="1">
        <v>46259</v>
      </c>
      <c r="C703" s="1">
        <v>19911.400000000001</v>
      </c>
      <c r="D703" s="1">
        <v>19926.099999999999</v>
      </c>
      <c r="E703" s="1">
        <v>19832.7</v>
      </c>
      <c r="F703" s="1">
        <v>19906.599999999999</v>
      </c>
    </row>
    <row r="704" spans="1:6" x14ac:dyDescent="0.25">
      <c r="A704" s="1" t="s">
        <v>63</v>
      </c>
      <c r="B704" s="1">
        <v>46260</v>
      </c>
      <c r="C704" s="1">
        <v>19953.55</v>
      </c>
      <c r="D704" s="1">
        <v>20091.3</v>
      </c>
      <c r="E704" s="1">
        <v>19951.099999999999</v>
      </c>
      <c r="F704" s="1">
        <v>20067.3</v>
      </c>
    </row>
    <row r="705" spans="1:6" x14ac:dyDescent="0.25">
      <c r="A705" s="1" t="s">
        <v>63</v>
      </c>
      <c r="B705" s="1">
        <v>46261</v>
      </c>
      <c r="C705" s="1">
        <v>20086.900000000001</v>
      </c>
      <c r="D705" s="1">
        <v>20143.55</v>
      </c>
      <c r="E705" s="1">
        <v>20012.349999999999</v>
      </c>
      <c r="F705" s="1">
        <v>20040.650000000001</v>
      </c>
    </row>
    <row r="706" spans="1:6" x14ac:dyDescent="0.25">
      <c r="A706" s="1" t="s">
        <v>63</v>
      </c>
      <c r="B706" s="1">
        <v>46262</v>
      </c>
      <c r="C706" s="1">
        <v>20079.599999999999</v>
      </c>
      <c r="D706" s="1">
        <v>20129.099999999999</v>
      </c>
      <c r="E706" s="1">
        <v>20045.25</v>
      </c>
      <c r="F706" s="1">
        <v>20080</v>
      </c>
    </row>
    <row r="707" spans="1:6" x14ac:dyDescent="0.25">
      <c r="A707" s="1" t="s">
        <v>63</v>
      </c>
      <c r="B707" s="1">
        <v>46265</v>
      </c>
      <c r="C707" s="1">
        <v>20061.150000000001</v>
      </c>
      <c r="D707" s="1">
        <v>20068.599999999999</v>
      </c>
      <c r="E707" s="1">
        <v>19830.55</v>
      </c>
      <c r="F707" s="1">
        <v>19931.650000000001</v>
      </c>
    </row>
    <row r="708" spans="1:6" x14ac:dyDescent="0.25">
      <c r="A708" s="1" t="s">
        <v>63</v>
      </c>
      <c r="B708" s="1">
        <v>46266</v>
      </c>
      <c r="C708" s="1">
        <v>19952.45</v>
      </c>
      <c r="D708" s="1">
        <v>19965.55</v>
      </c>
      <c r="E708" s="1">
        <v>19759.2</v>
      </c>
      <c r="F708" s="1">
        <v>19886.25</v>
      </c>
    </row>
    <row r="709" spans="1:6" x14ac:dyDescent="0.25">
      <c r="A709" s="1" t="s">
        <v>63</v>
      </c>
      <c r="B709" s="1">
        <v>46267</v>
      </c>
      <c r="C709" s="1">
        <v>19803.400000000001</v>
      </c>
      <c r="D709" s="1">
        <v>19833.2</v>
      </c>
      <c r="E709" s="1">
        <v>19662.150000000001</v>
      </c>
      <c r="F709" s="1">
        <v>19812.25</v>
      </c>
    </row>
    <row r="710" spans="1:6" x14ac:dyDescent="0.25">
      <c r="A710" s="1" t="s">
        <v>63</v>
      </c>
      <c r="B710" s="1">
        <v>46268</v>
      </c>
      <c r="C710" s="1">
        <v>19904.3</v>
      </c>
      <c r="D710" s="1">
        <v>20072.5</v>
      </c>
      <c r="E710" s="1">
        <v>19903.75</v>
      </c>
      <c r="F710" s="1">
        <v>20050.75</v>
      </c>
    </row>
    <row r="711" spans="1:6" x14ac:dyDescent="0.25">
      <c r="A711" s="1" t="s">
        <v>63</v>
      </c>
      <c r="B711" s="1">
        <v>46269</v>
      </c>
      <c r="C711" s="1">
        <v>20121.650000000001</v>
      </c>
      <c r="D711" s="1">
        <v>20187.8</v>
      </c>
      <c r="E711" s="1">
        <v>20077.400000000001</v>
      </c>
      <c r="F711" s="1">
        <v>20095.45</v>
      </c>
    </row>
    <row r="712" spans="1:6" x14ac:dyDescent="0.25">
      <c r="A712" s="1" t="s">
        <v>63</v>
      </c>
      <c r="B712" s="1">
        <v>46272</v>
      </c>
      <c r="C712" s="1">
        <v>20086.45</v>
      </c>
      <c r="D712" s="1">
        <v>20160.25</v>
      </c>
      <c r="E712" s="1">
        <v>20047.25</v>
      </c>
      <c r="F712" s="1">
        <v>20100.2</v>
      </c>
    </row>
    <row r="713" spans="1:6" x14ac:dyDescent="0.25">
      <c r="A713" s="1" t="s">
        <v>63</v>
      </c>
      <c r="B713" s="1">
        <v>46273</v>
      </c>
      <c r="C713" s="1">
        <v>20121.55</v>
      </c>
      <c r="D713" s="1">
        <v>20142.3</v>
      </c>
      <c r="E713" s="1">
        <v>20027.25</v>
      </c>
      <c r="F713" s="1">
        <v>20133.75</v>
      </c>
    </row>
    <row r="714" spans="1:6" x14ac:dyDescent="0.25">
      <c r="A714" s="1" t="s">
        <v>63</v>
      </c>
      <c r="B714" s="1">
        <v>46274</v>
      </c>
      <c r="C714" s="1">
        <v>20117.150000000001</v>
      </c>
      <c r="D714" s="1">
        <v>20143.2</v>
      </c>
      <c r="E714" s="1">
        <v>20021.349999999999</v>
      </c>
      <c r="F714" s="1">
        <v>20036.900000000001</v>
      </c>
    </row>
    <row r="715" spans="1:6" x14ac:dyDescent="0.25">
      <c r="A715" s="1" t="s">
        <v>63</v>
      </c>
      <c r="B715" s="1">
        <v>46275</v>
      </c>
      <c r="C715" s="1">
        <v>20049.349999999999</v>
      </c>
      <c r="D715" s="1">
        <v>20100.45</v>
      </c>
      <c r="E715" s="1">
        <v>19992.349999999999</v>
      </c>
      <c r="F715" s="1">
        <v>20021.95</v>
      </c>
    </row>
    <row r="716" spans="1:6" x14ac:dyDescent="0.25">
      <c r="A716" s="1" t="s">
        <v>63</v>
      </c>
      <c r="B716" s="1">
        <v>46276</v>
      </c>
      <c r="C716" s="1">
        <v>19893.55</v>
      </c>
      <c r="D716" s="1">
        <v>19924.45</v>
      </c>
      <c r="E716" s="1">
        <v>19728.099999999999</v>
      </c>
      <c r="F716" s="1">
        <v>19906.3</v>
      </c>
    </row>
    <row r="717" spans="1:6" x14ac:dyDescent="0.25">
      <c r="A717" s="1" t="s">
        <v>63</v>
      </c>
      <c r="B717" s="1">
        <v>46280</v>
      </c>
      <c r="C717" s="1">
        <v>19996.5</v>
      </c>
      <c r="D717" s="1">
        <v>20025.2</v>
      </c>
      <c r="E717" s="1">
        <v>19380.900000000001</v>
      </c>
      <c r="F717" s="1">
        <v>19422.45</v>
      </c>
    </row>
    <row r="718" spans="1:6" x14ac:dyDescent="0.25">
      <c r="A718" s="1" t="s">
        <v>63</v>
      </c>
      <c r="B718" s="1">
        <v>46281</v>
      </c>
      <c r="C718" s="1">
        <v>19398.5</v>
      </c>
      <c r="D718" s="1">
        <v>19471.75</v>
      </c>
      <c r="E718" s="1">
        <v>19036.3</v>
      </c>
      <c r="F718" s="1">
        <v>19388.3</v>
      </c>
    </row>
    <row r="719" spans="1:6" x14ac:dyDescent="0.25">
      <c r="A719" s="1" t="s">
        <v>63</v>
      </c>
      <c r="B719" s="1">
        <v>46282</v>
      </c>
      <c r="C719" s="1">
        <v>19363.599999999999</v>
      </c>
      <c r="D719" s="1">
        <v>19585.150000000001</v>
      </c>
      <c r="E719" s="1">
        <v>19361.95</v>
      </c>
      <c r="F719" s="1">
        <v>19535.7</v>
      </c>
    </row>
    <row r="720" spans="1:6" x14ac:dyDescent="0.25">
      <c r="A720" s="1" t="s">
        <v>63</v>
      </c>
      <c r="B720" s="1">
        <v>46283</v>
      </c>
      <c r="C720" s="1">
        <v>19566.05</v>
      </c>
      <c r="D720" s="1">
        <v>19894.45</v>
      </c>
      <c r="E720" s="1">
        <v>19565.5</v>
      </c>
      <c r="F720" s="1">
        <v>19875.7</v>
      </c>
    </row>
    <row r="721" spans="1:6" x14ac:dyDescent="0.25">
      <c r="A721" s="1" t="s">
        <v>63</v>
      </c>
      <c r="B721" s="1">
        <v>46286</v>
      </c>
      <c r="C721" s="1">
        <v>19896.150000000001</v>
      </c>
      <c r="D721" s="1">
        <v>19955.45</v>
      </c>
      <c r="E721" s="1">
        <v>19824.099999999999</v>
      </c>
      <c r="F721" s="1">
        <v>19861.5</v>
      </c>
    </row>
    <row r="722" spans="1:6" x14ac:dyDescent="0.25">
      <c r="A722" s="1" t="s">
        <v>63</v>
      </c>
      <c r="B722" s="1">
        <v>46287</v>
      </c>
      <c r="C722" s="1">
        <v>19904.400000000001</v>
      </c>
      <c r="D722" s="1">
        <v>19954.05</v>
      </c>
      <c r="E722" s="1">
        <v>19778.55</v>
      </c>
      <c r="F722" s="1">
        <v>19815.45</v>
      </c>
    </row>
    <row r="723" spans="1:6" x14ac:dyDescent="0.25">
      <c r="A723" s="1" t="s">
        <v>63</v>
      </c>
      <c r="B723" s="1">
        <v>46288</v>
      </c>
      <c r="C723" s="1">
        <v>19848.05</v>
      </c>
      <c r="D723" s="1">
        <v>19998.2</v>
      </c>
      <c r="E723" s="1">
        <v>19847.7</v>
      </c>
      <c r="F723" s="1">
        <v>19991.5</v>
      </c>
    </row>
    <row r="724" spans="1:6" x14ac:dyDescent="0.25">
      <c r="A724" s="1" t="s">
        <v>63</v>
      </c>
      <c r="B724" s="1">
        <v>46289</v>
      </c>
      <c r="C724" s="1">
        <v>19743.45</v>
      </c>
      <c r="D724" s="1">
        <v>19879.45</v>
      </c>
      <c r="E724" s="1">
        <v>19657.7</v>
      </c>
      <c r="F724" s="1">
        <v>19684.75</v>
      </c>
    </row>
    <row r="725" spans="1:6" x14ac:dyDescent="0.25">
      <c r="A725" s="1" t="s">
        <v>63</v>
      </c>
      <c r="B725" s="1">
        <v>46290</v>
      </c>
      <c r="C725" s="1">
        <v>19706.7</v>
      </c>
      <c r="D725" s="1">
        <v>19754</v>
      </c>
      <c r="E725" s="1">
        <v>19594.900000000001</v>
      </c>
      <c r="F725" s="1">
        <v>19715.25</v>
      </c>
    </row>
    <row r="726" spans="1:6" x14ac:dyDescent="0.25">
      <c r="A726" s="1" t="s">
        <v>63</v>
      </c>
      <c r="B726" s="1">
        <v>46293</v>
      </c>
      <c r="C726" s="1">
        <v>19684.650000000001</v>
      </c>
      <c r="D726" s="1">
        <v>19692.349999999999</v>
      </c>
      <c r="E726" s="1">
        <v>19324</v>
      </c>
      <c r="F726" s="1">
        <v>19351.099999999999</v>
      </c>
    </row>
    <row r="727" spans="1:6" x14ac:dyDescent="0.25">
      <c r="A727" s="1" t="s">
        <v>63</v>
      </c>
      <c r="B727" s="1">
        <v>46294</v>
      </c>
      <c r="C727" s="1">
        <v>19322.400000000001</v>
      </c>
      <c r="D727" s="1">
        <v>19344.099999999999</v>
      </c>
      <c r="E727" s="1">
        <v>19116.5</v>
      </c>
      <c r="F727" s="1">
        <v>19193.55</v>
      </c>
    </row>
    <row r="728" spans="1:6" x14ac:dyDescent="0.25">
      <c r="A728" s="1" t="s">
        <v>63</v>
      </c>
      <c r="B728" s="1">
        <v>46295</v>
      </c>
      <c r="C728" s="1">
        <v>19275.849999999999</v>
      </c>
      <c r="D728" s="1">
        <v>19404.5</v>
      </c>
      <c r="E728" s="1">
        <v>19223.95</v>
      </c>
      <c r="F728" s="1">
        <v>19245.7</v>
      </c>
    </row>
    <row r="729" spans="1:6" x14ac:dyDescent="0.25">
      <c r="A729" s="1" t="s">
        <v>63</v>
      </c>
      <c r="B729" s="1">
        <v>46296</v>
      </c>
      <c r="C729" s="1">
        <v>19249.2</v>
      </c>
      <c r="D729" s="1">
        <v>19256.45</v>
      </c>
      <c r="E729" s="1">
        <v>18797.650000000001</v>
      </c>
      <c r="F729" s="1">
        <v>19058.650000000001</v>
      </c>
    </row>
    <row r="730" spans="1:6" x14ac:dyDescent="0.25">
      <c r="A730" s="1" t="s">
        <v>63</v>
      </c>
      <c r="B730" s="1">
        <v>46300</v>
      </c>
      <c r="C730" s="1">
        <v>19154.849999999999</v>
      </c>
      <c r="D730" s="1">
        <v>19237.8</v>
      </c>
      <c r="E730" s="1">
        <v>18994.2</v>
      </c>
      <c r="F730" s="1">
        <v>19149.099999999999</v>
      </c>
    </row>
    <row r="731" spans="1:6" x14ac:dyDescent="0.25">
      <c r="A731" s="1" t="s">
        <v>63</v>
      </c>
      <c r="B731" s="1">
        <v>46301</v>
      </c>
      <c r="C731" s="1">
        <v>19248</v>
      </c>
      <c r="D731" s="1">
        <v>19469.25</v>
      </c>
      <c r="E731" s="1">
        <v>19175.3</v>
      </c>
      <c r="F731" s="1">
        <v>19448.7</v>
      </c>
    </row>
    <row r="732" spans="1:6" x14ac:dyDescent="0.25">
      <c r="A732" s="1" t="s">
        <v>63</v>
      </c>
      <c r="B732" s="1">
        <v>46302</v>
      </c>
      <c r="C732" s="1">
        <v>19456</v>
      </c>
      <c r="D732" s="1">
        <v>19578.099999999999</v>
      </c>
      <c r="E732" s="1">
        <v>19358.8</v>
      </c>
      <c r="F732" s="1">
        <v>19506.95</v>
      </c>
    </row>
    <row r="733" spans="1:6" x14ac:dyDescent="0.25">
      <c r="A733" s="1" t="s">
        <v>63</v>
      </c>
      <c r="B733" s="1">
        <v>46303</v>
      </c>
      <c r="C733" s="1">
        <v>19516.849999999999</v>
      </c>
      <c r="D733" s="1">
        <v>19520.25</v>
      </c>
      <c r="E733" s="1">
        <v>19031.5</v>
      </c>
      <c r="F733" s="1">
        <v>19050.099999999999</v>
      </c>
    </row>
    <row r="734" spans="1:6" x14ac:dyDescent="0.25">
      <c r="A734" s="1" t="s">
        <v>63</v>
      </c>
      <c r="B734" s="1">
        <v>46304</v>
      </c>
      <c r="C734" s="1">
        <v>19087.650000000001</v>
      </c>
      <c r="D734" s="1">
        <v>19239.349999999999</v>
      </c>
      <c r="E734" s="1">
        <v>18875.400000000001</v>
      </c>
      <c r="F734" s="1">
        <v>19153.7</v>
      </c>
    </row>
    <row r="735" spans="1:6" x14ac:dyDescent="0.25">
      <c r="A735" s="1" t="s">
        <v>63</v>
      </c>
      <c r="B735" s="1">
        <v>46307</v>
      </c>
      <c r="C735" s="1">
        <v>19261.7</v>
      </c>
      <c r="D735" s="1">
        <v>19462.45</v>
      </c>
      <c r="E735" s="1">
        <v>19260.8</v>
      </c>
      <c r="F735" s="1">
        <v>19425.8</v>
      </c>
    </row>
    <row r="736" spans="1:6" x14ac:dyDescent="0.25">
      <c r="A736" s="1" t="s">
        <v>63</v>
      </c>
      <c r="B736" s="1">
        <v>46308</v>
      </c>
      <c r="C736" s="1">
        <v>19429.5</v>
      </c>
      <c r="D736" s="1">
        <v>19455.2</v>
      </c>
      <c r="E736" s="1">
        <v>19183.650000000001</v>
      </c>
      <c r="F736" s="1">
        <v>19447.400000000001</v>
      </c>
    </row>
    <row r="737" spans="1:6" x14ac:dyDescent="0.25">
      <c r="A737" s="1" t="s">
        <v>63</v>
      </c>
      <c r="B737" s="1">
        <v>46309</v>
      </c>
      <c r="C737" s="1">
        <v>19426.150000000001</v>
      </c>
      <c r="D737" s="1">
        <v>19507.900000000001</v>
      </c>
      <c r="E737" s="1">
        <v>19335.95</v>
      </c>
      <c r="F737" s="1">
        <v>19384.8</v>
      </c>
    </row>
    <row r="738" spans="1:6" x14ac:dyDescent="0.25">
      <c r="A738" s="1" t="s">
        <v>63</v>
      </c>
      <c r="B738" s="1">
        <v>46310</v>
      </c>
      <c r="C738" s="1">
        <v>19356.2</v>
      </c>
      <c r="D738" s="1">
        <v>19373.25</v>
      </c>
      <c r="E738" s="1">
        <v>19102.2</v>
      </c>
      <c r="F738" s="1">
        <v>19131.7</v>
      </c>
    </row>
    <row r="739" spans="1:6" x14ac:dyDescent="0.25">
      <c r="A739" s="1" t="s">
        <v>63</v>
      </c>
      <c r="B739" s="1">
        <v>46311</v>
      </c>
      <c r="C739" s="1">
        <v>19172.849999999999</v>
      </c>
      <c r="D739" s="1">
        <v>19194.95</v>
      </c>
      <c r="E739" s="1">
        <v>19069.849999999999</v>
      </c>
      <c r="F739" s="1">
        <v>19129.8</v>
      </c>
    </row>
    <row r="740" spans="1:6" x14ac:dyDescent="0.25">
      <c r="A740" s="1" t="s">
        <v>64</v>
      </c>
      <c r="B740" s="1">
        <v>45950</v>
      </c>
      <c r="C740" s="1">
        <v>57872.85</v>
      </c>
      <c r="D740" s="1">
        <v>58261.55</v>
      </c>
      <c r="E740" s="1">
        <v>57872.85</v>
      </c>
      <c r="F740" s="1">
        <v>58033.2</v>
      </c>
    </row>
    <row r="741" spans="1:6" x14ac:dyDescent="0.25">
      <c r="A741" s="1" t="s">
        <v>64</v>
      </c>
      <c r="B741" s="1">
        <v>45951</v>
      </c>
      <c r="C741" s="1">
        <v>58063.4</v>
      </c>
      <c r="D741" s="1">
        <v>58155.55</v>
      </c>
      <c r="E741" s="1">
        <v>57887.199999999997</v>
      </c>
      <c r="F741" s="1">
        <v>58007.199999999997</v>
      </c>
    </row>
    <row r="742" spans="1:6" x14ac:dyDescent="0.25">
      <c r="A742" s="1" t="s">
        <v>64</v>
      </c>
      <c r="B742" s="1">
        <v>45953</v>
      </c>
      <c r="C742" s="1">
        <v>58314.55</v>
      </c>
      <c r="D742" s="1">
        <v>58577.5</v>
      </c>
      <c r="E742" s="1">
        <v>57951.45</v>
      </c>
      <c r="F742" s="1">
        <v>58078.05</v>
      </c>
    </row>
    <row r="743" spans="1:6" x14ac:dyDescent="0.25">
      <c r="A743" s="1" t="s">
        <v>64</v>
      </c>
      <c r="B743" s="1">
        <v>45954</v>
      </c>
      <c r="C743" s="1">
        <v>58172.75</v>
      </c>
      <c r="D743" s="1">
        <v>58232.9</v>
      </c>
      <c r="E743" s="1">
        <v>57482.05</v>
      </c>
      <c r="F743" s="1">
        <v>57699.6</v>
      </c>
    </row>
    <row r="744" spans="1:6" x14ac:dyDescent="0.25">
      <c r="A744" s="1" t="s">
        <v>64</v>
      </c>
      <c r="B744" s="1">
        <v>45957</v>
      </c>
      <c r="C744" s="1">
        <v>57796.45</v>
      </c>
      <c r="D744" s="1">
        <v>58224.55</v>
      </c>
      <c r="E744" s="1">
        <v>57652.75</v>
      </c>
      <c r="F744" s="1">
        <v>58114.25</v>
      </c>
    </row>
    <row r="745" spans="1:6" x14ac:dyDescent="0.25">
      <c r="A745" s="1" t="s">
        <v>64</v>
      </c>
      <c r="B745" s="1">
        <v>45958</v>
      </c>
      <c r="C745" s="1">
        <v>58006.55</v>
      </c>
      <c r="D745" s="1">
        <v>58313.8</v>
      </c>
      <c r="E745" s="1">
        <v>57770.35</v>
      </c>
      <c r="F745" s="1">
        <v>58214.1</v>
      </c>
    </row>
    <row r="746" spans="1:6" x14ac:dyDescent="0.25">
      <c r="A746" s="1" t="s">
        <v>64</v>
      </c>
      <c r="B746" s="1">
        <v>45959</v>
      </c>
      <c r="C746" s="1">
        <v>58316.25</v>
      </c>
      <c r="D746" s="1">
        <v>58469.9</v>
      </c>
      <c r="E746" s="1">
        <v>58087.05</v>
      </c>
      <c r="F746" s="1">
        <v>58385.25</v>
      </c>
    </row>
    <row r="747" spans="1:6" x14ac:dyDescent="0.25">
      <c r="A747" s="1" t="s">
        <v>64</v>
      </c>
      <c r="B747" s="1">
        <v>45960</v>
      </c>
      <c r="C747" s="1">
        <v>58152.05</v>
      </c>
      <c r="D747" s="1">
        <v>58331.199999999997</v>
      </c>
      <c r="E747" s="1">
        <v>57999.199999999997</v>
      </c>
      <c r="F747" s="1">
        <v>58031.1</v>
      </c>
    </row>
    <row r="748" spans="1:6" x14ac:dyDescent="0.25">
      <c r="A748" s="1" t="s">
        <v>64</v>
      </c>
      <c r="B748" s="1">
        <v>45961</v>
      </c>
      <c r="C748" s="1">
        <v>57942.45</v>
      </c>
      <c r="D748" s="1">
        <v>58254.95</v>
      </c>
      <c r="E748" s="1">
        <v>57656.95</v>
      </c>
      <c r="F748" s="1">
        <v>57776.35</v>
      </c>
    </row>
    <row r="749" spans="1:6" x14ac:dyDescent="0.25">
      <c r="A749" s="1" t="s">
        <v>64</v>
      </c>
      <c r="B749" s="1">
        <v>45964</v>
      </c>
      <c r="C749" s="1">
        <v>57726.85</v>
      </c>
      <c r="D749" s="1">
        <v>58247.55</v>
      </c>
      <c r="E749" s="1">
        <v>57718.400000000001</v>
      </c>
      <c r="F749" s="1">
        <v>58101.45</v>
      </c>
    </row>
    <row r="750" spans="1:6" x14ac:dyDescent="0.25">
      <c r="A750" s="1" t="s">
        <v>64</v>
      </c>
      <c r="B750" s="1">
        <v>45965</v>
      </c>
      <c r="C750" s="1">
        <v>57966.65</v>
      </c>
      <c r="D750" s="1">
        <v>58119.65</v>
      </c>
      <c r="E750" s="1">
        <v>57732.95</v>
      </c>
      <c r="F750" s="1">
        <v>57827.05</v>
      </c>
    </row>
    <row r="751" spans="1:6" x14ac:dyDescent="0.25">
      <c r="A751" s="1" t="s">
        <v>64</v>
      </c>
      <c r="B751" s="1">
        <v>45967</v>
      </c>
      <c r="C751" s="1">
        <v>57714.8</v>
      </c>
      <c r="D751" s="1">
        <v>57945.05</v>
      </c>
      <c r="E751" s="1">
        <v>57521</v>
      </c>
      <c r="F751" s="1">
        <v>57554.25</v>
      </c>
    </row>
    <row r="752" spans="1:6" x14ac:dyDescent="0.25">
      <c r="A752" s="1" t="s">
        <v>64</v>
      </c>
      <c r="B752" s="1">
        <v>45968</v>
      </c>
      <c r="C752" s="1">
        <v>57391.4</v>
      </c>
      <c r="D752" s="1">
        <v>58001.35</v>
      </c>
      <c r="E752" s="1">
        <v>57157.85</v>
      </c>
      <c r="F752" s="1">
        <v>57876.800000000003</v>
      </c>
    </row>
    <row r="753" spans="1:6" x14ac:dyDescent="0.25">
      <c r="A753" s="1" t="s">
        <v>64</v>
      </c>
      <c r="B753" s="1">
        <v>45971</v>
      </c>
      <c r="C753" s="1">
        <v>57846.2</v>
      </c>
      <c r="D753" s="1">
        <v>58097.2</v>
      </c>
      <c r="E753" s="1">
        <v>57846.2</v>
      </c>
      <c r="F753" s="1">
        <v>57937.55</v>
      </c>
    </row>
    <row r="754" spans="1:6" x14ac:dyDescent="0.25">
      <c r="A754" s="1" t="s">
        <v>64</v>
      </c>
      <c r="B754" s="1">
        <v>45972</v>
      </c>
      <c r="C754" s="1">
        <v>57962.3</v>
      </c>
      <c r="D754" s="1">
        <v>58187.35</v>
      </c>
      <c r="E754" s="1">
        <v>57594.25</v>
      </c>
      <c r="F754" s="1">
        <v>58138.15</v>
      </c>
    </row>
    <row r="755" spans="1:6" x14ac:dyDescent="0.25">
      <c r="A755" s="1" t="s">
        <v>64</v>
      </c>
      <c r="B755" s="1">
        <v>45973</v>
      </c>
      <c r="C755" s="1">
        <v>58505.35</v>
      </c>
      <c r="D755" s="1">
        <v>58507.7</v>
      </c>
      <c r="E755" s="1">
        <v>58171.85</v>
      </c>
      <c r="F755" s="1">
        <v>58274.65</v>
      </c>
    </row>
    <row r="756" spans="1:6" x14ac:dyDescent="0.25">
      <c r="A756" s="1" t="s">
        <v>64</v>
      </c>
      <c r="B756" s="1">
        <v>45974</v>
      </c>
      <c r="C756" s="1">
        <v>58158.75</v>
      </c>
      <c r="D756" s="1">
        <v>58615.95</v>
      </c>
      <c r="E756" s="1">
        <v>58127.1</v>
      </c>
      <c r="F756" s="1">
        <v>58381.95</v>
      </c>
    </row>
    <row r="757" spans="1:6" x14ac:dyDescent="0.25">
      <c r="A757" s="1" t="s">
        <v>64</v>
      </c>
      <c r="B757" s="1">
        <v>45975</v>
      </c>
      <c r="C757" s="1">
        <v>58050</v>
      </c>
      <c r="D757" s="1">
        <v>58590.15</v>
      </c>
      <c r="E757" s="1">
        <v>58050</v>
      </c>
      <c r="F757" s="1">
        <v>58517.55</v>
      </c>
    </row>
    <row r="758" spans="1:6" x14ac:dyDescent="0.25">
      <c r="A758" s="1" t="s">
        <v>64</v>
      </c>
      <c r="B758" s="1">
        <v>45978</v>
      </c>
      <c r="C758" s="1">
        <v>58696.3</v>
      </c>
      <c r="D758" s="1">
        <v>59001.55</v>
      </c>
      <c r="E758" s="1">
        <v>58605.3</v>
      </c>
      <c r="F758" s="1">
        <v>58962.7</v>
      </c>
    </row>
    <row r="759" spans="1:6" x14ac:dyDescent="0.25">
      <c r="A759" s="1" t="s">
        <v>64</v>
      </c>
      <c r="B759" s="1">
        <v>45979</v>
      </c>
      <c r="C759" s="1">
        <v>58990.5</v>
      </c>
      <c r="D759" s="1">
        <v>59103.65</v>
      </c>
      <c r="E759" s="1">
        <v>58798.9</v>
      </c>
      <c r="F759" s="1">
        <v>58899.25</v>
      </c>
    </row>
    <row r="760" spans="1:6" x14ac:dyDescent="0.25">
      <c r="A760" s="1" t="s">
        <v>64</v>
      </c>
      <c r="B760" s="1">
        <v>45980</v>
      </c>
      <c r="C760" s="1">
        <v>58908.15</v>
      </c>
      <c r="D760" s="1">
        <v>59264.25</v>
      </c>
      <c r="E760" s="1">
        <v>58688.55</v>
      </c>
      <c r="F760" s="1">
        <v>59216.05</v>
      </c>
    </row>
    <row r="761" spans="1:6" x14ac:dyDescent="0.25">
      <c r="A761" s="1" t="s">
        <v>64</v>
      </c>
      <c r="B761" s="1">
        <v>45981</v>
      </c>
      <c r="C761" s="1">
        <v>59308.2</v>
      </c>
      <c r="D761" s="1">
        <v>59440.1</v>
      </c>
      <c r="E761" s="1">
        <v>59125.25</v>
      </c>
      <c r="F761" s="1">
        <v>59347.7</v>
      </c>
    </row>
    <row r="762" spans="1:6" x14ac:dyDescent="0.25">
      <c r="A762" s="1" t="s">
        <v>64</v>
      </c>
      <c r="B762" s="1">
        <v>45982</v>
      </c>
      <c r="C762" s="1">
        <v>59116.7</v>
      </c>
      <c r="D762" s="1">
        <v>59232.15</v>
      </c>
      <c r="E762" s="1">
        <v>58823.65</v>
      </c>
      <c r="F762" s="1">
        <v>58867.7</v>
      </c>
    </row>
    <row r="763" spans="1:6" x14ac:dyDescent="0.25">
      <c r="A763" s="1" t="s">
        <v>64</v>
      </c>
      <c r="B763" s="1">
        <v>45985</v>
      </c>
      <c r="C763" s="1">
        <v>58996.9</v>
      </c>
      <c r="D763" s="1">
        <v>59309.9</v>
      </c>
      <c r="E763" s="1">
        <v>58649.5</v>
      </c>
      <c r="F763" s="1">
        <v>58835.35</v>
      </c>
    </row>
    <row r="764" spans="1:6" x14ac:dyDescent="0.25">
      <c r="A764" s="1" t="s">
        <v>64</v>
      </c>
      <c r="B764" s="1">
        <v>45986</v>
      </c>
      <c r="C764" s="1">
        <v>58925.65</v>
      </c>
      <c r="D764" s="1">
        <v>59166.15</v>
      </c>
      <c r="E764" s="1">
        <v>58746.2</v>
      </c>
      <c r="F764" s="1">
        <v>58820.3</v>
      </c>
    </row>
    <row r="765" spans="1:6" x14ac:dyDescent="0.25">
      <c r="A765" s="1" t="s">
        <v>64</v>
      </c>
      <c r="B765" s="1">
        <v>45987</v>
      </c>
      <c r="C765" s="1">
        <v>58783.05</v>
      </c>
      <c r="D765" s="1">
        <v>59554.95</v>
      </c>
      <c r="E765" s="1">
        <v>58783.05</v>
      </c>
      <c r="F765" s="1">
        <v>59528.05</v>
      </c>
    </row>
    <row r="766" spans="1:6" x14ac:dyDescent="0.25">
      <c r="A766" s="1" t="s">
        <v>64</v>
      </c>
      <c r="B766" s="1">
        <v>45988</v>
      </c>
      <c r="C766" s="1">
        <v>59605.3</v>
      </c>
      <c r="D766" s="1">
        <v>59866.6</v>
      </c>
      <c r="E766" s="1">
        <v>59523</v>
      </c>
      <c r="F766" s="1">
        <v>59737.3</v>
      </c>
    </row>
    <row r="767" spans="1:6" x14ac:dyDescent="0.25">
      <c r="A767" s="1" t="s">
        <v>64</v>
      </c>
      <c r="B767" s="1">
        <v>45989</v>
      </c>
      <c r="C767" s="1">
        <v>59758.7</v>
      </c>
      <c r="D767" s="1">
        <v>59897.5</v>
      </c>
      <c r="E767" s="1">
        <v>59598.95</v>
      </c>
      <c r="F767" s="1">
        <v>59752.7</v>
      </c>
    </row>
    <row r="768" spans="1:6" x14ac:dyDescent="0.25">
      <c r="A768" s="1" t="s">
        <v>64</v>
      </c>
      <c r="B768" s="1">
        <v>45992</v>
      </c>
      <c r="C768" s="1">
        <v>60102.05</v>
      </c>
      <c r="D768" s="1">
        <v>60114.3</v>
      </c>
      <c r="E768" s="1">
        <v>59527.6</v>
      </c>
      <c r="F768" s="1">
        <v>59681.35</v>
      </c>
    </row>
    <row r="769" spans="1:6" x14ac:dyDescent="0.25">
      <c r="A769" s="1" t="s">
        <v>64</v>
      </c>
      <c r="B769" s="1">
        <v>45993</v>
      </c>
      <c r="C769" s="1">
        <v>59354.2</v>
      </c>
      <c r="D769" s="1">
        <v>59656.55</v>
      </c>
      <c r="E769" s="1">
        <v>59251.95</v>
      </c>
      <c r="F769" s="1">
        <v>59273.8</v>
      </c>
    </row>
    <row r="770" spans="1:6" x14ac:dyDescent="0.25">
      <c r="A770" s="1" t="s">
        <v>64</v>
      </c>
      <c r="B770" s="1">
        <v>45994</v>
      </c>
      <c r="C770" s="1">
        <v>59158.7</v>
      </c>
      <c r="D770" s="1">
        <v>59414.9</v>
      </c>
      <c r="E770" s="1">
        <v>58925.7</v>
      </c>
      <c r="F770" s="1">
        <v>59348.25</v>
      </c>
    </row>
    <row r="771" spans="1:6" x14ac:dyDescent="0.25">
      <c r="A771" s="1" t="s">
        <v>64</v>
      </c>
      <c r="B771" s="1">
        <v>45995</v>
      </c>
      <c r="C771" s="1">
        <v>59287.1</v>
      </c>
      <c r="D771" s="1">
        <v>59548.7</v>
      </c>
      <c r="E771" s="1">
        <v>59062.15</v>
      </c>
      <c r="F771" s="1">
        <v>59288.7</v>
      </c>
    </row>
    <row r="772" spans="1:6" x14ac:dyDescent="0.25">
      <c r="A772" s="1" t="s">
        <v>64</v>
      </c>
      <c r="B772" s="1">
        <v>45996</v>
      </c>
      <c r="C772" s="1">
        <v>59133.2</v>
      </c>
      <c r="D772" s="1">
        <v>59806.6</v>
      </c>
      <c r="E772" s="1">
        <v>59106.55</v>
      </c>
      <c r="F772" s="1">
        <v>59777.2</v>
      </c>
    </row>
    <row r="773" spans="1:6" x14ac:dyDescent="0.25">
      <c r="A773" s="1" t="s">
        <v>64</v>
      </c>
      <c r="B773" s="1">
        <v>45999</v>
      </c>
      <c r="C773" s="1">
        <v>59672.05</v>
      </c>
      <c r="D773" s="1">
        <v>59713.15</v>
      </c>
      <c r="E773" s="1">
        <v>59030.6</v>
      </c>
      <c r="F773" s="1">
        <v>59238.55</v>
      </c>
    </row>
    <row r="774" spans="1:6" x14ac:dyDescent="0.25">
      <c r="A774" s="1" t="s">
        <v>64</v>
      </c>
      <c r="B774" s="1">
        <v>46000</v>
      </c>
      <c r="C774" s="1">
        <v>58918.85</v>
      </c>
      <c r="D774" s="1">
        <v>59358.25</v>
      </c>
      <c r="E774" s="1">
        <v>58878.45</v>
      </c>
      <c r="F774" s="1">
        <v>59222.35</v>
      </c>
    </row>
    <row r="775" spans="1:6" x14ac:dyDescent="0.25">
      <c r="A775" s="1" t="s">
        <v>64</v>
      </c>
      <c r="B775" s="1">
        <v>46001</v>
      </c>
      <c r="C775" s="1">
        <v>59281.55</v>
      </c>
      <c r="D775" s="1">
        <v>59440.9</v>
      </c>
      <c r="E775" s="1">
        <v>58853.9</v>
      </c>
      <c r="F775" s="1">
        <v>58960.4</v>
      </c>
    </row>
    <row r="776" spans="1:6" x14ac:dyDescent="0.25">
      <c r="A776" s="1" t="s">
        <v>64</v>
      </c>
      <c r="B776" s="1">
        <v>46002</v>
      </c>
      <c r="C776" s="1">
        <v>58966.2</v>
      </c>
      <c r="D776" s="1">
        <v>59423.35</v>
      </c>
      <c r="E776" s="1">
        <v>58799.9</v>
      </c>
      <c r="F776" s="1">
        <v>59209.85</v>
      </c>
    </row>
    <row r="777" spans="1:6" x14ac:dyDescent="0.25">
      <c r="A777" s="1" t="s">
        <v>64</v>
      </c>
      <c r="B777" s="1">
        <v>46003</v>
      </c>
      <c r="C777" s="1">
        <v>59401.5</v>
      </c>
      <c r="D777" s="1">
        <v>59545.7</v>
      </c>
      <c r="E777" s="1">
        <v>59224.85</v>
      </c>
      <c r="F777" s="1">
        <v>59389.95</v>
      </c>
    </row>
    <row r="778" spans="1:6" x14ac:dyDescent="0.25">
      <c r="A778" s="1" t="s">
        <v>64</v>
      </c>
      <c r="B778" s="1">
        <v>46006</v>
      </c>
      <c r="C778" s="1">
        <v>59053.7</v>
      </c>
      <c r="D778" s="1">
        <v>59533</v>
      </c>
      <c r="E778" s="1">
        <v>59044.65</v>
      </c>
      <c r="F778" s="1">
        <v>59461.8</v>
      </c>
    </row>
    <row r="779" spans="1:6" x14ac:dyDescent="0.25">
      <c r="A779" s="1" t="s">
        <v>64</v>
      </c>
      <c r="B779" s="1">
        <v>46007</v>
      </c>
      <c r="C779" s="1">
        <v>59288.75</v>
      </c>
      <c r="D779" s="1">
        <v>59335.25</v>
      </c>
      <c r="E779" s="1">
        <v>58966.35</v>
      </c>
      <c r="F779" s="1">
        <v>59034.6</v>
      </c>
    </row>
    <row r="780" spans="1:6" x14ac:dyDescent="0.25">
      <c r="A780" s="1" t="s">
        <v>64</v>
      </c>
      <c r="B780" s="1">
        <v>46008</v>
      </c>
      <c r="C780" s="1">
        <v>59072.800000000003</v>
      </c>
      <c r="D780" s="1">
        <v>59127.199999999997</v>
      </c>
      <c r="E780" s="1">
        <v>58801.4</v>
      </c>
      <c r="F780" s="1">
        <v>58926.75</v>
      </c>
    </row>
    <row r="781" spans="1:6" x14ac:dyDescent="0.25">
      <c r="A781" s="1" t="s">
        <v>64</v>
      </c>
      <c r="B781" s="1">
        <v>46009</v>
      </c>
      <c r="C781" s="1">
        <v>58712.7</v>
      </c>
      <c r="D781" s="1">
        <v>59211</v>
      </c>
      <c r="E781" s="1">
        <v>58712.7</v>
      </c>
      <c r="F781" s="1">
        <v>58912.85</v>
      </c>
    </row>
    <row r="782" spans="1:6" x14ac:dyDescent="0.25">
      <c r="A782" s="1" t="s">
        <v>64</v>
      </c>
      <c r="B782" s="1">
        <v>46010</v>
      </c>
      <c r="C782" s="1">
        <v>59047.4</v>
      </c>
      <c r="D782" s="1">
        <v>59140.55</v>
      </c>
      <c r="E782" s="1">
        <v>58897.5</v>
      </c>
      <c r="F782" s="1">
        <v>59069.2</v>
      </c>
    </row>
    <row r="783" spans="1:6" x14ac:dyDescent="0.25">
      <c r="A783" s="1" t="s">
        <v>64</v>
      </c>
      <c r="B783" s="1">
        <v>46013</v>
      </c>
      <c r="C783" s="1">
        <v>59224.75</v>
      </c>
      <c r="D783" s="1">
        <v>59371.199999999997</v>
      </c>
      <c r="E783" s="1">
        <v>59155.5</v>
      </c>
      <c r="F783" s="1">
        <v>59304</v>
      </c>
    </row>
    <row r="784" spans="1:6" x14ac:dyDescent="0.25">
      <c r="A784" s="1" t="s">
        <v>64</v>
      </c>
      <c r="B784" s="1">
        <v>46014</v>
      </c>
      <c r="C784" s="1">
        <v>59334.35</v>
      </c>
      <c r="D784" s="1">
        <v>59402.35</v>
      </c>
      <c r="E784" s="1">
        <v>59216.75</v>
      </c>
      <c r="F784" s="1">
        <v>59299.55</v>
      </c>
    </row>
    <row r="785" spans="1:6" x14ac:dyDescent="0.25">
      <c r="A785" s="1" t="s">
        <v>64</v>
      </c>
      <c r="B785" s="1">
        <v>46015</v>
      </c>
      <c r="C785" s="1">
        <v>59322.95</v>
      </c>
      <c r="D785" s="1">
        <v>59478.15</v>
      </c>
      <c r="E785" s="1">
        <v>59118.25</v>
      </c>
      <c r="F785" s="1">
        <v>59183.6</v>
      </c>
    </row>
    <row r="786" spans="1:6" x14ac:dyDescent="0.25">
      <c r="A786" s="1" t="s">
        <v>64</v>
      </c>
      <c r="B786" s="1">
        <v>46017</v>
      </c>
      <c r="C786" s="1">
        <v>59092.85</v>
      </c>
      <c r="D786" s="1">
        <v>59180.65</v>
      </c>
      <c r="E786" s="1">
        <v>58947.05</v>
      </c>
      <c r="F786" s="1">
        <v>59011.35</v>
      </c>
    </row>
    <row r="787" spans="1:6" x14ac:dyDescent="0.25">
      <c r="A787" s="1" t="s">
        <v>64</v>
      </c>
      <c r="B787" s="1">
        <v>46020</v>
      </c>
      <c r="C787" s="1">
        <v>59007.05</v>
      </c>
      <c r="D787" s="1">
        <v>59140.4</v>
      </c>
      <c r="E787" s="1">
        <v>58809.55</v>
      </c>
      <c r="F787" s="1">
        <v>58932.35</v>
      </c>
    </row>
    <row r="788" spans="1:6" x14ac:dyDescent="0.25">
      <c r="A788" s="1" t="s">
        <v>64</v>
      </c>
      <c r="B788" s="1">
        <v>46021</v>
      </c>
      <c r="C788" s="1">
        <v>58885.95</v>
      </c>
      <c r="D788" s="1">
        <v>59272.7</v>
      </c>
      <c r="E788" s="1">
        <v>58737.599999999999</v>
      </c>
      <c r="F788" s="1">
        <v>59171.25</v>
      </c>
    </row>
    <row r="789" spans="1:6" x14ac:dyDescent="0.25">
      <c r="A789" s="1" t="s">
        <v>64</v>
      </c>
      <c r="B789" s="1">
        <v>46022</v>
      </c>
      <c r="C789" s="1">
        <v>59194.6</v>
      </c>
      <c r="D789" s="1">
        <v>59766.2</v>
      </c>
      <c r="E789" s="1">
        <v>59187.1</v>
      </c>
      <c r="F789" s="1">
        <v>59581.85</v>
      </c>
    </row>
    <row r="790" spans="1:6" x14ac:dyDescent="0.25">
      <c r="A790" s="1" t="s">
        <v>64</v>
      </c>
      <c r="B790" s="1">
        <v>46023</v>
      </c>
      <c r="C790" s="1">
        <v>59674.8</v>
      </c>
      <c r="D790" s="1">
        <v>59743.199999999997</v>
      </c>
      <c r="E790" s="1">
        <v>59569.65</v>
      </c>
      <c r="F790" s="1">
        <v>59711.55</v>
      </c>
    </row>
    <row r="791" spans="1:6" x14ac:dyDescent="0.25">
      <c r="A791" s="1" t="s">
        <v>64</v>
      </c>
      <c r="B791" s="1">
        <v>46024</v>
      </c>
      <c r="C791" s="1">
        <v>59757.4</v>
      </c>
      <c r="D791" s="1">
        <v>60203.75</v>
      </c>
      <c r="E791" s="1">
        <v>59738.25</v>
      </c>
      <c r="F791" s="1">
        <v>60150.95</v>
      </c>
    </row>
    <row r="792" spans="1:6" x14ac:dyDescent="0.25">
      <c r="A792" s="1" t="s">
        <v>64</v>
      </c>
      <c r="B792" s="1">
        <v>46027</v>
      </c>
      <c r="C792" s="1">
        <v>60360.4</v>
      </c>
      <c r="D792" s="1">
        <v>60437.35</v>
      </c>
      <c r="E792" s="1">
        <v>59859.8</v>
      </c>
      <c r="F792" s="1">
        <v>60044.2</v>
      </c>
    </row>
    <row r="793" spans="1:6" x14ac:dyDescent="0.25">
      <c r="A793" s="1" t="s">
        <v>64</v>
      </c>
      <c r="B793" s="1">
        <v>46028</v>
      </c>
      <c r="C793" s="1">
        <v>59957.8</v>
      </c>
      <c r="D793" s="1">
        <v>60305</v>
      </c>
      <c r="E793" s="1">
        <v>59844.800000000003</v>
      </c>
      <c r="F793" s="1">
        <v>60118.400000000001</v>
      </c>
    </row>
    <row r="794" spans="1:6" x14ac:dyDescent="0.25">
      <c r="A794" s="1" t="s">
        <v>64</v>
      </c>
      <c r="B794" s="1">
        <v>46029</v>
      </c>
      <c r="C794" s="1">
        <v>60039.7</v>
      </c>
      <c r="D794" s="1">
        <v>60065.4</v>
      </c>
      <c r="E794" s="1">
        <v>59760.65</v>
      </c>
      <c r="F794" s="1">
        <v>59990.85</v>
      </c>
    </row>
    <row r="795" spans="1:6" x14ac:dyDescent="0.25">
      <c r="A795" s="1" t="s">
        <v>64</v>
      </c>
      <c r="B795" s="1">
        <v>46030</v>
      </c>
      <c r="C795" s="1">
        <v>59893.15</v>
      </c>
      <c r="D795" s="1">
        <v>60112.85</v>
      </c>
      <c r="E795" s="1">
        <v>59564.800000000003</v>
      </c>
      <c r="F795" s="1">
        <v>59686.5</v>
      </c>
    </row>
    <row r="796" spans="1:6" x14ac:dyDescent="0.25">
      <c r="A796" s="1" t="s">
        <v>64</v>
      </c>
      <c r="B796" s="1">
        <v>46031</v>
      </c>
      <c r="C796" s="1">
        <v>59558.15</v>
      </c>
      <c r="D796" s="1">
        <v>59739.65</v>
      </c>
      <c r="E796" s="1">
        <v>59154.2</v>
      </c>
      <c r="F796" s="1">
        <v>59251.55</v>
      </c>
    </row>
    <row r="797" spans="1:6" x14ac:dyDescent="0.25">
      <c r="A797" s="1" t="s">
        <v>64</v>
      </c>
      <c r="B797" s="1">
        <v>46034</v>
      </c>
      <c r="C797" s="1">
        <v>59217.25</v>
      </c>
      <c r="D797" s="1">
        <v>59541.1</v>
      </c>
      <c r="E797" s="1">
        <v>58864.2</v>
      </c>
      <c r="F797" s="1">
        <v>59450.5</v>
      </c>
    </row>
    <row r="798" spans="1:6" x14ac:dyDescent="0.25">
      <c r="A798" s="1" t="s">
        <v>64</v>
      </c>
      <c r="B798" s="1">
        <v>46035</v>
      </c>
      <c r="C798" s="1">
        <v>59767.55</v>
      </c>
      <c r="D798" s="1">
        <v>59767.55</v>
      </c>
      <c r="E798" s="1">
        <v>59312.05</v>
      </c>
      <c r="F798" s="1">
        <v>59578.8</v>
      </c>
    </row>
    <row r="799" spans="1:6" x14ac:dyDescent="0.25">
      <c r="A799" s="1" t="s">
        <v>64</v>
      </c>
      <c r="B799" s="1">
        <v>46036</v>
      </c>
      <c r="C799" s="1">
        <v>59330.35</v>
      </c>
      <c r="D799" s="1">
        <v>59796.65</v>
      </c>
      <c r="E799" s="1">
        <v>59324.2</v>
      </c>
      <c r="F799" s="1">
        <v>59580.15</v>
      </c>
    </row>
    <row r="800" spans="1:6" x14ac:dyDescent="0.25">
      <c r="A800" s="1" t="s">
        <v>64</v>
      </c>
      <c r="B800" s="1">
        <v>46038</v>
      </c>
      <c r="C800" s="1">
        <v>59590.35</v>
      </c>
      <c r="D800" s="1">
        <v>60235.15</v>
      </c>
      <c r="E800" s="1">
        <v>59510.5</v>
      </c>
      <c r="F800" s="1">
        <v>60095.15</v>
      </c>
    </row>
    <row r="801" spans="1:6" x14ac:dyDescent="0.25">
      <c r="A801" s="1" t="s">
        <v>64</v>
      </c>
      <c r="B801" s="1">
        <v>46041</v>
      </c>
      <c r="C801" s="1">
        <v>60093.3</v>
      </c>
      <c r="D801" s="1">
        <v>60107.5</v>
      </c>
      <c r="E801" s="1">
        <v>59594.6</v>
      </c>
      <c r="F801" s="1">
        <v>59891.35</v>
      </c>
    </row>
    <row r="802" spans="1:6" x14ac:dyDescent="0.25">
      <c r="A802" s="1" t="s">
        <v>64</v>
      </c>
      <c r="B802" s="1">
        <v>46042</v>
      </c>
      <c r="C802" s="1">
        <v>59851.4</v>
      </c>
      <c r="D802" s="1">
        <v>59993.5</v>
      </c>
      <c r="E802" s="1">
        <v>59283.95</v>
      </c>
      <c r="F802" s="1">
        <v>59404.2</v>
      </c>
    </row>
    <row r="803" spans="1:6" x14ac:dyDescent="0.25">
      <c r="A803" s="1" t="s">
        <v>64</v>
      </c>
      <c r="B803" s="1">
        <v>46043</v>
      </c>
      <c r="C803" s="1">
        <v>59142</v>
      </c>
      <c r="D803" s="1">
        <v>59447.35</v>
      </c>
      <c r="E803" s="1">
        <v>58278.6</v>
      </c>
      <c r="F803" s="1">
        <v>58800.3</v>
      </c>
    </row>
    <row r="804" spans="1:6" x14ac:dyDescent="0.25">
      <c r="A804" s="1" t="s">
        <v>64</v>
      </c>
      <c r="B804" s="1">
        <v>46044</v>
      </c>
      <c r="C804" s="1">
        <v>59194.25</v>
      </c>
      <c r="D804" s="1">
        <v>59573.1</v>
      </c>
      <c r="E804" s="1">
        <v>58823.05</v>
      </c>
      <c r="F804" s="1">
        <v>59200.1</v>
      </c>
    </row>
    <row r="805" spans="1:6" x14ac:dyDescent="0.25">
      <c r="A805" s="1" t="s">
        <v>64</v>
      </c>
      <c r="B805" s="1">
        <v>46045</v>
      </c>
      <c r="C805" s="1">
        <v>59305.15</v>
      </c>
      <c r="D805" s="1">
        <v>59400.15</v>
      </c>
      <c r="E805" s="1">
        <v>58346.25</v>
      </c>
      <c r="F805" s="1">
        <v>58473.1</v>
      </c>
    </row>
    <row r="806" spans="1:6" x14ac:dyDescent="0.25">
      <c r="A806" s="1" t="s">
        <v>64</v>
      </c>
      <c r="B806" s="1">
        <v>46049</v>
      </c>
      <c r="C806" s="1">
        <v>58366.05</v>
      </c>
      <c r="D806" s="1">
        <v>59436.800000000003</v>
      </c>
      <c r="E806" s="1">
        <v>58121.599999999999</v>
      </c>
      <c r="F806" s="1">
        <v>59205.45</v>
      </c>
    </row>
    <row r="807" spans="1:6" x14ac:dyDescent="0.25">
      <c r="A807" s="1" t="s">
        <v>64</v>
      </c>
      <c r="B807" s="1">
        <v>46050</v>
      </c>
      <c r="C807" s="1">
        <v>59575.65</v>
      </c>
      <c r="D807" s="1">
        <v>59699.9</v>
      </c>
      <c r="E807" s="1">
        <v>59240.1</v>
      </c>
      <c r="F807" s="1">
        <v>59598.8</v>
      </c>
    </row>
    <row r="808" spans="1:6" x14ac:dyDescent="0.25">
      <c r="A808" s="1" t="s">
        <v>64</v>
      </c>
      <c r="B808" s="1">
        <v>46051</v>
      </c>
      <c r="C808" s="1">
        <v>59416.25</v>
      </c>
      <c r="D808" s="1">
        <v>60060.7</v>
      </c>
      <c r="E808" s="1">
        <v>59339</v>
      </c>
      <c r="F808" s="1">
        <v>59957.85</v>
      </c>
    </row>
    <row r="809" spans="1:6" x14ac:dyDescent="0.25">
      <c r="A809" s="1" t="s">
        <v>64</v>
      </c>
      <c r="B809" s="1">
        <v>46052</v>
      </c>
      <c r="C809" s="1">
        <v>59542.25</v>
      </c>
      <c r="D809" s="1">
        <v>59906.9</v>
      </c>
      <c r="E809" s="1">
        <v>59501.8</v>
      </c>
      <c r="F809" s="1">
        <v>59610.45</v>
      </c>
    </row>
    <row r="810" spans="1:6" x14ac:dyDescent="0.25">
      <c r="A810" s="1" t="s">
        <v>64</v>
      </c>
      <c r="B810" s="1">
        <v>46054</v>
      </c>
      <c r="C810" s="1">
        <v>59607.65</v>
      </c>
      <c r="D810" s="1">
        <v>59865.7</v>
      </c>
      <c r="E810" s="1">
        <v>57783.199999999997</v>
      </c>
      <c r="F810" s="1">
        <v>58417.2</v>
      </c>
    </row>
    <row r="811" spans="1:6" x14ac:dyDescent="0.25">
      <c r="A811" s="1" t="s">
        <v>64</v>
      </c>
      <c r="B811" s="1">
        <v>46055</v>
      </c>
      <c r="C811" s="1">
        <v>58239.3</v>
      </c>
      <c r="D811" s="1">
        <v>58687.05</v>
      </c>
      <c r="E811" s="1">
        <v>57829.85</v>
      </c>
      <c r="F811" s="1">
        <v>58619</v>
      </c>
    </row>
    <row r="812" spans="1:6" x14ac:dyDescent="0.25">
      <c r="A812" s="1" t="s">
        <v>64</v>
      </c>
      <c r="B812" s="1">
        <v>46056</v>
      </c>
      <c r="C812" s="1">
        <v>61411.199999999997</v>
      </c>
      <c r="D812" s="1">
        <v>61764.85</v>
      </c>
      <c r="E812" s="1">
        <v>59793.2</v>
      </c>
      <c r="F812" s="1">
        <v>60041.3</v>
      </c>
    </row>
    <row r="813" spans="1:6" x14ac:dyDescent="0.25">
      <c r="A813" s="1" t="s">
        <v>64</v>
      </c>
      <c r="B813" s="1">
        <v>46057</v>
      </c>
      <c r="C813" s="1">
        <v>60163.35</v>
      </c>
      <c r="D813" s="1">
        <v>60389.4</v>
      </c>
      <c r="E813" s="1">
        <v>59891.75</v>
      </c>
      <c r="F813" s="1">
        <v>60238.15</v>
      </c>
    </row>
    <row r="814" spans="1:6" x14ac:dyDescent="0.25">
      <c r="A814" s="1" t="s">
        <v>64</v>
      </c>
      <c r="B814" s="1">
        <v>46058</v>
      </c>
      <c r="C814" s="1">
        <v>60315.35</v>
      </c>
      <c r="D814" s="1">
        <v>60328.3</v>
      </c>
      <c r="E814" s="1">
        <v>59881.05</v>
      </c>
      <c r="F814" s="1">
        <v>60063.65</v>
      </c>
    </row>
    <row r="815" spans="1:6" x14ac:dyDescent="0.25">
      <c r="A815" s="1" t="s">
        <v>64</v>
      </c>
      <c r="B815" s="1">
        <v>46059</v>
      </c>
      <c r="C815" s="1">
        <v>59967.1</v>
      </c>
      <c r="D815" s="1">
        <v>60149.9</v>
      </c>
      <c r="E815" s="1">
        <v>59644.55</v>
      </c>
      <c r="F815" s="1">
        <v>60120.55</v>
      </c>
    </row>
    <row r="816" spans="1:6" x14ac:dyDescent="0.25">
      <c r="A816" s="1" t="s">
        <v>64</v>
      </c>
      <c r="B816" s="1">
        <v>46062</v>
      </c>
      <c r="C816" s="1">
        <v>60805.2</v>
      </c>
      <c r="D816" s="1">
        <v>60876.2</v>
      </c>
      <c r="E816" s="1">
        <v>60495.7</v>
      </c>
      <c r="F816" s="1">
        <v>60669.35</v>
      </c>
    </row>
    <row r="817" spans="1:6" x14ac:dyDescent="0.25">
      <c r="A817" s="1" t="s">
        <v>64</v>
      </c>
      <c r="B817" s="1">
        <v>46063</v>
      </c>
      <c r="C817" s="1">
        <v>60740.800000000003</v>
      </c>
      <c r="D817" s="1">
        <v>60797.55</v>
      </c>
      <c r="E817" s="1">
        <v>60531.55</v>
      </c>
      <c r="F817" s="1">
        <v>60626.400000000001</v>
      </c>
    </row>
    <row r="818" spans="1:6" x14ac:dyDescent="0.25">
      <c r="A818" s="1" t="s">
        <v>64</v>
      </c>
      <c r="B818" s="1">
        <v>46064</v>
      </c>
      <c r="C818" s="1">
        <v>60670.25</v>
      </c>
      <c r="D818" s="1">
        <v>60779.95</v>
      </c>
      <c r="E818" s="1">
        <v>60444.65</v>
      </c>
      <c r="F818" s="1">
        <v>60745.35</v>
      </c>
    </row>
    <row r="819" spans="1:6" x14ac:dyDescent="0.25">
      <c r="A819" s="1" t="s">
        <v>64</v>
      </c>
      <c r="B819" s="1">
        <v>46065</v>
      </c>
      <c r="C819" s="1">
        <v>60786.15</v>
      </c>
      <c r="D819" s="1">
        <v>60864.4</v>
      </c>
      <c r="E819" s="1">
        <v>60597.65</v>
      </c>
      <c r="F819" s="1">
        <v>60739.75</v>
      </c>
    </row>
    <row r="820" spans="1:6" x14ac:dyDescent="0.25">
      <c r="A820" s="1" t="s">
        <v>64</v>
      </c>
      <c r="B820" s="1">
        <v>46066</v>
      </c>
      <c r="C820" s="1">
        <v>60504.4</v>
      </c>
      <c r="D820" s="1">
        <v>60621.9</v>
      </c>
      <c r="E820" s="1">
        <v>60073.55</v>
      </c>
      <c r="F820" s="1">
        <v>60186.65</v>
      </c>
    </row>
    <row r="821" spans="1:6" x14ac:dyDescent="0.25">
      <c r="A821" s="1" t="s">
        <v>64</v>
      </c>
      <c r="B821" s="1">
        <v>46069</v>
      </c>
      <c r="C821" s="1">
        <v>59947.8</v>
      </c>
      <c r="D821" s="1">
        <v>61011.3</v>
      </c>
      <c r="E821" s="1">
        <v>59861.1</v>
      </c>
      <c r="F821" s="1">
        <v>60949.1</v>
      </c>
    </row>
    <row r="822" spans="1:6" x14ac:dyDescent="0.25">
      <c r="A822" s="1" t="s">
        <v>64</v>
      </c>
      <c r="B822" s="1">
        <v>46070</v>
      </c>
      <c r="C822" s="1">
        <v>60821.15</v>
      </c>
      <c r="D822" s="1">
        <v>61241.599999999999</v>
      </c>
      <c r="E822" s="1">
        <v>60560</v>
      </c>
      <c r="F822" s="1">
        <v>61174</v>
      </c>
    </row>
    <row r="823" spans="1:6" x14ac:dyDescent="0.25">
      <c r="A823" s="1" t="s">
        <v>64</v>
      </c>
      <c r="B823" s="1">
        <v>46071</v>
      </c>
      <c r="C823" s="1">
        <v>61255.35</v>
      </c>
      <c r="D823" s="1">
        <v>61596.85</v>
      </c>
      <c r="E823" s="1">
        <v>61100.9</v>
      </c>
      <c r="F823" s="1">
        <v>61550.8</v>
      </c>
    </row>
    <row r="824" spans="1:6" x14ac:dyDescent="0.25">
      <c r="A824" s="1" t="s">
        <v>64</v>
      </c>
      <c r="B824" s="1">
        <v>46072</v>
      </c>
      <c r="C824" s="1">
        <v>61660.85</v>
      </c>
      <c r="D824" s="1">
        <v>61678.8</v>
      </c>
      <c r="E824" s="1">
        <v>60592.9</v>
      </c>
      <c r="F824" s="1">
        <v>60739.55</v>
      </c>
    </row>
    <row r="825" spans="1:6" x14ac:dyDescent="0.25">
      <c r="A825" s="1" t="s">
        <v>64</v>
      </c>
      <c r="B825" s="1">
        <v>46073</v>
      </c>
      <c r="C825" s="1">
        <v>60627.85</v>
      </c>
      <c r="D825" s="1">
        <v>61360.5</v>
      </c>
      <c r="E825" s="1">
        <v>60562.35</v>
      </c>
      <c r="F825" s="1">
        <v>61172</v>
      </c>
    </row>
    <row r="826" spans="1:6" x14ac:dyDescent="0.25">
      <c r="A826" s="1" t="s">
        <v>64</v>
      </c>
      <c r="B826" s="1">
        <v>46076</v>
      </c>
      <c r="C826" s="1">
        <v>61145.55</v>
      </c>
      <c r="D826" s="1">
        <v>61517.8</v>
      </c>
      <c r="E826" s="1">
        <v>61029.15</v>
      </c>
      <c r="F826" s="1">
        <v>61264.25</v>
      </c>
    </row>
    <row r="827" spans="1:6" x14ac:dyDescent="0.25">
      <c r="A827" s="1" t="s">
        <v>64</v>
      </c>
      <c r="B827" s="1">
        <v>46077</v>
      </c>
      <c r="C827" s="1">
        <v>61392.1</v>
      </c>
      <c r="D827" s="1">
        <v>61435.65</v>
      </c>
      <c r="E827" s="1">
        <v>60801.85</v>
      </c>
      <c r="F827" s="1">
        <v>61047.3</v>
      </c>
    </row>
    <row r="828" spans="1:6" x14ac:dyDescent="0.25">
      <c r="A828" s="1" t="s">
        <v>64</v>
      </c>
      <c r="B828" s="1">
        <v>46078</v>
      </c>
      <c r="C828" s="1">
        <v>61175.05</v>
      </c>
      <c r="D828" s="1">
        <v>61317.55</v>
      </c>
      <c r="E828" s="1">
        <v>60816.75</v>
      </c>
      <c r="F828" s="1">
        <v>61043.35</v>
      </c>
    </row>
    <row r="829" spans="1:6" x14ac:dyDescent="0.25">
      <c r="A829" s="1" t="s">
        <v>64</v>
      </c>
      <c r="B829" s="1">
        <v>46079</v>
      </c>
      <c r="C829" s="1">
        <v>61193.9</v>
      </c>
      <c r="D829" s="1">
        <v>61284.75</v>
      </c>
      <c r="E829" s="1">
        <v>60813.3</v>
      </c>
      <c r="F829" s="1">
        <v>61187.7</v>
      </c>
    </row>
    <row r="830" spans="1:6" x14ac:dyDescent="0.25">
      <c r="A830" s="1" t="s">
        <v>64</v>
      </c>
      <c r="B830" s="1">
        <v>46080</v>
      </c>
      <c r="C830" s="1">
        <v>61057.45</v>
      </c>
      <c r="D830" s="1">
        <v>61086.45</v>
      </c>
      <c r="E830" s="1">
        <v>60438.95</v>
      </c>
      <c r="F830" s="1">
        <v>60529</v>
      </c>
    </row>
    <row r="831" spans="1:6" x14ac:dyDescent="0.25">
      <c r="A831" s="1" t="s">
        <v>64</v>
      </c>
      <c r="B831" s="1">
        <v>46083</v>
      </c>
      <c r="C831" s="1">
        <v>59204.3</v>
      </c>
      <c r="D831" s="1">
        <v>60177.5</v>
      </c>
      <c r="E831" s="1">
        <v>59148</v>
      </c>
      <c r="F831" s="1">
        <v>59839.65</v>
      </c>
    </row>
    <row r="832" spans="1:6" x14ac:dyDescent="0.25">
      <c r="A832" s="1" t="s">
        <v>64</v>
      </c>
      <c r="B832" s="1">
        <v>46085</v>
      </c>
      <c r="C832" s="1">
        <v>58447.15</v>
      </c>
      <c r="D832" s="1">
        <v>59058.400000000001</v>
      </c>
      <c r="E832" s="1">
        <v>58393.55</v>
      </c>
      <c r="F832" s="1">
        <v>58755.25</v>
      </c>
    </row>
    <row r="833" spans="1:6" x14ac:dyDescent="0.25">
      <c r="A833" s="1" t="s">
        <v>64</v>
      </c>
      <c r="B833" s="1">
        <v>46086</v>
      </c>
      <c r="C833" s="1">
        <v>59008.25</v>
      </c>
      <c r="D833" s="1">
        <v>59274.35</v>
      </c>
      <c r="E833" s="1">
        <v>58506.400000000001</v>
      </c>
      <c r="F833" s="1">
        <v>59055.85</v>
      </c>
    </row>
    <row r="834" spans="1:6" x14ac:dyDescent="0.25">
      <c r="A834" s="1" t="s">
        <v>64</v>
      </c>
      <c r="B834" s="1">
        <v>46087</v>
      </c>
      <c r="C834" s="1">
        <v>58629.599999999999</v>
      </c>
      <c r="D834" s="1">
        <v>58807.15</v>
      </c>
      <c r="E834" s="1">
        <v>57696.4</v>
      </c>
      <c r="F834" s="1">
        <v>57783.25</v>
      </c>
    </row>
    <row r="835" spans="1:6" x14ac:dyDescent="0.25">
      <c r="A835" s="1" t="s">
        <v>64</v>
      </c>
      <c r="B835" s="1">
        <v>46090</v>
      </c>
      <c r="C835" s="1">
        <v>56121.4</v>
      </c>
      <c r="D835" s="1">
        <v>56274.15</v>
      </c>
      <c r="E835" s="1">
        <v>55270.6</v>
      </c>
      <c r="F835" s="1">
        <v>56019.8</v>
      </c>
    </row>
    <row r="836" spans="1:6" x14ac:dyDescent="0.25">
      <c r="A836" s="1" t="s">
        <v>64</v>
      </c>
      <c r="B836" s="1">
        <v>46091</v>
      </c>
      <c r="C836" s="1">
        <v>56583.85</v>
      </c>
      <c r="D836" s="1">
        <v>57097.05</v>
      </c>
      <c r="E836" s="1">
        <v>56387.199999999997</v>
      </c>
      <c r="F836" s="1">
        <v>56950.8</v>
      </c>
    </row>
    <row r="837" spans="1:6" x14ac:dyDescent="0.25">
      <c r="A837" s="1" t="s">
        <v>64</v>
      </c>
      <c r="B837" s="1">
        <v>46092</v>
      </c>
      <c r="C837" s="1">
        <v>56790.400000000001</v>
      </c>
      <c r="D837" s="1">
        <v>56938.400000000001</v>
      </c>
      <c r="E837" s="1">
        <v>55631.95</v>
      </c>
      <c r="F837" s="1">
        <v>55735.75</v>
      </c>
    </row>
    <row r="838" spans="1:6" x14ac:dyDescent="0.25">
      <c r="A838" s="1" t="s">
        <v>64</v>
      </c>
      <c r="B838" s="1">
        <v>46093</v>
      </c>
      <c r="C838" s="1">
        <v>55008.2</v>
      </c>
      <c r="D838" s="1">
        <v>55636.95</v>
      </c>
      <c r="E838" s="1">
        <v>54760.55</v>
      </c>
      <c r="F838" s="1">
        <v>55100.95</v>
      </c>
    </row>
    <row r="839" spans="1:6" x14ac:dyDescent="0.25">
      <c r="A839" s="1" t="s">
        <v>64</v>
      </c>
      <c r="B839" s="1">
        <v>46094</v>
      </c>
      <c r="C839" s="1">
        <v>54592.05</v>
      </c>
      <c r="D839" s="1">
        <v>54713.75</v>
      </c>
      <c r="E839" s="1">
        <v>53675.7</v>
      </c>
      <c r="F839" s="1">
        <v>53757.85</v>
      </c>
    </row>
    <row r="840" spans="1:6" x14ac:dyDescent="0.25">
      <c r="A840" s="1" t="s">
        <v>64</v>
      </c>
      <c r="B840" s="1">
        <v>46097</v>
      </c>
      <c r="C840" s="1">
        <v>53721.5</v>
      </c>
      <c r="D840" s="1">
        <v>54664.15</v>
      </c>
      <c r="E840" s="1">
        <v>53258.15</v>
      </c>
      <c r="F840" s="1">
        <v>54413.4</v>
      </c>
    </row>
    <row r="841" spans="1:6" x14ac:dyDescent="0.25">
      <c r="A841" s="1" t="s">
        <v>64</v>
      </c>
      <c r="B841" s="1">
        <v>46098</v>
      </c>
      <c r="C841" s="1">
        <v>54649.1</v>
      </c>
      <c r="D841" s="1">
        <v>54996</v>
      </c>
      <c r="E841" s="1">
        <v>54113.15</v>
      </c>
      <c r="F841" s="1">
        <v>54876</v>
      </c>
    </row>
    <row r="842" spans="1:6" x14ac:dyDescent="0.25">
      <c r="A842" s="1" t="s">
        <v>64</v>
      </c>
      <c r="B842" s="1">
        <v>46099</v>
      </c>
      <c r="C842" s="1">
        <v>54927.05</v>
      </c>
      <c r="D842" s="1">
        <v>55554.15</v>
      </c>
      <c r="E842" s="1">
        <v>54689.1</v>
      </c>
      <c r="F842" s="1">
        <v>55326.05</v>
      </c>
    </row>
    <row r="843" spans="1:6" x14ac:dyDescent="0.25">
      <c r="A843" s="1" t="s">
        <v>64</v>
      </c>
      <c r="B843" s="1">
        <v>46100</v>
      </c>
      <c r="C843" s="1">
        <v>53474.55</v>
      </c>
      <c r="D843" s="1">
        <v>54150.3</v>
      </c>
      <c r="E843" s="1">
        <v>53240.6</v>
      </c>
      <c r="F843" s="1">
        <v>53451</v>
      </c>
    </row>
    <row r="844" spans="1:6" x14ac:dyDescent="0.25">
      <c r="A844" s="1" t="s">
        <v>64</v>
      </c>
      <c r="B844" s="1">
        <v>46101</v>
      </c>
      <c r="C844" s="1">
        <v>53548.2</v>
      </c>
      <c r="D844" s="1">
        <v>54382.45</v>
      </c>
      <c r="E844" s="1">
        <v>53297.55</v>
      </c>
      <c r="F844" s="1">
        <v>53427.05</v>
      </c>
    </row>
    <row r="845" spans="1:6" x14ac:dyDescent="0.25">
      <c r="A845" s="1" t="s">
        <v>64</v>
      </c>
      <c r="B845" s="1">
        <v>46104</v>
      </c>
      <c r="C845" s="1">
        <v>52576.1</v>
      </c>
      <c r="D845" s="1">
        <v>52665.3</v>
      </c>
      <c r="E845" s="1">
        <v>51323.6</v>
      </c>
      <c r="F845" s="1">
        <v>51437.75</v>
      </c>
    </row>
    <row r="846" spans="1:6" x14ac:dyDescent="0.25">
      <c r="A846" s="1" t="s">
        <v>64</v>
      </c>
      <c r="B846" s="1">
        <v>46105</v>
      </c>
      <c r="C846" s="1">
        <v>52384.800000000003</v>
      </c>
      <c r="D846" s="1">
        <v>52949.15</v>
      </c>
      <c r="E846" s="1">
        <v>51827.5</v>
      </c>
      <c r="F846" s="1">
        <v>52605.65</v>
      </c>
    </row>
    <row r="847" spans="1:6" x14ac:dyDescent="0.25">
      <c r="A847" s="1" t="s">
        <v>64</v>
      </c>
      <c r="B847" s="1">
        <v>46106</v>
      </c>
      <c r="C847" s="1">
        <v>53024.75</v>
      </c>
      <c r="D847" s="1">
        <v>54146.15</v>
      </c>
      <c r="E847" s="1">
        <v>53024.75</v>
      </c>
      <c r="F847" s="1">
        <v>53708.1</v>
      </c>
    </row>
    <row r="848" spans="1:6" x14ac:dyDescent="0.25">
      <c r="A848" s="1" t="s">
        <v>64</v>
      </c>
      <c r="B848" s="1">
        <v>46108</v>
      </c>
      <c r="C848" s="1">
        <v>53244.25</v>
      </c>
      <c r="D848" s="1">
        <v>53292.5</v>
      </c>
      <c r="E848" s="1">
        <v>52211.199999999997</v>
      </c>
      <c r="F848" s="1">
        <v>52274.6</v>
      </c>
    </row>
    <row r="849" spans="1:6" x14ac:dyDescent="0.25">
      <c r="A849" s="1" t="s">
        <v>64</v>
      </c>
      <c r="B849" s="1">
        <v>46111</v>
      </c>
      <c r="C849" s="1">
        <v>51527.9</v>
      </c>
      <c r="D849" s="1">
        <v>51624.5</v>
      </c>
      <c r="E849" s="1">
        <v>50105.25</v>
      </c>
      <c r="F849" s="1">
        <v>50275.35</v>
      </c>
    </row>
    <row r="850" spans="1:6" x14ac:dyDescent="0.25">
      <c r="A850" s="1" t="s">
        <v>64</v>
      </c>
      <c r="B850" s="1">
        <v>46113</v>
      </c>
      <c r="C850" s="1">
        <v>51433.9</v>
      </c>
      <c r="D850" s="1">
        <v>52025.85</v>
      </c>
      <c r="E850" s="1">
        <v>51133.55</v>
      </c>
      <c r="F850" s="1">
        <v>51448.65</v>
      </c>
    </row>
    <row r="851" spans="1:6" x14ac:dyDescent="0.25">
      <c r="A851" s="1" t="s">
        <v>64</v>
      </c>
      <c r="B851" s="1">
        <v>46114</v>
      </c>
      <c r="C851" s="1">
        <v>50625.65</v>
      </c>
      <c r="D851" s="1">
        <v>51731.95</v>
      </c>
      <c r="E851" s="1">
        <v>49954.85</v>
      </c>
      <c r="F851" s="1">
        <v>51548.75</v>
      </c>
    </row>
    <row r="852" spans="1:6" x14ac:dyDescent="0.25">
      <c r="A852" s="1" t="s">
        <v>64</v>
      </c>
      <c r="B852" s="1">
        <v>46118</v>
      </c>
      <c r="C852" s="1">
        <v>51747.6</v>
      </c>
      <c r="D852" s="1">
        <v>52704.55</v>
      </c>
      <c r="E852" s="1">
        <v>51111.1</v>
      </c>
      <c r="F852" s="1">
        <v>52609.1</v>
      </c>
    </row>
    <row r="853" spans="1:6" x14ac:dyDescent="0.25">
      <c r="A853" s="1" t="s">
        <v>64</v>
      </c>
      <c r="B853" s="1">
        <v>46119</v>
      </c>
      <c r="C853" s="1">
        <v>52258.7</v>
      </c>
      <c r="D853" s="1">
        <v>52778.2</v>
      </c>
      <c r="E853" s="1">
        <v>51868.45</v>
      </c>
      <c r="F853" s="1">
        <v>52716.25</v>
      </c>
    </row>
    <row r="854" spans="1:6" x14ac:dyDescent="0.25">
      <c r="A854" s="1" t="s">
        <v>64</v>
      </c>
      <c r="B854" s="1">
        <v>46120</v>
      </c>
      <c r="C854" s="1">
        <v>54904.45</v>
      </c>
      <c r="D854" s="1">
        <v>55778.25</v>
      </c>
      <c r="E854" s="1">
        <v>54797.5</v>
      </c>
      <c r="F854" s="1">
        <v>55703.9</v>
      </c>
    </row>
    <row r="855" spans="1:6" x14ac:dyDescent="0.25">
      <c r="A855" s="1" t="s">
        <v>64</v>
      </c>
      <c r="B855" s="1">
        <v>46121</v>
      </c>
      <c r="C855" s="1">
        <v>55505.95</v>
      </c>
      <c r="D855" s="1">
        <v>55583.1</v>
      </c>
      <c r="E855" s="1">
        <v>54626.85</v>
      </c>
      <c r="F855" s="1">
        <v>54821.7</v>
      </c>
    </row>
    <row r="856" spans="1:6" x14ac:dyDescent="0.25">
      <c r="A856" s="1" t="s">
        <v>64</v>
      </c>
      <c r="B856" s="1">
        <v>46122</v>
      </c>
      <c r="C856" s="1">
        <v>55182.25</v>
      </c>
      <c r="D856" s="1">
        <v>55978.5</v>
      </c>
      <c r="E856" s="1">
        <v>55145.25</v>
      </c>
      <c r="F856" s="1">
        <v>55912.75</v>
      </c>
    </row>
    <row r="857" spans="1:6" x14ac:dyDescent="0.25">
      <c r="A857" s="1" t="s">
        <v>64</v>
      </c>
      <c r="B857" s="1">
        <v>46125</v>
      </c>
      <c r="C857" s="1">
        <v>54646</v>
      </c>
      <c r="D857" s="1">
        <v>55752.65</v>
      </c>
      <c r="E857" s="1">
        <v>54356.2</v>
      </c>
      <c r="F857" s="1">
        <v>55605.05</v>
      </c>
    </row>
    <row r="858" spans="1:6" x14ac:dyDescent="0.25">
      <c r="A858" s="1" t="s">
        <v>64</v>
      </c>
      <c r="B858" s="1">
        <v>46127</v>
      </c>
      <c r="C858" s="1">
        <v>56343.45</v>
      </c>
      <c r="D858" s="1">
        <v>56786.25</v>
      </c>
      <c r="E858" s="1">
        <v>56109.2</v>
      </c>
      <c r="F858" s="1">
        <v>56301.95</v>
      </c>
    </row>
    <row r="859" spans="1:6" x14ac:dyDescent="0.25">
      <c r="A859" s="1" t="s">
        <v>64</v>
      </c>
      <c r="B859" s="1">
        <v>46128</v>
      </c>
      <c r="C859" s="1">
        <v>56657.25</v>
      </c>
      <c r="D859" s="1">
        <v>56834.25</v>
      </c>
      <c r="E859" s="1">
        <v>55898.25</v>
      </c>
      <c r="F859" s="1">
        <v>56086.400000000001</v>
      </c>
    </row>
    <row r="860" spans="1:6" x14ac:dyDescent="0.25">
      <c r="A860" s="1" t="s">
        <v>64</v>
      </c>
      <c r="B860" s="1">
        <v>46129</v>
      </c>
      <c r="C860" s="1">
        <v>56072.4</v>
      </c>
      <c r="D860" s="1">
        <v>56628.7</v>
      </c>
      <c r="E860" s="1">
        <v>55841.65</v>
      </c>
      <c r="F860" s="1">
        <v>56565.7</v>
      </c>
    </row>
    <row r="861" spans="1:6" x14ac:dyDescent="0.25">
      <c r="A861" s="1" t="s">
        <v>64</v>
      </c>
      <c r="B861" s="1">
        <v>46132</v>
      </c>
      <c r="C861" s="1">
        <v>56704.05</v>
      </c>
      <c r="D861" s="1">
        <v>57085.1</v>
      </c>
      <c r="E861" s="1">
        <v>56356.55</v>
      </c>
      <c r="F861" s="1">
        <v>56582.35</v>
      </c>
    </row>
    <row r="862" spans="1:6" x14ac:dyDescent="0.25">
      <c r="A862" s="1" t="s">
        <v>64</v>
      </c>
      <c r="B862" s="1">
        <v>46133</v>
      </c>
      <c r="C862" s="1">
        <v>56823.6</v>
      </c>
      <c r="D862" s="1">
        <v>57456.3</v>
      </c>
      <c r="E862" s="1">
        <v>56696.3</v>
      </c>
      <c r="F862" s="1">
        <v>57371.45</v>
      </c>
    </row>
    <row r="863" spans="1:6" x14ac:dyDescent="0.25">
      <c r="A863" s="1" t="s">
        <v>64</v>
      </c>
      <c r="B863" s="1">
        <v>46134</v>
      </c>
      <c r="C863" s="1">
        <v>57163.35</v>
      </c>
      <c r="D863" s="1">
        <v>57438.2</v>
      </c>
      <c r="E863" s="1">
        <v>57002.15</v>
      </c>
      <c r="F863" s="1">
        <v>57124.45</v>
      </c>
    </row>
    <row r="864" spans="1:6" x14ac:dyDescent="0.25">
      <c r="A864" s="1" t="s">
        <v>64</v>
      </c>
      <c r="B864" s="1">
        <v>46135</v>
      </c>
      <c r="C864" s="1">
        <v>56608.95</v>
      </c>
      <c r="D864" s="1">
        <v>56868.7</v>
      </c>
      <c r="E864" s="1">
        <v>56217.15</v>
      </c>
      <c r="F864" s="1">
        <v>56305</v>
      </c>
    </row>
    <row r="865" spans="1:6" x14ac:dyDescent="0.25">
      <c r="A865" s="1" t="s">
        <v>64</v>
      </c>
      <c r="B865" s="1">
        <v>46136</v>
      </c>
      <c r="C865" s="1">
        <v>56170.2</v>
      </c>
      <c r="D865" s="1">
        <v>56460.5</v>
      </c>
      <c r="E865" s="1">
        <v>55750.400000000001</v>
      </c>
      <c r="F865" s="1">
        <v>56089.75</v>
      </c>
    </row>
    <row r="866" spans="1:6" x14ac:dyDescent="0.25">
      <c r="A866" s="1" t="s">
        <v>64</v>
      </c>
      <c r="B866" s="1">
        <v>46139</v>
      </c>
      <c r="C866" s="1">
        <v>56162.6</v>
      </c>
      <c r="D866" s="1">
        <v>56474.95</v>
      </c>
      <c r="E866" s="1">
        <v>55911.1</v>
      </c>
      <c r="F866" s="1">
        <v>56264.3</v>
      </c>
    </row>
    <row r="867" spans="1:6" x14ac:dyDescent="0.25">
      <c r="A867" s="1" t="s">
        <v>64</v>
      </c>
      <c r="B867" s="1">
        <v>46140</v>
      </c>
      <c r="C867" s="1">
        <v>55862.5</v>
      </c>
      <c r="D867" s="1">
        <v>56138.05</v>
      </c>
      <c r="E867" s="1">
        <v>55263.75</v>
      </c>
      <c r="F867" s="1">
        <v>55400.35</v>
      </c>
    </row>
    <row r="868" spans="1:6" x14ac:dyDescent="0.25">
      <c r="A868" s="1" t="s">
        <v>64</v>
      </c>
      <c r="B868" s="1">
        <v>46141</v>
      </c>
      <c r="C868" s="1">
        <v>55634.5</v>
      </c>
      <c r="D868" s="1">
        <v>56178.75</v>
      </c>
      <c r="E868" s="1">
        <v>55290.5</v>
      </c>
      <c r="F868" s="1">
        <v>55403.6</v>
      </c>
    </row>
    <row r="869" spans="1:6" x14ac:dyDescent="0.25">
      <c r="A869" s="1" t="s">
        <v>64</v>
      </c>
      <c r="B869" s="1">
        <v>46142</v>
      </c>
      <c r="C869" s="1">
        <v>54880.65</v>
      </c>
      <c r="D869" s="1">
        <v>55111.6</v>
      </c>
      <c r="E869" s="1">
        <v>54440.25</v>
      </c>
      <c r="F869" s="1">
        <v>54863.35</v>
      </c>
    </row>
    <row r="870" spans="1:6" x14ac:dyDescent="0.25">
      <c r="A870" s="1" t="s">
        <v>64</v>
      </c>
      <c r="B870" s="1">
        <v>46146</v>
      </c>
      <c r="C870" s="1">
        <v>54937.9</v>
      </c>
      <c r="D870" s="1">
        <v>55602.3</v>
      </c>
      <c r="E870" s="1">
        <v>54723.5</v>
      </c>
      <c r="F870" s="1">
        <v>54878.5</v>
      </c>
    </row>
    <row r="871" spans="1:6" x14ac:dyDescent="0.25">
      <c r="A871" s="1" t="s">
        <v>64</v>
      </c>
      <c r="B871" s="1">
        <v>46147</v>
      </c>
      <c r="C871" s="1">
        <v>54691.3</v>
      </c>
      <c r="D871" s="1">
        <v>54888.55</v>
      </c>
      <c r="E871" s="1">
        <v>54221.65</v>
      </c>
      <c r="F871" s="1">
        <v>54547.05</v>
      </c>
    </row>
    <row r="872" spans="1:6" x14ac:dyDescent="0.25">
      <c r="A872" s="1" t="s">
        <v>64</v>
      </c>
      <c r="B872" s="1">
        <v>46148</v>
      </c>
      <c r="C872" s="1">
        <v>55113.4</v>
      </c>
      <c r="D872" s="1">
        <v>56078.8</v>
      </c>
      <c r="E872" s="1">
        <v>54587.199999999997</v>
      </c>
      <c r="F872" s="1">
        <v>55981.05</v>
      </c>
    </row>
    <row r="873" spans="1:6" x14ac:dyDescent="0.25">
      <c r="A873" s="1" t="s">
        <v>64</v>
      </c>
      <c r="B873" s="1">
        <v>46149</v>
      </c>
      <c r="C873" s="1">
        <v>56114</v>
      </c>
      <c r="D873" s="1">
        <v>56334.15</v>
      </c>
      <c r="E873" s="1">
        <v>55783.199999999997</v>
      </c>
      <c r="F873" s="1">
        <v>56047.4</v>
      </c>
    </row>
    <row r="874" spans="1:6" x14ac:dyDescent="0.25">
      <c r="A874" s="1" t="s">
        <v>64</v>
      </c>
      <c r="B874" s="1">
        <v>46150</v>
      </c>
      <c r="C874" s="1">
        <v>55783.95</v>
      </c>
      <c r="D874" s="1">
        <v>55797.7</v>
      </c>
      <c r="E874" s="1">
        <v>55062.5</v>
      </c>
      <c r="F874" s="1">
        <v>55310.55</v>
      </c>
    </row>
    <row r="875" spans="1:6" x14ac:dyDescent="0.25">
      <c r="A875" s="1" t="s">
        <v>64</v>
      </c>
      <c r="B875" s="1">
        <v>46153</v>
      </c>
      <c r="C875" s="1">
        <v>54832.45</v>
      </c>
      <c r="D875" s="1">
        <v>55002.45</v>
      </c>
      <c r="E875" s="1">
        <v>54360.7</v>
      </c>
      <c r="F875" s="1">
        <v>54439.9</v>
      </c>
    </row>
    <row r="876" spans="1:6" x14ac:dyDescent="0.25">
      <c r="A876" s="1" t="s">
        <v>64</v>
      </c>
      <c r="B876" s="1">
        <v>46154</v>
      </c>
      <c r="C876" s="1">
        <v>54178.400000000001</v>
      </c>
      <c r="D876" s="1">
        <v>54365.45</v>
      </c>
      <c r="E876" s="1">
        <v>53457.5</v>
      </c>
      <c r="F876" s="1">
        <v>53555.199999999997</v>
      </c>
    </row>
    <row r="877" spans="1:6" x14ac:dyDescent="0.25">
      <c r="A877" s="1" t="s">
        <v>64</v>
      </c>
      <c r="B877" s="1">
        <v>46155</v>
      </c>
      <c r="C877" s="1">
        <v>53600.4</v>
      </c>
      <c r="D877" s="1">
        <v>54103.9</v>
      </c>
      <c r="E877" s="1">
        <v>53194.25</v>
      </c>
      <c r="F877" s="1">
        <v>53456.15</v>
      </c>
    </row>
    <row r="878" spans="1:6" x14ac:dyDescent="0.25">
      <c r="A878" s="1" t="s">
        <v>64</v>
      </c>
      <c r="B878" s="1">
        <v>46156</v>
      </c>
      <c r="C878" s="1">
        <v>53639.5</v>
      </c>
      <c r="D878" s="1">
        <v>54393.75</v>
      </c>
      <c r="E878" s="1">
        <v>53191.6</v>
      </c>
      <c r="F878" s="1">
        <v>54128.95</v>
      </c>
    </row>
    <row r="879" spans="1:6" x14ac:dyDescent="0.25">
      <c r="A879" s="1" t="s">
        <v>64</v>
      </c>
      <c r="B879" s="1">
        <v>46157</v>
      </c>
      <c r="C879" s="1">
        <v>54207.75</v>
      </c>
      <c r="D879" s="1">
        <v>54325.45</v>
      </c>
      <c r="E879" s="1">
        <v>53628.3</v>
      </c>
      <c r="F879" s="1">
        <v>53710.35</v>
      </c>
    </row>
    <row r="880" spans="1:6" x14ac:dyDescent="0.25">
      <c r="A880" s="1" t="s">
        <v>64</v>
      </c>
      <c r="B880" s="1">
        <v>46160</v>
      </c>
      <c r="C880" s="1">
        <v>53282.15</v>
      </c>
      <c r="D880" s="1">
        <v>53667.55</v>
      </c>
      <c r="E880" s="1">
        <v>52783.45</v>
      </c>
      <c r="F880" s="1">
        <v>53537</v>
      </c>
    </row>
    <row r="881" spans="1:6" x14ac:dyDescent="0.25">
      <c r="A881" s="1" t="s">
        <v>64</v>
      </c>
      <c r="B881" s="1">
        <v>46161</v>
      </c>
      <c r="C881" s="1">
        <v>53553.75</v>
      </c>
      <c r="D881" s="1">
        <v>53770.65</v>
      </c>
      <c r="E881" s="1">
        <v>53337.05</v>
      </c>
      <c r="F881" s="1">
        <v>53409.15</v>
      </c>
    </row>
    <row r="882" spans="1:6" x14ac:dyDescent="0.25">
      <c r="A882" s="1" t="s">
        <v>64</v>
      </c>
      <c r="B882" s="1">
        <v>46162</v>
      </c>
      <c r="C882" s="1">
        <v>53015.7</v>
      </c>
      <c r="D882" s="1">
        <v>53640.9</v>
      </c>
      <c r="E882" s="1">
        <v>52836.1</v>
      </c>
      <c r="F882" s="1">
        <v>53562.2</v>
      </c>
    </row>
    <row r="883" spans="1:6" x14ac:dyDescent="0.25">
      <c r="A883" s="1" t="s">
        <v>64</v>
      </c>
      <c r="B883" s="1">
        <v>46163</v>
      </c>
      <c r="C883" s="1">
        <v>53963.1</v>
      </c>
      <c r="D883" s="1">
        <v>54109.15</v>
      </c>
      <c r="E883" s="1">
        <v>53156.15</v>
      </c>
      <c r="F883" s="1">
        <v>53439.4</v>
      </c>
    </row>
    <row r="884" spans="1:6" x14ac:dyDescent="0.25">
      <c r="A884" s="1" t="s">
        <v>64</v>
      </c>
      <c r="B884" s="1">
        <v>46164</v>
      </c>
      <c r="C884" s="1">
        <v>53483.85</v>
      </c>
      <c r="D884" s="1">
        <v>54213.05</v>
      </c>
      <c r="E884" s="1">
        <v>53483.55</v>
      </c>
      <c r="F884" s="1">
        <v>54055.35</v>
      </c>
    </row>
    <row r="885" spans="1:6" x14ac:dyDescent="0.25">
      <c r="A885" s="1" t="s">
        <v>64</v>
      </c>
      <c r="B885" s="1">
        <v>46167</v>
      </c>
      <c r="C885" s="1">
        <v>54610.55</v>
      </c>
      <c r="D885" s="1">
        <v>55405.2</v>
      </c>
      <c r="E885" s="1">
        <v>54590.7</v>
      </c>
      <c r="F885" s="1">
        <v>55293.65</v>
      </c>
    </row>
    <row r="886" spans="1:6" x14ac:dyDescent="0.25">
      <c r="A886" s="1" t="s">
        <v>64</v>
      </c>
      <c r="B886" s="1">
        <v>46168</v>
      </c>
      <c r="C886" s="1">
        <v>55311.8</v>
      </c>
      <c r="D886" s="1">
        <v>55536.800000000003</v>
      </c>
      <c r="E886" s="1">
        <v>54979.75</v>
      </c>
      <c r="F886" s="1">
        <v>55092.9</v>
      </c>
    </row>
    <row r="887" spans="1:6" x14ac:dyDescent="0.25">
      <c r="A887" s="1" t="s">
        <v>64</v>
      </c>
      <c r="B887" s="1">
        <v>46169</v>
      </c>
      <c r="C887" s="1">
        <v>54992.95</v>
      </c>
      <c r="D887" s="1">
        <v>55221.7</v>
      </c>
      <c r="E887" s="1">
        <v>54738.6</v>
      </c>
      <c r="F887" s="1">
        <v>54853.85</v>
      </c>
    </row>
    <row r="888" spans="1:6" x14ac:dyDescent="0.25">
      <c r="A888" s="1" t="s">
        <v>64</v>
      </c>
      <c r="B888" s="1">
        <v>46171</v>
      </c>
      <c r="C888" s="1">
        <v>54748.3</v>
      </c>
      <c r="D888" s="1">
        <v>55184.45</v>
      </c>
      <c r="E888" s="1">
        <v>54116.15</v>
      </c>
      <c r="F888" s="1">
        <v>54239.199999999997</v>
      </c>
    </row>
    <row r="889" spans="1:6" x14ac:dyDescent="0.25">
      <c r="A889" s="1" t="s">
        <v>64</v>
      </c>
      <c r="B889" s="1">
        <v>46174</v>
      </c>
      <c r="C889" s="1">
        <v>54403.85</v>
      </c>
      <c r="D889" s="1">
        <v>54582.75</v>
      </c>
      <c r="E889" s="1">
        <v>53470</v>
      </c>
      <c r="F889" s="1">
        <v>53643.1</v>
      </c>
    </row>
    <row r="890" spans="1:6" x14ac:dyDescent="0.25">
      <c r="A890" s="1" t="s">
        <v>64</v>
      </c>
      <c r="B890" s="1">
        <v>46175</v>
      </c>
      <c r="C890" s="1">
        <v>53265.1</v>
      </c>
      <c r="D890" s="1">
        <v>53933.55</v>
      </c>
      <c r="E890" s="1">
        <v>53121.85</v>
      </c>
      <c r="F890" s="1">
        <v>53714.65</v>
      </c>
    </row>
    <row r="891" spans="1:6" x14ac:dyDescent="0.25">
      <c r="A891" s="1" t="s">
        <v>64</v>
      </c>
      <c r="B891" s="1">
        <v>46176</v>
      </c>
      <c r="C891" s="1">
        <v>53541.1</v>
      </c>
      <c r="D891" s="1">
        <v>54299.35</v>
      </c>
      <c r="E891" s="1">
        <v>53027.15</v>
      </c>
      <c r="F891" s="1">
        <v>54185.95</v>
      </c>
    </row>
    <row r="892" spans="1:6" x14ac:dyDescent="0.25">
      <c r="A892" s="1" t="s">
        <v>64</v>
      </c>
      <c r="B892" s="1">
        <v>46177</v>
      </c>
      <c r="C892" s="1">
        <v>53918.85</v>
      </c>
      <c r="D892" s="1">
        <v>54461</v>
      </c>
      <c r="E892" s="1">
        <v>53829.4</v>
      </c>
      <c r="F892" s="1">
        <v>54307.85</v>
      </c>
    </row>
    <row r="893" spans="1:6" x14ac:dyDescent="0.25">
      <c r="A893" s="1" t="s">
        <v>64</v>
      </c>
      <c r="B893" s="1">
        <v>46178</v>
      </c>
      <c r="C893" s="1">
        <v>54405.2</v>
      </c>
      <c r="D893" s="1">
        <v>54865.5</v>
      </c>
      <c r="E893" s="1">
        <v>54140.6</v>
      </c>
      <c r="F893" s="1">
        <v>54496.25</v>
      </c>
    </row>
    <row r="894" spans="1:6" x14ac:dyDescent="0.25">
      <c r="A894" s="1" t="s">
        <v>64</v>
      </c>
      <c r="B894" s="1">
        <v>46181</v>
      </c>
      <c r="C894" s="1">
        <v>53853.45</v>
      </c>
      <c r="D894" s="1">
        <v>54455.199999999997</v>
      </c>
      <c r="E894" s="1">
        <v>53843.3</v>
      </c>
      <c r="F894" s="1">
        <v>54063.75</v>
      </c>
    </row>
    <row r="895" spans="1:6" x14ac:dyDescent="0.25">
      <c r="A895" s="1" t="s">
        <v>64</v>
      </c>
      <c r="B895" s="1">
        <v>46182</v>
      </c>
      <c r="C895" s="1">
        <v>54265</v>
      </c>
      <c r="D895" s="1">
        <v>55318.35</v>
      </c>
      <c r="E895" s="1">
        <v>54242.3</v>
      </c>
      <c r="F895" s="1">
        <v>55194.5</v>
      </c>
    </row>
    <row r="896" spans="1:6" x14ac:dyDescent="0.25">
      <c r="A896" s="1" t="s">
        <v>64</v>
      </c>
      <c r="B896" s="1">
        <v>46183</v>
      </c>
      <c r="C896" s="1">
        <v>55110.5</v>
      </c>
      <c r="D896" s="1">
        <v>55555.85</v>
      </c>
      <c r="E896" s="1">
        <v>55026.15</v>
      </c>
      <c r="F896" s="1">
        <v>55100.3</v>
      </c>
    </row>
    <row r="897" spans="1:6" x14ac:dyDescent="0.25">
      <c r="A897" s="1" t="s">
        <v>64</v>
      </c>
      <c r="B897" s="1">
        <v>46184</v>
      </c>
      <c r="C897" s="1">
        <v>54779.65</v>
      </c>
      <c r="D897" s="1">
        <v>55600.15</v>
      </c>
      <c r="E897" s="1">
        <v>54753.15</v>
      </c>
      <c r="F897" s="1">
        <v>55176.75</v>
      </c>
    </row>
    <row r="898" spans="1:6" x14ac:dyDescent="0.25">
      <c r="A898" s="1" t="s">
        <v>64</v>
      </c>
      <c r="B898" s="1">
        <v>46185</v>
      </c>
      <c r="C898" s="1">
        <v>55934.1</v>
      </c>
      <c r="D898" s="1">
        <v>56867.1</v>
      </c>
      <c r="E898" s="1">
        <v>55726.55</v>
      </c>
      <c r="F898" s="1">
        <v>56814.8</v>
      </c>
    </row>
    <row r="899" spans="1:6" x14ac:dyDescent="0.25">
      <c r="A899" s="1" t="s">
        <v>64</v>
      </c>
      <c r="B899" s="1">
        <v>46188</v>
      </c>
      <c r="C899" s="1">
        <v>57679.65</v>
      </c>
      <c r="D899" s="1">
        <v>57804.5</v>
      </c>
      <c r="E899" s="1">
        <v>57119.199999999997</v>
      </c>
      <c r="F899" s="1">
        <v>57198.8</v>
      </c>
    </row>
    <row r="900" spans="1:6" x14ac:dyDescent="0.25">
      <c r="A900" s="1" t="s">
        <v>64</v>
      </c>
      <c r="B900" s="1">
        <v>46189</v>
      </c>
      <c r="C900" s="1">
        <v>57320.1</v>
      </c>
      <c r="D900" s="1">
        <v>57399.7</v>
      </c>
      <c r="E900" s="1">
        <v>57076.25</v>
      </c>
      <c r="F900" s="1">
        <v>57297.15</v>
      </c>
    </row>
    <row r="901" spans="1:6" x14ac:dyDescent="0.25">
      <c r="A901" s="1" t="s">
        <v>64</v>
      </c>
      <c r="B901" s="1">
        <v>46190</v>
      </c>
      <c r="C901" s="1">
        <v>57434.05</v>
      </c>
      <c r="D901" s="1">
        <v>57646.15</v>
      </c>
      <c r="E901" s="1">
        <v>57222.400000000001</v>
      </c>
      <c r="F901" s="1">
        <v>57585.05</v>
      </c>
    </row>
    <row r="902" spans="1:6" x14ac:dyDescent="0.25">
      <c r="A902" s="1" t="s">
        <v>64</v>
      </c>
      <c r="B902" s="1">
        <v>46191</v>
      </c>
      <c r="C902" s="1">
        <v>57596.45</v>
      </c>
      <c r="D902" s="1">
        <v>58021.25</v>
      </c>
      <c r="E902" s="1">
        <v>57583.199999999997</v>
      </c>
      <c r="F902" s="1">
        <v>57963.8</v>
      </c>
    </row>
    <row r="903" spans="1:6" x14ac:dyDescent="0.25">
      <c r="A903" s="1" t="s">
        <v>64</v>
      </c>
      <c r="B903" s="1">
        <v>46192</v>
      </c>
      <c r="C903" s="1">
        <v>57754.95</v>
      </c>
      <c r="D903" s="1">
        <v>57804.9</v>
      </c>
      <c r="E903" s="1">
        <v>57464.55</v>
      </c>
      <c r="F903" s="1">
        <v>57685.75</v>
      </c>
    </row>
    <row r="904" spans="1:6" x14ac:dyDescent="0.25">
      <c r="A904" s="1" t="s">
        <v>64</v>
      </c>
      <c r="B904" s="1">
        <v>46195</v>
      </c>
      <c r="C904" s="1">
        <v>57906.9</v>
      </c>
      <c r="D904" s="1">
        <v>58009.1</v>
      </c>
      <c r="E904" s="1">
        <v>57720.1</v>
      </c>
      <c r="F904" s="1">
        <v>57935.6</v>
      </c>
    </row>
    <row r="905" spans="1:6" x14ac:dyDescent="0.25">
      <c r="A905" s="1" t="s">
        <v>64</v>
      </c>
      <c r="B905" s="1">
        <v>46196</v>
      </c>
      <c r="C905" s="1">
        <v>57886.75</v>
      </c>
      <c r="D905" s="1">
        <v>57970.9</v>
      </c>
      <c r="E905" s="1">
        <v>57078.45</v>
      </c>
      <c r="F905" s="1">
        <v>57183.75</v>
      </c>
    </row>
    <row r="906" spans="1:6" x14ac:dyDescent="0.25">
      <c r="A906" s="1" t="s">
        <v>64</v>
      </c>
      <c r="B906" s="1">
        <v>46197</v>
      </c>
      <c r="C906" s="1">
        <v>57074.9</v>
      </c>
      <c r="D906" s="1">
        <v>58256.35</v>
      </c>
      <c r="E906" s="1">
        <v>57074.9</v>
      </c>
      <c r="F906" s="1">
        <v>58150.35</v>
      </c>
    </row>
    <row r="907" spans="1:6" x14ac:dyDescent="0.25">
      <c r="A907" s="1" t="s">
        <v>64</v>
      </c>
      <c r="B907" s="1">
        <v>46198</v>
      </c>
      <c r="C907" s="1">
        <v>58493.85</v>
      </c>
      <c r="D907" s="1">
        <v>58706.05</v>
      </c>
      <c r="E907" s="1">
        <v>58109.85</v>
      </c>
      <c r="F907" s="1">
        <v>58177.05</v>
      </c>
    </row>
    <row r="908" spans="1:6" x14ac:dyDescent="0.25">
      <c r="A908" s="1" t="s">
        <v>64</v>
      </c>
      <c r="B908" s="1">
        <v>46202</v>
      </c>
      <c r="C908" s="1">
        <v>58191.45</v>
      </c>
      <c r="D908" s="1">
        <v>58318.05</v>
      </c>
      <c r="E908" s="1">
        <v>57637.25</v>
      </c>
      <c r="F908" s="1">
        <v>57727.35</v>
      </c>
    </row>
    <row r="909" spans="1:6" x14ac:dyDescent="0.25">
      <c r="A909" s="1" t="s">
        <v>64</v>
      </c>
      <c r="B909" s="1">
        <v>46203</v>
      </c>
      <c r="C909" s="1">
        <v>58011.95</v>
      </c>
      <c r="D909" s="1">
        <v>58011.95</v>
      </c>
      <c r="E909" s="1">
        <v>57456.65</v>
      </c>
      <c r="F909" s="1">
        <v>57542.9</v>
      </c>
    </row>
    <row r="910" spans="1:6" x14ac:dyDescent="0.25">
      <c r="A910" s="1" t="s">
        <v>64</v>
      </c>
      <c r="B910" s="1">
        <v>46204</v>
      </c>
      <c r="C910" s="1">
        <v>57573.35</v>
      </c>
      <c r="D910" s="1">
        <v>58134.15</v>
      </c>
      <c r="E910" s="1">
        <v>57487.85</v>
      </c>
      <c r="F910" s="1">
        <v>58033.05</v>
      </c>
    </row>
    <row r="911" spans="1:6" x14ac:dyDescent="0.25">
      <c r="A911" s="1" t="s">
        <v>64</v>
      </c>
      <c r="B911" s="1">
        <v>46205</v>
      </c>
      <c r="C911" s="1">
        <v>58134.5</v>
      </c>
      <c r="D911" s="1">
        <v>58396.1</v>
      </c>
      <c r="E911" s="1">
        <v>57884.6</v>
      </c>
      <c r="F911" s="1">
        <v>58031.65</v>
      </c>
    </row>
    <row r="912" spans="1:6" x14ac:dyDescent="0.25">
      <c r="A912" s="1" t="s">
        <v>64</v>
      </c>
      <c r="B912" s="1">
        <v>46206</v>
      </c>
      <c r="C912" s="1">
        <v>58343.25</v>
      </c>
      <c r="D912" s="1">
        <v>58343.25</v>
      </c>
      <c r="E912" s="1">
        <v>57799.05</v>
      </c>
      <c r="F912" s="1">
        <v>57938.5</v>
      </c>
    </row>
    <row r="913" spans="1:6" x14ac:dyDescent="0.25">
      <c r="A913" s="1" t="s">
        <v>64</v>
      </c>
      <c r="B913" s="1">
        <v>46209</v>
      </c>
      <c r="C913" s="1">
        <v>57983.9</v>
      </c>
      <c r="D913" s="1">
        <v>58477.3</v>
      </c>
      <c r="E913" s="1">
        <v>57938.65</v>
      </c>
      <c r="F913" s="1">
        <v>58291.5</v>
      </c>
    </row>
    <row r="914" spans="1:6" x14ac:dyDescent="0.25">
      <c r="A914" s="1" t="s">
        <v>64</v>
      </c>
      <c r="B914" s="1">
        <v>46210</v>
      </c>
      <c r="C914" s="1">
        <v>58567.85</v>
      </c>
      <c r="D914" s="1">
        <v>58581.1</v>
      </c>
      <c r="E914" s="1">
        <v>58110.1</v>
      </c>
      <c r="F914" s="1">
        <v>58200.7</v>
      </c>
    </row>
    <row r="915" spans="1:6" x14ac:dyDescent="0.25">
      <c r="A915" s="1" t="s">
        <v>64</v>
      </c>
      <c r="B915" s="1">
        <v>46211</v>
      </c>
      <c r="C915" s="1">
        <v>57918.25</v>
      </c>
      <c r="D915" s="1">
        <v>58075.6</v>
      </c>
      <c r="E915" s="1">
        <v>56549.4</v>
      </c>
      <c r="F915" s="1">
        <v>56742.6</v>
      </c>
    </row>
    <row r="916" spans="1:6" x14ac:dyDescent="0.25">
      <c r="A916" s="1" t="s">
        <v>64</v>
      </c>
      <c r="B916" s="1">
        <v>46212</v>
      </c>
      <c r="C916" s="1">
        <v>56871</v>
      </c>
      <c r="D916" s="1">
        <v>57464.2</v>
      </c>
      <c r="E916" s="1">
        <v>56867.3</v>
      </c>
      <c r="F916" s="1">
        <v>57252.45</v>
      </c>
    </row>
    <row r="917" spans="1:6" x14ac:dyDescent="0.25">
      <c r="A917" s="1" t="s">
        <v>64</v>
      </c>
      <c r="B917" s="1">
        <v>46213</v>
      </c>
      <c r="C917" s="1">
        <v>57592.5</v>
      </c>
      <c r="D917" s="1">
        <v>58251.95</v>
      </c>
      <c r="E917" s="1">
        <v>57576.7</v>
      </c>
      <c r="F917" s="1">
        <v>58045.9</v>
      </c>
    </row>
    <row r="918" spans="1:6" x14ac:dyDescent="0.25">
      <c r="A918" s="1" t="s">
        <v>64</v>
      </c>
      <c r="B918" s="1">
        <v>46216</v>
      </c>
      <c r="C918" s="1">
        <v>57616.7</v>
      </c>
      <c r="D918" s="1">
        <v>58219.9</v>
      </c>
      <c r="E918" s="1">
        <v>57492.05</v>
      </c>
      <c r="F918" s="1">
        <v>58131.45</v>
      </c>
    </row>
    <row r="919" spans="1:6" x14ac:dyDescent="0.25">
      <c r="A919" s="1" t="s">
        <v>64</v>
      </c>
      <c r="B919" s="1">
        <v>46217</v>
      </c>
      <c r="C919" s="1">
        <v>57832.55</v>
      </c>
      <c r="D919" s="1">
        <v>57840.05</v>
      </c>
      <c r="E919" s="1">
        <v>57286.9</v>
      </c>
      <c r="F919" s="1">
        <v>57462.3</v>
      </c>
    </row>
    <row r="920" spans="1:6" x14ac:dyDescent="0.25">
      <c r="A920" s="1" t="s">
        <v>64</v>
      </c>
      <c r="B920" s="1">
        <v>46218</v>
      </c>
      <c r="C920" s="1">
        <v>57643.75</v>
      </c>
      <c r="D920" s="1">
        <v>58148.800000000003</v>
      </c>
      <c r="E920" s="1">
        <v>57545.2</v>
      </c>
      <c r="F920" s="1">
        <v>57757.85</v>
      </c>
    </row>
    <row r="921" spans="1:6" x14ac:dyDescent="0.25">
      <c r="A921" s="1" t="s">
        <v>64</v>
      </c>
      <c r="B921" s="1">
        <v>46219</v>
      </c>
      <c r="C921" s="1">
        <v>57831.1</v>
      </c>
      <c r="D921" s="1">
        <v>57931.3</v>
      </c>
      <c r="E921" s="1">
        <v>57420.15</v>
      </c>
      <c r="F921" s="1">
        <v>57582.25</v>
      </c>
    </row>
    <row r="922" spans="1:6" x14ac:dyDescent="0.25">
      <c r="A922" s="1" t="s">
        <v>64</v>
      </c>
      <c r="B922" s="1">
        <v>46220</v>
      </c>
      <c r="C922" s="1">
        <v>57662</v>
      </c>
      <c r="D922" s="1">
        <v>58596.85</v>
      </c>
      <c r="E922" s="1">
        <v>57542.15</v>
      </c>
      <c r="F922" s="1">
        <v>58521.4</v>
      </c>
    </row>
    <row r="923" spans="1:6" x14ac:dyDescent="0.25">
      <c r="A923" s="1" t="s">
        <v>64</v>
      </c>
      <c r="B923" s="1">
        <v>46223</v>
      </c>
      <c r="C923" s="1">
        <v>57738.25</v>
      </c>
      <c r="D923" s="1">
        <v>58111</v>
      </c>
      <c r="E923" s="1">
        <v>57533.1</v>
      </c>
      <c r="F923" s="1">
        <v>57945</v>
      </c>
    </row>
    <row r="924" spans="1:6" x14ac:dyDescent="0.25">
      <c r="A924" s="1" t="s">
        <v>64</v>
      </c>
      <c r="B924" s="1">
        <v>46224</v>
      </c>
      <c r="C924" s="1">
        <v>57853.75</v>
      </c>
      <c r="D924" s="1">
        <v>58228.65</v>
      </c>
      <c r="E924" s="1">
        <v>57803.85</v>
      </c>
      <c r="F924" s="1">
        <v>57835.35</v>
      </c>
    </row>
    <row r="925" spans="1:6" x14ac:dyDescent="0.25">
      <c r="A925" s="1" t="s">
        <v>64</v>
      </c>
      <c r="B925" s="1">
        <v>46225</v>
      </c>
      <c r="C925" s="1">
        <v>57768.4</v>
      </c>
      <c r="D925" s="1">
        <v>57824</v>
      </c>
      <c r="E925" s="1">
        <v>56970.6</v>
      </c>
      <c r="F925" s="1">
        <v>57126.8</v>
      </c>
    </row>
    <row r="926" spans="1:6" x14ac:dyDescent="0.25">
      <c r="A926" s="1" t="s">
        <v>64</v>
      </c>
      <c r="B926" s="1">
        <v>46226</v>
      </c>
      <c r="C926" s="1">
        <v>56796.95</v>
      </c>
      <c r="D926" s="1">
        <v>56930.15</v>
      </c>
      <c r="E926" s="1">
        <v>56374.75</v>
      </c>
      <c r="F926" s="1">
        <v>56592</v>
      </c>
    </row>
    <row r="927" spans="1:6" x14ac:dyDescent="0.25">
      <c r="A927" s="1" t="s">
        <v>64</v>
      </c>
      <c r="B927" s="1">
        <v>46227</v>
      </c>
      <c r="C927" s="1">
        <v>56169.4</v>
      </c>
      <c r="D927" s="1">
        <v>56831.45</v>
      </c>
      <c r="E927" s="1">
        <v>56023.6</v>
      </c>
      <c r="F927" s="1">
        <v>56693.5</v>
      </c>
    </row>
    <row r="928" spans="1:6" x14ac:dyDescent="0.25">
      <c r="A928" s="1" t="s">
        <v>64</v>
      </c>
      <c r="B928" s="1">
        <v>46230</v>
      </c>
      <c r="C928" s="1">
        <v>57116.800000000003</v>
      </c>
      <c r="D928" s="1">
        <v>57330.05</v>
      </c>
      <c r="E928" s="1">
        <v>56928.65</v>
      </c>
      <c r="F928" s="1">
        <v>57087.199999999997</v>
      </c>
    </row>
    <row r="929" spans="1:6" x14ac:dyDescent="0.25">
      <c r="A929" s="1" t="s">
        <v>64</v>
      </c>
      <c r="B929" s="1">
        <v>46231</v>
      </c>
      <c r="C929" s="1">
        <v>56883.55</v>
      </c>
      <c r="D929" s="1">
        <v>57054.2</v>
      </c>
      <c r="E929" s="1">
        <v>56672.4</v>
      </c>
      <c r="F929" s="1">
        <v>56755.6</v>
      </c>
    </row>
    <row r="930" spans="1:6" x14ac:dyDescent="0.25">
      <c r="A930" s="1" t="s">
        <v>64</v>
      </c>
      <c r="B930" s="1">
        <v>46232</v>
      </c>
      <c r="C930" s="1">
        <v>57126.6</v>
      </c>
      <c r="D930" s="1">
        <v>57315.95</v>
      </c>
      <c r="E930" s="1">
        <v>56939.35</v>
      </c>
      <c r="F930" s="1">
        <v>57205.9</v>
      </c>
    </row>
    <row r="931" spans="1:6" x14ac:dyDescent="0.25">
      <c r="A931" s="1" t="s">
        <v>64</v>
      </c>
      <c r="B931" s="1">
        <v>46233</v>
      </c>
      <c r="C931" s="1">
        <v>57127.05</v>
      </c>
      <c r="D931" s="1">
        <v>57236.65</v>
      </c>
      <c r="E931" s="1">
        <v>56768.6</v>
      </c>
      <c r="F931" s="1">
        <v>57147.5</v>
      </c>
    </row>
    <row r="932" spans="1:6" x14ac:dyDescent="0.25">
      <c r="A932" s="1" t="s">
        <v>64</v>
      </c>
      <c r="B932" s="1">
        <v>46234</v>
      </c>
      <c r="C932" s="1">
        <v>57225.9</v>
      </c>
      <c r="D932" s="1">
        <v>57411.25</v>
      </c>
      <c r="E932" s="1">
        <v>57139.6</v>
      </c>
      <c r="F932" s="1">
        <v>57264.85</v>
      </c>
    </row>
    <row r="933" spans="1:6" x14ac:dyDescent="0.25">
      <c r="A933" s="1" t="s">
        <v>64</v>
      </c>
      <c r="B933" s="1">
        <v>46237</v>
      </c>
      <c r="C933" s="1">
        <v>57569.599999999999</v>
      </c>
      <c r="D933" s="1">
        <v>58247.95</v>
      </c>
      <c r="E933" s="1">
        <v>57465.95</v>
      </c>
      <c r="F933" s="1">
        <v>58247.95</v>
      </c>
    </row>
    <row r="934" spans="1:6" x14ac:dyDescent="0.25">
      <c r="A934" s="1" t="s">
        <v>64</v>
      </c>
      <c r="B934" s="1">
        <v>46238</v>
      </c>
      <c r="C934" s="1">
        <v>58068.95</v>
      </c>
      <c r="D934" s="1">
        <v>58068.95</v>
      </c>
      <c r="E934" s="1">
        <v>57352.65</v>
      </c>
      <c r="F934" s="1">
        <v>57907.199999999997</v>
      </c>
    </row>
    <row r="935" spans="1:6" x14ac:dyDescent="0.25">
      <c r="A935" s="1" t="s">
        <v>64</v>
      </c>
      <c r="B935" s="1">
        <v>46239</v>
      </c>
      <c r="C935" s="1">
        <v>57810.05</v>
      </c>
      <c r="D935" s="1">
        <v>57931.85</v>
      </c>
      <c r="E935" s="1">
        <v>57456.35</v>
      </c>
      <c r="F935" s="1">
        <v>57739.95</v>
      </c>
    </row>
    <row r="936" spans="1:6" x14ac:dyDescent="0.25">
      <c r="A936" s="1" t="s">
        <v>64</v>
      </c>
      <c r="B936" s="1">
        <v>46240</v>
      </c>
      <c r="C936" s="1">
        <v>57815</v>
      </c>
      <c r="D936" s="1">
        <v>58076.85</v>
      </c>
      <c r="E936" s="1">
        <v>57714.7</v>
      </c>
      <c r="F936" s="1">
        <v>58063.65</v>
      </c>
    </row>
    <row r="937" spans="1:6" x14ac:dyDescent="0.25">
      <c r="A937" s="1" t="s">
        <v>64</v>
      </c>
      <c r="B937" s="1">
        <v>46241</v>
      </c>
      <c r="C937" s="1">
        <v>57882</v>
      </c>
      <c r="D937" s="1">
        <v>57994.45</v>
      </c>
      <c r="E937" s="1">
        <v>57686.55</v>
      </c>
      <c r="F937" s="1">
        <v>57746.45</v>
      </c>
    </row>
    <row r="938" spans="1:6" x14ac:dyDescent="0.25">
      <c r="A938" s="1" t="s">
        <v>64</v>
      </c>
      <c r="B938" s="1">
        <v>46244</v>
      </c>
      <c r="C938" s="1">
        <v>57812.3</v>
      </c>
      <c r="D938" s="1">
        <v>58015.85</v>
      </c>
      <c r="E938" s="1">
        <v>57527.75</v>
      </c>
      <c r="F938" s="1">
        <v>57686.95</v>
      </c>
    </row>
    <row r="939" spans="1:6" x14ac:dyDescent="0.25">
      <c r="A939" s="1" t="s">
        <v>64</v>
      </c>
      <c r="B939" s="1">
        <v>46245</v>
      </c>
      <c r="C939" s="1">
        <v>57604.35</v>
      </c>
      <c r="D939" s="1">
        <v>57607.25</v>
      </c>
      <c r="E939" s="1">
        <v>57158.1</v>
      </c>
      <c r="F939" s="1">
        <v>57446.25</v>
      </c>
    </row>
    <row r="940" spans="1:6" x14ac:dyDescent="0.25">
      <c r="A940" s="1" t="s">
        <v>64</v>
      </c>
      <c r="B940" s="1">
        <v>46246</v>
      </c>
      <c r="C940" s="1">
        <v>57391.8</v>
      </c>
      <c r="D940" s="1">
        <v>57885.85</v>
      </c>
      <c r="E940" s="1">
        <v>57254</v>
      </c>
      <c r="F940" s="1">
        <v>57885.85</v>
      </c>
    </row>
    <row r="941" spans="1:6" x14ac:dyDescent="0.25">
      <c r="A941" s="1" t="s">
        <v>64</v>
      </c>
      <c r="B941" s="1">
        <v>46247</v>
      </c>
      <c r="C941" s="1">
        <v>57799.15</v>
      </c>
      <c r="D941" s="1">
        <v>57799.15</v>
      </c>
      <c r="E941" s="1">
        <v>57548.6</v>
      </c>
      <c r="F941" s="1">
        <v>57635.25</v>
      </c>
    </row>
    <row r="942" spans="1:6" x14ac:dyDescent="0.25">
      <c r="A942" s="1" t="s">
        <v>64</v>
      </c>
      <c r="B942" s="1">
        <v>46248</v>
      </c>
      <c r="C942" s="1">
        <v>57589.75</v>
      </c>
      <c r="D942" s="1">
        <v>57681.45</v>
      </c>
      <c r="E942" s="1">
        <v>57380.45</v>
      </c>
      <c r="F942" s="1">
        <v>57491.1</v>
      </c>
    </row>
    <row r="943" spans="1:6" x14ac:dyDescent="0.25">
      <c r="A943" s="1" t="s">
        <v>64</v>
      </c>
      <c r="B943" s="1">
        <v>46251</v>
      </c>
      <c r="C943" s="1">
        <v>57418.3</v>
      </c>
      <c r="D943" s="1">
        <v>57757.25</v>
      </c>
      <c r="E943" s="1">
        <v>57119.6</v>
      </c>
      <c r="F943" s="1">
        <v>57497.8</v>
      </c>
    </row>
    <row r="944" spans="1:6" x14ac:dyDescent="0.25">
      <c r="A944" s="1" t="s">
        <v>64</v>
      </c>
      <c r="B944" s="1">
        <v>46252</v>
      </c>
      <c r="C944" s="1">
        <v>57325.55</v>
      </c>
      <c r="D944" s="1">
        <v>57584.7</v>
      </c>
      <c r="E944" s="1">
        <v>57217.599999999999</v>
      </c>
      <c r="F944" s="1">
        <v>57262.400000000001</v>
      </c>
    </row>
    <row r="945" spans="1:6" x14ac:dyDescent="0.25">
      <c r="A945" s="1" t="s">
        <v>64</v>
      </c>
      <c r="B945" s="1">
        <v>46253</v>
      </c>
      <c r="C945" s="1">
        <v>57260.65</v>
      </c>
      <c r="D945" s="1">
        <v>57356.85</v>
      </c>
      <c r="E945" s="1">
        <v>57001.75</v>
      </c>
      <c r="F945" s="1">
        <v>57239.75</v>
      </c>
    </row>
    <row r="946" spans="1:6" x14ac:dyDescent="0.25">
      <c r="A946" s="1" t="s">
        <v>64</v>
      </c>
      <c r="B946" s="1">
        <v>46254</v>
      </c>
      <c r="C946" s="1">
        <v>57507.65</v>
      </c>
      <c r="D946" s="1">
        <v>57702.95</v>
      </c>
      <c r="E946" s="1">
        <v>57431.8</v>
      </c>
      <c r="F946" s="1">
        <v>57495.9</v>
      </c>
    </row>
    <row r="947" spans="1:6" x14ac:dyDescent="0.25">
      <c r="A947" s="1" t="s">
        <v>64</v>
      </c>
      <c r="B947" s="1">
        <v>46255</v>
      </c>
      <c r="C947" s="1">
        <v>57613.2</v>
      </c>
      <c r="D947" s="1">
        <v>57772.45</v>
      </c>
      <c r="E947" s="1">
        <v>57481.55</v>
      </c>
      <c r="F947" s="1">
        <v>57761.95</v>
      </c>
    </row>
    <row r="948" spans="1:6" x14ac:dyDescent="0.25">
      <c r="A948" s="1" t="s">
        <v>64</v>
      </c>
      <c r="B948" s="1">
        <v>46258</v>
      </c>
      <c r="C948" s="1">
        <v>57828.15</v>
      </c>
      <c r="D948" s="1">
        <v>57873.75</v>
      </c>
      <c r="E948" s="1">
        <v>57245.95</v>
      </c>
      <c r="F948" s="1">
        <v>57525.95</v>
      </c>
    </row>
    <row r="949" spans="1:6" x14ac:dyDescent="0.25">
      <c r="A949" s="1" t="s">
        <v>64</v>
      </c>
      <c r="B949" s="1">
        <v>46259</v>
      </c>
      <c r="C949" s="1">
        <v>57360.65</v>
      </c>
      <c r="D949" s="1">
        <v>57653.85</v>
      </c>
      <c r="E949" s="1">
        <v>57231.25</v>
      </c>
      <c r="F949" s="1">
        <v>57514.2</v>
      </c>
    </row>
    <row r="950" spans="1:6" x14ac:dyDescent="0.25">
      <c r="A950" s="1" t="s">
        <v>64</v>
      </c>
      <c r="B950" s="1">
        <v>46260</v>
      </c>
      <c r="C950" s="1">
        <v>57628.65</v>
      </c>
      <c r="D950" s="1">
        <v>57996.05</v>
      </c>
      <c r="E950" s="1">
        <v>57611.85</v>
      </c>
      <c r="F950" s="1">
        <v>57783.75</v>
      </c>
    </row>
    <row r="951" spans="1:6" x14ac:dyDescent="0.25">
      <c r="A951" s="1" t="s">
        <v>64</v>
      </c>
      <c r="B951" s="1">
        <v>46261</v>
      </c>
      <c r="C951" s="1">
        <v>57985</v>
      </c>
      <c r="D951" s="1">
        <v>58012.4</v>
      </c>
      <c r="E951" s="1">
        <v>57509.95</v>
      </c>
      <c r="F951" s="1">
        <v>57509.95</v>
      </c>
    </row>
    <row r="952" spans="1:6" x14ac:dyDescent="0.25">
      <c r="A952" s="1" t="s">
        <v>64</v>
      </c>
      <c r="B952" s="1">
        <v>46262</v>
      </c>
      <c r="C952" s="1">
        <v>57429.75</v>
      </c>
      <c r="D952" s="1">
        <v>57596.4</v>
      </c>
      <c r="E952" s="1">
        <v>57264</v>
      </c>
      <c r="F952" s="1">
        <v>57496.3</v>
      </c>
    </row>
    <row r="953" spans="1:6" x14ac:dyDescent="0.25">
      <c r="A953" s="1" t="s">
        <v>64</v>
      </c>
      <c r="B953" s="1">
        <v>46265</v>
      </c>
      <c r="C953" s="1">
        <v>57353.75</v>
      </c>
      <c r="D953" s="1">
        <v>58024.95</v>
      </c>
      <c r="E953" s="1">
        <v>57187.35</v>
      </c>
      <c r="F953" s="1">
        <v>58024.95</v>
      </c>
    </row>
    <row r="954" spans="1:6" x14ac:dyDescent="0.25">
      <c r="A954" s="1" t="s">
        <v>64</v>
      </c>
      <c r="B954" s="1">
        <v>46266</v>
      </c>
      <c r="C954" s="1">
        <v>57560.3</v>
      </c>
      <c r="D954" s="1">
        <v>57766.25</v>
      </c>
      <c r="E954" s="1">
        <v>57150.7</v>
      </c>
      <c r="F954" s="1">
        <v>57409.599999999999</v>
      </c>
    </row>
    <row r="955" spans="1:6" x14ac:dyDescent="0.25">
      <c r="A955" s="1" t="s">
        <v>64</v>
      </c>
      <c r="B955" s="1">
        <v>46267</v>
      </c>
      <c r="C955" s="1">
        <v>57006.45</v>
      </c>
      <c r="D955" s="1">
        <v>57221.1</v>
      </c>
      <c r="E955" s="1">
        <v>56823.199999999997</v>
      </c>
      <c r="F955" s="1">
        <v>57172</v>
      </c>
    </row>
    <row r="956" spans="1:6" x14ac:dyDescent="0.25">
      <c r="A956" s="1" t="s">
        <v>64</v>
      </c>
      <c r="B956" s="1">
        <v>46268</v>
      </c>
      <c r="C956" s="1">
        <v>57497.85</v>
      </c>
      <c r="D956" s="1">
        <v>57753.599999999999</v>
      </c>
      <c r="E956" s="1">
        <v>57380.6</v>
      </c>
      <c r="F956" s="1">
        <v>57380.6</v>
      </c>
    </row>
    <row r="957" spans="1:6" x14ac:dyDescent="0.25">
      <c r="A957" s="1" t="s">
        <v>64</v>
      </c>
      <c r="B957" s="1">
        <v>46269</v>
      </c>
      <c r="C957" s="1">
        <v>57492.65</v>
      </c>
      <c r="D957" s="1">
        <v>57677.15</v>
      </c>
      <c r="E957" s="1">
        <v>57324.55</v>
      </c>
      <c r="F957" s="1">
        <v>57369.65</v>
      </c>
    </row>
    <row r="958" spans="1:6" x14ac:dyDescent="0.25">
      <c r="A958" s="1" t="s">
        <v>64</v>
      </c>
      <c r="B958" s="1">
        <v>46272</v>
      </c>
      <c r="C958" s="1">
        <v>57343.3</v>
      </c>
      <c r="D958" s="1">
        <v>57426.85</v>
      </c>
      <c r="E958" s="1">
        <v>57002.95</v>
      </c>
      <c r="F958" s="1">
        <v>57088.3</v>
      </c>
    </row>
    <row r="959" spans="1:6" x14ac:dyDescent="0.25">
      <c r="A959" s="1" t="s">
        <v>64</v>
      </c>
      <c r="B959" s="1">
        <v>46273</v>
      </c>
      <c r="C959" s="1">
        <v>56990.400000000001</v>
      </c>
      <c r="D959" s="1">
        <v>57044</v>
      </c>
      <c r="E959" s="1">
        <v>56720.45</v>
      </c>
      <c r="F959" s="1">
        <v>56777.55</v>
      </c>
    </row>
    <row r="960" spans="1:6" x14ac:dyDescent="0.25">
      <c r="A960" s="1" t="s">
        <v>64</v>
      </c>
      <c r="B960" s="1">
        <v>46274</v>
      </c>
      <c r="C960" s="1">
        <v>56498.85</v>
      </c>
      <c r="D960" s="1">
        <v>56743.05</v>
      </c>
      <c r="E960" s="1">
        <v>56295.55</v>
      </c>
      <c r="F960" s="1">
        <v>56295.55</v>
      </c>
    </row>
    <row r="961" spans="1:6" x14ac:dyDescent="0.25">
      <c r="A961" s="1" t="s">
        <v>64</v>
      </c>
      <c r="B961" s="1">
        <v>46275</v>
      </c>
      <c r="C961" s="1">
        <v>56262.75</v>
      </c>
      <c r="D961" s="1">
        <v>56575.15</v>
      </c>
      <c r="E961" s="1">
        <v>56231.85</v>
      </c>
      <c r="F961" s="1">
        <v>56471.95</v>
      </c>
    </row>
    <row r="962" spans="1:6" x14ac:dyDescent="0.25">
      <c r="A962" s="1" t="s">
        <v>64</v>
      </c>
      <c r="B962" s="1">
        <v>46276</v>
      </c>
      <c r="C962" s="1">
        <v>55970.15</v>
      </c>
      <c r="D962" s="1">
        <v>56645.85</v>
      </c>
      <c r="E962" s="1">
        <v>55699.45</v>
      </c>
      <c r="F962" s="1">
        <v>56606.55</v>
      </c>
    </row>
    <row r="963" spans="1:6" x14ac:dyDescent="0.25">
      <c r="A963" s="1" t="s">
        <v>64</v>
      </c>
      <c r="B963" s="1">
        <v>46280</v>
      </c>
      <c r="C963" s="1">
        <v>56884.25</v>
      </c>
      <c r="D963" s="1">
        <v>56996.35</v>
      </c>
      <c r="E963" s="1">
        <v>55794.75</v>
      </c>
      <c r="F963" s="1">
        <v>55794.75</v>
      </c>
    </row>
    <row r="964" spans="1:6" x14ac:dyDescent="0.25">
      <c r="A964" s="1" t="s">
        <v>64</v>
      </c>
      <c r="B964" s="1">
        <v>46281</v>
      </c>
      <c r="C964" s="1">
        <v>56007.65</v>
      </c>
      <c r="D964" s="1">
        <v>56368.7</v>
      </c>
      <c r="E964" s="1">
        <v>55812.2</v>
      </c>
      <c r="F964" s="1">
        <v>56292.45</v>
      </c>
    </row>
    <row r="965" spans="1:6" x14ac:dyDescent="0.25">
      <c r="A965" s="1" t="s">
        <v>64</v>
      </c>
      <c r="B965" s="1">
        <v>46282</v>
      </c>
      <c r="C965" s="1">
        <v>56126.6</v>
      </c>
      <c r="D965" s="1">
        <v>56570.45</v>
      </c>
      <c r="E965" s="1">
        <v>56038.5</v>
      </c>
      <c r="F965" s="1">
        <v>56055.75</v>
      </c>
    </row>
    <row r="966" spans="1:6" x14ac:dyDescent="0.25">
      <c r="A966" s="1" t="s">
        <v>64</v>
      </c>
      <c r="B966" s="1">
        <v>46283</v>
      </c>
      <c r="C966" s="1">
        <v>56172.85</v>
      </c>
      <c r="D966" s="1">
        <v>56497.45</v>
      </c>
      <c r="E966" s="1">
        <v>56073.55</v>
      </c>
      <c r="F966" s="1">
        <v>56358.7</v>
      </c>
    </row>
    <row r="967" spans="1:6" x14ac:dyDescent="0.25">
      <c r="A967" s="1" t="s">
        <v>64</v>
      </c>
      <c r="B967" s="1">
        <v>46286</v>
      </c>
      <c r="C967" s="1">
        <v>56361.9</v>
      </c>
      <c r="D967" s="1">
        <v>56668.2</v>
      </c>
      <c r="E967" s="1">
        <v>56269.55</v>
      </c>
      <c r="F967" s="1">
        <v>56470.65</v>
      </c>
    </row>
    <row r="968" spans="1:6" x14ac:dyDescent="0.25">
      <c r="A968" s="1" t="s">
        <v>64</v>
      </c>
      <c r="B968" s="1">
        <v>46287</v>
      </c>
      <c r="C968" s="1">
        <v>56489.9</v>
      </c>
      <c r="D968" s="1">
        <v>56671.1</v>
      </c>
      <c r="E968" s="1">
        <v>56106.95</v>
      </c>
      <c r="F968" s="1">
        <v>56215.55</v>
      </c>
    </row>
    <row r="969" spans="1:6" x14ac:dyDescent="0.25">
      <c r="A969" s="1" t="s">
        <v>64</v>
      </c>
      <c r="B969" s="1">
        <v>46288</v>
      </c>
      <c r="C969" s="1">
        <v>56209.65</v>
      </c>
      <c r="D969" s="1">
        <v>56623.8</v>
      </c>
      <c r="E969" s="1">
        <v>56209.65</v>
      </c>
      <c r="F969" s="1">
        <v>56548.9</v>
      </c>
    </row>
    <row r="970" spans="1:6" x14ac:dyDescent="0.25">
      <c r="A970" s="1" t="s">
        <v>64</v>
      </c>
      <c r="B970" s="1">
        <v>46289</v>
      </c>
      <c r="C970" s="1">
        <v>55710.6</v>
      </c>
      <c r="D970" s="1">
        <v>55918.400000000001</v>
      </c>
      <c r="E970" s="1">
        <v>55341.2</v>
      </c>
      <c r="F970" s="1">
        <v>55438.5</v>
      </c>
    </row>
    <row r="971" spans="1:6" x14ac:dyDescent="0.25">
      <c r="A971" s="1" t="s">
        <v>64</v>
      </c>
      <c r="B971" s="1">
        <v>46290</v>
      </c>
      <c r="C971" s="1">
        <v>55373.75</v>
      </c>
      <c r="D971" s="1">
        <v>55762.6</v>
      </c>
      <c r="E971" s="1">
        <v>55373.75</v>
      </c>
      <c r="F971" s="1">
        <v>55580.4</v>
      </c>
    </row>
    <row r="972" spans="1:6" x14ac:dyDescent="0.25">
      <c r="A972" s="1" t="s">
        <v>64</v>
      </c>
      <c r="B972" s="1">
        <v>46293</v>
      </c>
      <c r="C972" s="1">
        <v>55347.8</v>
      </c>
      <c r="D972" s="1">
        <v>55390.1</v>
      </c>
      <c r="E972" s="1">
        <v>54437.7</v>
      </c>
      <c r="F972" s="1">
        <v>54471.65</v>
      </c>
    </row>
    <row r="973" spans="1:6" x14ac:dyDescent="0.25">
      <c r="A973" s="1" t="s">
        <v>64</v>
      </c>
      <c r="B973" s="1">
        <v>46294</v>
      </c>
      <c r="C973" s="1">
        <v>54283.6</v>
      </c>
      <c r="D973" s="1">
        <v>54405.3</v>
      </c>
      <c r="E973" s="1">
        <v>53785.7</v>
      </c>
      <c r="F973" s="1">
        <v>54259.95</v>
      </c>
    </row>
    <row r="974" spans="1:6" x14ac:dyDescent="0.25">
      <c r="A974" s="1" t="s">
        <v>64</v>
      </c>
      <c r="B974" s="1">
        <v>46295</v>
      </c>
      <c r="C974" s="1">
        <v>54175.9</v>
      </c>
      <c r="D974" s="1">
        <v>55135.5</v>
      </c>
      <c r="E974" s="1">
        <v>54174.3</v>
      </c>
      <c r="F974" s="1">
        <v>54633.05</v>
      </c>
    </row>
    <row r="975" spans="1:6" x14ac:dyDescent="0.25">
      <c r="A975" s="1" t="s">
        <v>64</v>
      </c>
      <c r="B975" s="1">
        <v>46296</v>
      </c>
      <c r="C975" s="1">
        <v>54583.05</v>
      </c>
      <c r="D975" s="1">
        <v>55091.45</v>
      </c>
      <c r="E975" s="1">
        <v>54066.6</v>
      </c>
      <c r="F975" s="1">
        <v>54450.75</v>
      </c>
    </row>
    <row r="976" spans="1:6" x14ac:dyDescent="0.25">
      <c r="A976" s="1" t="s">
        <v>64</v>
      </c>
      <c r="B976" s="1">
        <v>46300</v>
      </c>
      <c r="C976" s="1">
        <v>54840.65</v>
      </c>
      <c r="D976" s="1">
        <v>55192.65</v>
      </c>
      <c r="E976" s="1">
        <v>54370.6</v>
      </c>
      <c r="F976" s="1">
        <v>54714.1</v>
      </c>
    </row>
    <row r="977" spans="1:6" x14ac:dyDescent="0.25">
      <c r="A977" s="1" t="s">
        <v>64</v>
      </c>
      <c r="B977" s="1">
        <v>46301</v>
      </c>
      <c r="C977" s="1">
        <v>54901.3</v>
      </c>
      <c r="D977" s="1">
        <v>55201</v>
      </c>
      <c r="E977" s="1">
        <v>54834.75</v>
      </c>
      <c r="F977" s="1">
        <v>55128.4</v>
      </c>
    </row>
    <row r="978" spans="1:6" x14ac:dyDescent="0.25">
      <c r="A978" s="1" t="s">
        <v>64</v>
      </c>
      <c r="B978" s="1">
        <v>46302</v>
      </c>
      <c r="C978" s="1">
        <v>54968.7</v>
      </c>
      <c r="D978" s="1">
        <v>55340.7</v>
      </c>
      <c r="E978" s="1">
        <v>54636.2</v>
      </c>
      <c r="F978" s="1">
        <v>55055.55</v>
      </c>
    </row>
    <row r="979" spans="1:6" x14ac:dyDescent="0.25">
      <c r="A979" s="1" t="s">
        <v>64</v>
      </c>
      <c r="B979" s="1">
        <v>46303</v>
      </c>
      <c r="C979" s="1">
        <v>55042.9</v>
      </c>
      <c r="D979" s="1">
        <v>55043</v>
      </c>
      <c r="E979" s="1">
        <v>54383.15</v>
      </c>
      <c r="F979" s="1">
        <v>54515.05</v>
      </c>
    </row>
    <row r="980" spans="1:6" x14ac:dyDescent="0.25">
      <c r="A980" s="1" t="s">
        <v>64</v>
      </c>
      <c r="B980" s="1">
        <v>46304</v>
      </c>
      <c r="C980" s="1">
        <v>54746.25</v>
      </c>
      <c r="D980" s="1">
        <v>55419.3</v>
      </c>
      <c r="E980" s="1">
        <v>54617.2</v>
      </c>
      <c r="F980" s="1">
        <v>55256.65</v>
      </c>
    </row>
    <row r="981" spans="1:6" x14ac:dyDescent="0.25">
      <c r="A981" s="1" t="s">
        <v>64</v>
      </c>
      <c r="B981" s="1">
        <v>46307</v>
      </c>
      <c r="C981" s="1">
        <v>55350.15</v>
      </c>
      <c r="D981" s="1">
        <v>55416.45</v>
      </c>
      <c r="E981" s="1">
        <v>54708.800000000003</v>
      </c>
      <c r="F981" s="1">
        <v>54918</v>
      </c>
    </row>
    <row r="982" spans="1:6" x14ac:dyDescent="0.25">
      <c r="A982" s="1" t="s">
        <v>64</v>
      </c>
      <c r="B982" s="1">
        <v>46308</v>
      </c>
      <c r="C982" s="1">
        <v>54907.55</v>
      </c>
      <c r="D982" s="1">
        <v>55551.75</v>
      </c>
      <c r="E982" s="1">
        <v>54735.95</v>
      </c>
      <c r="F982" s="1">
        <v>55481.05</v>
      </c>
    </row>
    <row r="983" spans="1:6" x14ac:dyDescent="0.25">
      <c r="A983" s="1" t="s">
        <v>64</v>
      </c>
      <c r="B983" s="1">
        <v>46309</v>
      </c>
      <c r="C983" s="1">
        <v>55406.7</v>
      </c>
      <c r="D983" s="1">
        <v>55644.7</v>
      </c>
      <c r="E983" s="1">
        <v>55168.2</v>
      </c>
      <c r="F983" s="1">
        <v>55316</v>
      </c>
    </row>
    <row r="984" spans="1:6" x14ac:dyDescent="0.25">
      <c r="A984" s="1" t="s">
        <v>64</v>
      </c>
      <c r="B984" s="1">
        <v>46310</v>
      </c>
      <c r="C984" s="1">
        <v>55445.75</v>
      </c>
      <c r="D984" s="1">
        <v>56065.5</v>
      </c>
      <c r="E984" s="1">
        <v>55279</v>
      </c>
      <c r="F984" s="1">
        <v>55810.5</v>
      </c>
    </row>
    <row r="985" spans="1:6" x14ac:dyDescent="0.25">
      <c r="A985" s="1" t="s">
        <v>64</v>
      </c>
      <c r="B985" s="1">
        <v>46311</v>
      </c>
      <c r="C985" s="1">
        <v>55927.15</v>
      </c>
      <c r="D985" s="1">
        <v>55989.55</v>
      </c>
      <c r="E985" s="1">
        <v>55526.3</v>
      </c>
      <c r="F985" s="1">
        <v>55844</v>
      </c>
    </row>
    <row r="986" spans="1:6" x14ac:dyDescent="0.25">
      <c r="A986" s="1" t="s">
        <v>65</v>
      </c>
      <c r="B986" s="1">
        <v>45950</v>
      </c>
      <c r="C986" s="1">
        <v>35109.75</v>
      </c>
      <c r="D986" s="1">
        <v>35377.85</v>
      </c>
      <c r="E986" s="1">
        <v>35077.85</v>
      </c>
      <c r="F986" s="1">
        <v>35292.6</v>
      </c>
    </row>
    <row r="987" spans="1:6" x14ac:dyDescent="0.25">
      <c r="A987" s="1" t="s">
        <v>65</v>
      </c>
      <c r="B987" s="1">
        <v>45951</v>
      </c>
      <c r="C987" s="1">
        <v>35500.9</v>
      </c>
      <c r="D987" s="1">
        <v>35564.199999999997</v>
      </c>
      <c r="E987" s="1">
        <v>35221.550000000003</v>
      </c>
      <c r="F987" s="1">
        <v>35299.75</v>
      </c>
    </row>
    <row r="988" spans="1:6" x14ac:dyDescent="0.25">
      <c r="A988" s="1" t="s">
        <v>65</v>
      </c>
      <c r="B988" s="1">
        <v>45953</v>
      </c>
      <c r="C988" s="1">
        <v>35936.75</v>
      </c>
      <c r="D988" s="1">
        <v>36462</v>
      </c>
      <c r="E988" s="1">
        <v>35859.75</v>
      </c>
      <c r="F988" s="1">
        <v>36078.65</v>
      </c>
    </row>
    <row r="989" spans="1:6" x14ac:dyDescent="0.25">
      <c r="A989" s="1" t="s">
        <v>65</v>
      </c>
      <c r="B989" s="1">
        <v>45954</v>
      </c>
      <c r="C989" s="1">
        <v>36211.4</v>
      </c>
      <c r="D989" s="1">
        <v>36268.65</v>
      </c>
      <c r="E989" s="1">
        <v>35886.15</v>
      </c>
      <c r="F989" s="1">
        <v>35986.35</v>
      </c>
    </row>
    <row r="990" spans="1:6" x14ac:dyDescent="0.25">
      <c r="A990" s="1" t="s">
        <v>65</v>
      </c>
      <c r="B990" s="1">
        <v>45957</v>
      </c>
      <c r="C990" s="1">
        <v>36075.550000000003</v>
      </c>
      <c r="D990" s="1">
        <v>36279.4</v>
      </c>
      <c r="E990" s="1">
        <v>35962.800000000003</v>
      </c>
      <c r="F990" s="1">
        <v>36129.1</v>
      </c>
    </row>
    <row r="991" spans="1:6" x14ac:dyDescent="0.25">
      <c r="A991" s="1" t="s">
        <v>65</v>
      </c>
      <c r="B991" s="1">
        <v>45958</v>
      </c>
      <c r="C991" s="1">
        <v>36088.65</v>
      </c>
      <c r="D991" s="1">
        <v>36193.15</v>
      </c>
      <c r="E991" s="1">
        <v>35677.599999999999</v>
      </c>
      <c r="F991" s="1">
        <v>35860.400000000001</v>
      </c>
    </row>
    <row r="992" spans="1:6" x14ac:dyDescent="0.25">
      <c r="A992" s="1" t="s">
        <v>65</v>
      </c>
      <c r="B992" s="1">
        <v>45959</v>
      </c>
      <c r="C992" s="1">
        <v>35916.1</v>
      </c>
      <c r="D992" s="1">
        <v>36201.550000000003</v>
      </c>
      <c r="E992" s="1">
        <v>35778.199999999997</v>
      </c>
      <c r="F992" s="1">
        <v>36090.1</v>
      </c>
    </row>
    <row r="993" spans="1:6" x14ac:dyDescent="0.25">
      <c r="A993" s="1" t="s">
        <v>65</v>
      </c>
      <c r="B993" s="1">
        <v>45960</v>
      </c>
      <c r="C993" s="1">
        <v>36073.15</v>
      </c>
      <c r="D993" s="1">
        <v>36127.9</v>
      </c>
      <c r="E993" s="1">
        <v>35812.75</v>
      </c>
      <c r="F993" s="1">
        <v>35906.400000000001</v>
      </c>
    </row>
    <row r="994" spans="1:6" x14ac:dyDescent="0.25">
      <c r="A994" s="1" t="s">
        <v>65</v>
      </c>
      <c r="B994" s="1">
        <v>45961</v>
      </c>
      <c r="C994" s="1">
        <v>35918.550000000003</v>
      </c>
      <c r="D994" s="1">
        <v>36050.35</v>
      </c>
      <c r="E994" s="1">
        <v>35681.050000000003</v>
      </c>
      <c r="F994" s="1">
        <v>35712.35</v>
      </c>
    </row>
    <row r="995" spans="1:6" x14ac:dyDescent="0.25">
      <c r="A995" s="1" t="s">
        <v>65</v>
      </c>
      <c r="B995" s="1">
        <v>45964</v>
      </c>
      <c r="C995" s="1">
        <v>35664.800000000003</v>
      </c>
      <c r="D995" s="1">
        <v>35742.800000000003</v>
      </c>
      <c r="E995" s="1">
        <v>35479.5</v>
      </c>
      <c r="F995" s="1">
        <v>35653.050000000003</v>
      </c>
    </row>
    <row r="996" spans="1:6" x14ac:dyDescent="0.25">
      <c r="A996" s="1" t="s">
        <v>65</v>
      </c>
      <c r="B996" s="1">
        <v>45965</v>
      </c>
      <c r="C996" s="1">
        <v>35580.550000000003</v>
      </c>
      <c r="D996" s="1">
        <v>35668.75</v>
      </c>
      <c r="E996" s="1">
        <v>35198.75</v>
      </c>
      <c r="F996" s="1">
        <v>35274.550000000003</v>
      </c>
    </row>
    <row r="997" spans="1:6" x14ac:dyDescent="0.25">
      <c r="A997" s="1" t="s">
        <v>65</v>
      </c>
      <c r="B997" s="1">
        <v>45967</v>
      </c>
      <c r="C997" s="1">
        <v>35380.449999999997</v>
      </c>
      <c r="D997" s="1">
        <v>35509</v>
      </c>
      <c r="E997" s="1">
        <v>35248.300000000003</v>
      </c>
      <c r="F997" s="1">
        <v>35337.599999999999</v>
      </c>
    </row>
    <row r="998" spans="1:6" x14ac:dyDescent="0.25">
      <c r="A998" s="1" t="s">
        <v>65</v>
      </c>
      <c r="B998" s="1">
        <v>45968</v>
      </c>
      <c r="C998" s="1">
        <v>35233.199999999997</v>
      </c>
      <c r="D998" s="1">
        <v>35272.550000000003</v>
      </c>
      <c r="E998" s="1">
        <v>34732.5</v>
      </c>
      <c r="F998" s="1">
        <v>35117.599999999999</v>
      </c>
    </row>
    <row r="999" spans="1:6" x14ac:dyDescent="0.25">
      <c r="A999" s="1" t="s">
        <v>65</v>
      </c>
      <c r="B999" s="1">
        <v>45971</v>
      </c>
      <c r="C999" s="1">
        <v>35246.949999999997</v>
      </c>
      <c r="D999" s="1">
        <v>35855.599999999999</v>
      </c>
      <c r="E999" s="1">
        <v>35237.199999999997</v>
      </c>
      <c r="F999" s="1">
        <v>35688.25</v>
      </c>
    </row>
    <row r="1000" spans="1:6" x14ac:dyDescent="0.25">
      <c r="A1000" s="1" t="s">
        <v>65</v>
      </c>
      <c r="B1000" s="1">
        <v>45972</v>
      </c>
      <c r="C1000" s="1">
        <v>35902.9</v>
      </c>
      <c r="D1000" s="1">
        <v>36149.9</v>
      </c>
      <c r="E1000" s="1">
        <v>35683.9</v>
      </c>
      <c r="F1000" s="1">
        <v>36116.9</v>
      </c>
    </row>
    <row r="1001" spans="1:6" x14ac:dyDescent="0.25">
      <c r="A1001" s="1" t="s">
        <v>65</v>
      </c>
      <c r="B1001" s="1">
        <v>45973</v>
      </c>
      <c r="C1001" s="1">
        <v>36299.4</v>
      </c>
      <c r="D1001" s="1">
        <v>36911.949999999997</v>
      </c>
      <c r="E1001" s="1">
        <v>36290.800000000003</v>
      </c>
      <c r="F1001" s="1">
        <v>36855.4</v>
      </c>
    </row>
    <row r="1002" spans="1:6" x14ac:dyDescent="0.25">
      <c r="A1002" s="1" t="s">
        <v>65</v>
      </c>
      <c r="B1002" s="1">
        <v>45974</v>
      </c>
      <c r="C1002" s="1">
        <v>36937.949999999997</v>
      </c>
      <c r="D1002" s="1">
        <v>36939.85</v>
      </c>
      <c r="E1002" s="1">
        <v>36525.4</v>
      </c>
      <c r="F1002" s="1">
        <v>36679.449999999997</v>
      </c>
    </row>
    <row r="1003" spans="1:6" x14ac:dyDescent="0.25">
      <c r="A1003" s="1" t="s">
        <v>65</v>
      </c>
      <c r="B1003" s="1">
        <v>45975</v>
      </c>
      <c r="C1003" s="1">
        <v>36392.050000000003</v>
      </c>
      <c r="D1003" s="1">
        <v>36503</v>
      </c>
      <c r="E1003" s="1">
        <v>35957.300000000003</v>
      </c>
      <c r="F1003" s="1">
        <v>36301.25</v>
      </c>
    </row>
    <row r="1004" spans="1:6" x14ac:dyDescent="0.25">
      <c r="A1004" s="1" t="s">
        <v>65</v>
      </c>
      <c r="B1004" s="1">
        <v>45978</v>
      </c>
      <c r="C1004" s="1">
        <v>36285.199999999997</v>
      </c>
      <c r="D1004" s="1">
        <v>36406.449999999997</v>
      </c>
      <c r="E1004" s="1">
        <v>36138.199999999997</v>
      </c>
      <c r="F1004" s="1">
        <v>36375.199999999997</v>
      </c>
    </row>
    <row r="1005" spans="1:6" x14ac:dyDescent="0.25">
      <c r="A1005" s="1" t="s">
        <v>65</v>
      </c>
      <c r="B1005" s="1">
        <v>45979</v>
      </c>
      <c r="C1005" s="1">
        <v>36294.699999999997</v>
      </c>
      <c r="D1005" s="1">
        <v>36312.949999999997</v>
      </c>
      <c r="E1005" s="1">
        <v>35914.35</v>
      </c>
      <c r="F1005" s="1">
        <v>35975.199999999997</v>
      </c>
    </row>
    <row r="1006" spans="1:6" x14ac:dyDescent="0.25">
      <c r="A1006" s="1" t="s">
        <v>65</v>
      </c>
      <c r="B1006" s="1">
        <v>45980</v>
      </c>
      <c r="C1006" s="1">
        <v>36062.199999999997</v>
      </c>
      <c r="D1006" s="1">
        <v>37116.5</v>
      </c>
      <c r="E1006" s="1">
        <v>36024.449999999997</v>
      </c>
      <c r="F1006" s="1">
        <v>37044.65</v>
      </c>
    </row>
    <row r="1007" spans="1:6" x14ac:dyDescent="0.25">
      <c r="A1007" s="1" t="s">
        <v>65</v>
      </c>
      <c r="B1007" s="1">
        <v>45981</v>
      </c>
      <c r="C1007" s="1">
        <v>37228.050000000003</v>
      </c>
      <c r="D1007" s="1">
        <v>37278.75</v>
      </c>
      <c r="E1007" s="1">
        <v>36964.35</v>
      </c>
      <c r="F1007" s="1">
        <v>37043.300000000003</v>
      </c>
    </row>
    <row r="1008" spans="1:6" x14ac:dyDescent="0.25">
      <c r="A1008" s="1" t="s">
        <v>65</v>
      </c>
      <c r="B1008" s="1">
        <v>45982</v>
      </c>
      <c r="C1008" s="1">
        <v>36930.25</v>
      </c>
      <c r="D1008" s="1">
        <v>37096.25</v>
      </c>
      <c r="E1008" s="1">
        <v>36761.550000000003</v>
      </c>
      <c r="F1008" s="1">
        <v>36885.35</v>
      </c>
    </row>
    <row r="1009" spans="1:6" x14ac:dyDescent="0.25">
      <c r="A1009" s="1" t="s">
        <v>65</v>
      </c>
      <c r="B1009" s="1">
        <v>45985</v>
      </c>
      <c r="C1009" s="1">
        <v>37084.65</v>
      </c>
      <c r="D1009" s="1">
        <v>37554.35</v>
      </c>
      <c r="E1009" s="1">
        <v>36951.800000000003</v>
      </c>
      <c r="F1009" s="1">
        <v>37037.949999999997</v>
      </c>
    </row>
    <row r="1010" spans="1:6" x14ac:dyDescent="0.25">
      <c r="A1010" s="1" t="s">
        <v>65</v>
      </c>
      <c r="B1010" s="1">
        <v>45986</v>
      </c>
      <c r="C1010" s="1">
        <v>37112.1</v>
      </c>
      <c r="D1010" s="1">
        <v>37124.550000000003</v>
      </c>
      <c r="E1010" s="1">
        <v>36727.35</v>
      </c>
      <c r="F1010" s="1">
        <v>36826.9</v>
      </c>
    </row>
    <row r="1011" spans="1:6" x14ac:dyDescent="0.25">
      <c r="A1011" s="1" t="s">
        <v>65</v>
      </c>
      <c r="B1011" s="1">
        <v>45987</v>
      </c>
      <c r="C1011" s="1">
        <v>36881.949999999997</v>
      </c>
      <c r="D1011" s="1">
        <v>37407</v>
      </c>
      <c r="E1011" s="1">
        <v>36881.1</v>
      </c>
      <c r="F1011" s="1">
        <v>37364.6</v>
      </c>
    </row>
    <row r="1012" spans="1:6" x14ac:dyDescent="0.25">
      <c r="A1012" s="1" t="s">
        <v>65</v>
      </c>
      <c r="B1012" s="1">
        <v>45988</v>
      </c>
      <c r="C1012" s="1">
        <v>37487.65</v>
      </c>
      <c r="D1012" s="1">
        <v>37668.550000000003</v>
      </c>
      <c r="E1012" s="1">
        <v>37208.25</v>
      </c>
      <c r="F1012" s="1">
        <v>37446.300000000003</v>
      </c>
    </row>
    <row r="1013" spans="1:6" x14ac:dyDescent="0.25">
      <c r="A1013" s="1" t="s">
        <v>65</v>
      </c>
      <c r="B1013" s="1">
        <v>45989</v>
      </c>
      <c r="C1013" s="1">
        <v>37488.5</v>
      </c>
      <c r="D1013" s="1">
        <v>37554.6</v>
      </c>
      <c r="E1013" s="1">
        <v>37323.449999999997</v>
      </c>
      <c r="F1013" s="1">
        <v>37405.5</v>
      </c>
    </row>
    <row r="1014" spans="1:6" x14ac:dyDescent="0.25">
      <c r="A1014" s="1" t="s">
        <v>65</v>
      </c>
      <c r="B1014" s="1">
        <v>45992</v>
      </c>
      <c r="C1014" s="1">
        <v>37476.6</v>
      </c>
      <c r="D1014" s="1">
        <v>37659.75</v>
      </c>
      <c r="E1014" s="1">
        <v>37413</v>
      </c>
      <c r="F1014" s="1">
        <v>37549.699999999997</v>
      </c>
    </row>
    <row r="1015" spans="1:6" x14ac:dyDescent="0.25">
      <c r="A1015" s="1" t="s">
        <v>65</v>
      </c>
      <c r="B1015" s="1">
        <v>45993</v>
      </c>
      <c r="C1015" s="1">
        <v>37559.4</v>
      </c>
      <c r="D1015" s="1">
        <v>37734.35</v>
      </c>
      <c r="E1015" s="1">
        <v>37418.5</v>
      </c>
      <c r="F1015" s="1">
        <v>37541.25</v>
      </c>
    </row>
    <row r="1016" spans="1:6" x14ac:dyDescent="0.25">
      <c r="A1016" s="1" t="s">
        <v>65</v>
      </c>
      <c r="B1016" s="1">
        <v>45994</v>
      </c>
      <c r="C1016" s="1">
        <v>37530.85</v>
      </c>
      <c r="D1016" s="1">
        <v>38007.300000000003</v>
      </c>
      <c r="E1016" s="1">
        <v>37515</v>
      </c>
      <c r="F1016" s="1">
        <v>37825.25</v>
      </c>
    </row>
    <row r="1017" spans="1:6" x14ac:dyDescent="0.25">
      <c r="A1017" s="1" t="s">
        <v>65</v>
      </c>
      <c r="B1017" s="1">
        <v>45995</v>
      </c>
      <c r="C1017" s="1">
        <v>37875.699999999997</v>
      </c>
      <c r="D1017" s="1">
        <v>38471.599999999999</v>
      </c>
      <c r="E1017" s="1">
        <v>37847.699999999997</v>
      </c>
      <c r="F1017" s="1">
        <v>38360.25</v>
      </c>
    </row>
    <row r="1018" spans="1:6" x14ac:dyDescent="0.25">
      <c r="A1018" s="1" t="s">
        <v>65</v>
      </c>
      <c r="B1018" s="1">
        <v>45996</v>
      </c>
      <c r="C1018" s="1">
        <v>38500.6</v>
      </c>
      <c r="D1018" s="1">
        <v>38920.6</v>
      </c>
      <c r="E1018" s="1">
        <v>38369.550000000003</v>
      </c>
      <c r="F1018" s="1">
        <v>38703.65</v>
      </c>
    </row>
    <row r="1019" spans="1:6" x14ac:dyDescent="0.25">
      <c r="A1019" s="1" t="s">
        <v>65</v>
      </c>
      <c r="B1019" s="1">
        <v>45999</v>
      </c>
      <c r="C1019" s="1">
        <v>38783.4</v>
      </c>
      <c r="D1019" s="1">
        <v>38937.35</v>
      </c>
      <c r="E1019" s="1">
        <v>38322.449999999997</v>
      </c>
      <c r="F1019" s="1">
        <v>38590.699999999997</v>
      </c>
    </row>
    <row r="1020" spans="1:6" x14ac:dyDescent="0.25">
      <c r="A1020" s="1" t="s">
        <v>65</v>
      </c>
      <c r="B1020" s="1">
        <v>46000</v>
      </c>
      <c r="C1020" s="1">
        <v>38438.5</v>
      </c>
      <c r="D1020" s="1">
        <v>38463.949999999997</v>
      </c>
      <c r="E1020" s="1">
        <v>37908.9</v>
      </c>
      <c r="F1020" s="1">
        <v>38130.6</v>
      </c>
    </row>
    <row r="1021" spans="1:6" x14ac:dyDescent="0.25">
      <c r="A1021" s="1" t="s">
        <v>65</v>
      </c>
      <c r="B1021" s="1">
        <v>46001</v>
      </c>
      <c r="C1021" s="1">
        <v>38273.75</v>
      </c>
      <c r="D1021" s="1">
        <v>38300.5</v>
      </c>
      <c r="E1021" s="1">
        <v>37745.25</v>
      </c>
      <c r="F1021" s="1">
        <v>37789.9</v>
      </c>
    </row>
    <row r="1022" spans="1:6" x14ac:dyDescent="0.25">
      <c r="A1022" s="1" t="s">
        <v>65</v>
      </c>
      <c r="B1022" s="1">
        <v>46002</v>
      </c>
      <c r="C1022" s="1">
        <v>37925.949999999997</v>
      </c>
      <c r="D1022" s="1">
        <v>38136.449999999997</v>
      </c>
      <c r="E1022" s="1">
        <v>37672.400000000001</v>
      </c>
      <c r="F1022" s="1">
        <v>38097</v>
      </c>
    </row>
    <row r="1023" spans="1:6" x14ac:dyDescent="0.25">
      <c r="A1023" s="1" t="s">
        <v>65</v>
      </c>
      <c r="B1023" s="1">
        <v>46003</v>
      </c>
      <c r="C1023" s="1">
        <v>38203.85</v>
      </c>
      <c r="D1023" s="1">
        <v>38300.300000000003</v>
      </c>
      <c r="E1023" s="1">
        <v>37901.75</v>
      </c>
      <c r="F1023" s="1">
        <v>38274.75</v>
      </c>
    </row>
    <row r="1024" spans="1:6" x14ac:dyDescent="0.25">
      <c r="A1024" s="1" t="s">
        <v>65</v>
      </c>
      <c r="B1024" s="1">
        <v>46006</v>
      </c>
      <c r="C1024" s="1">
        <v>38125.949999999997</v>
      </c>
      <c r="D1024" s="1">
        <v>38410.699999999997</v>
      </c>
      <c r="E1024" s="1">
        <v>38042.949999999997</v>
      </c>
      <c r="F1024" s="1">
        <v>38386.25</v>
      </c>
    </row>
    <row r="1025" spans="1:6" x14ac:dyDescent="0.25">
      <c r="A1025" s="1" t="s">
        <v>65</v>
      </c>
      <c r="B1025" s="1">
        <v>46007</v>
      </c>
      <c r="C1025" s="1">
        <v>38262.300000000003</v>
      </c>
      <c r="D1025" s="1">
        <v>38293.4</v>
      </c>
      <c r="E1025" s="1">
        <v>37946.75</v>
      </c>
      <c r="F1025" s="1">
        <v>38062.5</v>
      </c>
    </row>
    <row r="1026" spans="1:6" x14ac:dyDescent="0.25">
      <c r="A1026" s="1" t="s">
        <v>65</v>
      </c>
      <c r="B1026" s="1">
        <v>46008</v>
      </c>
      <c r="C1026" s="1">
        <v>37996.949999999997</v>
      </c>
      <c r="D1026" s="1">
        <v>38367.85</v>
      </c>
      <c r="E1026" s="1">
        <v>37969.449999999997</v>
      </c>
      <c r="F1026" s="1">
        <v>38172.050000000003</v>
      </c>
    </row>
    <row r="1027" spans="1:6" x14ac:dyDescent="0.25">
      <c r="A1027" s="1" t="s">
        <v>65</v>
      </c>
      <c r="B1027" s="1">
        <v>46009</v>
      </c>
      <c r="C1027" s="1">
        <v>38273.599999999999</v>
      </c>
      <c r="D1027" s="1">
        <v>38667.35</v>
      </c>
      <c r="E1027" s="1">
        <v>38248.75</v>
      </c>
      <c r="F1027" s="1">
        <v>38633.35</v>
      </c>
    </row>
    <row r="1028" spans="1:6" x14ac:dyDescent="0.25">
      <c r="A1028" s="1" t="s">
        <v>65</v>
      </c>
      <c r="B1028" s="1">
        <v>46010</v>
      </c>
      <c r="C1028" s="1">
        <v>38991.300000000003</v>
      </c>
      <c r="D1028" s="1">
        <v>39054.35</v>
      </c>
      <c r="E1028" s="1">
        <v>38590.25</v>
      </c>
      <c r="F1028" s="1">
        <v>38691.599999999999</v>
      </c>
    </row>
    <row r="1029" spans="1:6" x14ac:dyDescent="0.25">
      <c r="A1029" s="1" t="s">
        <v>65</v>
      </c>
      <c r="B1029" s="1">
        <v>46013</v>
      </c>
      <c r="C1029" s="1">
        <v>39023.25</v>
      </c>
      <c r="D1029" s="1">
        <v>39530.25</v>
      </c>
      <c r="E1029" s="1">
        <v>39006.400000000001</v>
      </c>
      <c r="F1029" s="1">
        <v>39488</v>
      </c>
    </row>
    <row r="1030" spans="1:6" x14ac:dyDescent="0.25">
      <c r="A1030" s="1" t="s">
        <v>65</v>
      </c>
      <c r="B1030" s="1">
        <v>46014</v>
      </c>
      <c r="C1030" s="1">
        <v>39395.800000000003</v>
      </c>
      <c r="D1030" s="1">
        <v>39398.15</v>
      </c>
      <c r="E1030" s="1">
        <v>38942.35</v>
      </c>
      <c r="F1030" s="1">
        <v>39173.699999999997</v>
      </c>
    </row>
    <row r="1031" spans="1:6" x14ac:dyDescent="0.25">
      <c r="A1031" s="1" t="s">
        <v>65</v>
      </c>
      <c r="B1031" s="1">
        <v>46015</v>
      </c>
      <c r="C1031" s="1">
        <v>39084.9</v>
      </c>
      <c r="D1031" s="1">
        <v>39098.9</v>
      </c>
      <c r="E1031" s="1">
        <v>38901.050000000003</v>
      </c>
      <c r="F1031" s="1">
        <v>38974.800000000003</v>
      </c>
    </row>
    <row r="1032" spans="1:6" x14ac:dyDescent="0.25">
      <c r="A1032" s="1" t="s">
        <v>65</v>
      </c>
      <c r="B1032" s="1">
        <v>46017</v>
      </c>
      <c r="C1032" s="1">
        <v>38921.65</v>
      </c>
      <c r="D1032" s="1">
        <v>39019.949999999997</v>
      </c>
      <c r="E1032" s="1">
        <v>38495.4</v>
      </c>
      <c r="F1032" s="1">
        <v>38572.300000000003</v>
      </c>
    </row>
    <row r="1033" spans="1:6" x14ac:dyDescent="0.25">
      <c r="A1033" s="1" t="s">
        <v>65</v>
      </c>
      <c r="B1033" s="1">
        <v>46020</v>
      </c>
      <c r="C1033" s="1">
        <v>38622.6</v>
      </c>
      <c r="D1033" s="1">
        <v>38721.699999999997</v>
      </c>
      <c r="E1033" s="1">
        <v>38206.75</v>
      </c>
      <c r="F1033" s="1">
        <v>38282.699999999997</v>
      </c>
    </row>
    <row r="1034" spans="1:6" x14ac:dyDescent="0.25">
      <c r="A1034" s="1" t="s">
        <v>65</v>
      </c>
      <c r="B1034" s="1">
        <v>46021</v>
      </c>
      <c r="C1034" s="1">
        <v>38281.550000000003</v>
      </c>
      <c r="D1034" s="1">
        <v>38281.550000000003</v>
      </c>
      <c r="E1034" s="1">
        <v>37906.6</v>
      </c>
      <c r="F1034" s="1">
        <v>37998.6</v>
      </c>
    </row>
    <row r="1035" spans="1:6" x14ac:dyDescent="0.25">
      <c r="A1035" s="1" t="s">
        <v>65</v>
      </c>
      <c r="B1035" s="1">
        <v>46022</v>
      </c>
      <c r="C1035" s="1">
        <v>38051.699999999997</v>
      </c>
      <c r="D1035" s="1">
        <v>38108.5</v>
      </c>
      <c r="E1035" s="1">
        <v>37822.15</v>
      </c>
      <c r="F1035" s="1">
        <v>37884.050000000003</v>
      </c>
    </row>
    <row r="1036" spans="1:6" x14ac:dyDescent="0.25">
      <c r="A1036" s="1" t="s">
        <v>65</v>
      </c>
      <c r="B1036" s="1">
        <v>46023</v>
      </c>
      <c r="C1036" s="1">
        <v>37931.550000000003</v>
      </c>
      <c r="D1036" s="1">
        <v>38256.949999999997</v>
      </c>
      <c r="E1036" s="1">
        <v>37862.6</v>
      </c>
      <c r="F1036" s="1">
        <v>38171.5</v>
      </c>
    </row>
    <row r="1037" spans="1:6" x14ac:dyDescent="0.25">
      <c r="A1037" s="1" t="s">
        <v>65</v>
      </c>
      <c r="B1037" s="1">
        <v>46024</v>
      </c>
      <c r="C1037" s="1">
        <v>38251.35</v>
      </c>
      <c r="D1037" s="1">
        <v>38359</v>
      </c>
      <c r="E1037" s="1">
        <v>38085.4</v>
      </c>
      <c r="F1037" s="1">
        <v>38320.300000000003</v>
      </c>
    </row>
    <row r="1038" spans="1:6" x14ac:dyDescent="0.25">
      <c r="A1038" s="1" t="s">
        <v>65</v>
      </c>
      <c r="B1038" s="1">
        <v>46027</v>
      </c>
      <c r="C1038" s="1">
        <v>38222</v>
      </c>
      <c r="D1038" s="1">
        <v>38260.85</v>
      </c>
      <c r="E1038" s="1">
        <v>37365.9</v>
      </c>
      <c r="F1038" s="1">
        <v>37771.15</v>
      </c>
    </row>
    <row r="1039" spans="1:6" x14ac:dyDescent="0.25">
      <c r="A1039" s="1" t="s">
        <v>65</v>
      </c>
      <c r="B1039" s="1">
        <v>46028</v>
      </c>
      <c r="C1039" s="1">
        <v>37712.050000000003</v>
      </c>
      <c r="D1039" s="1">
        <v>38053.1</v>
      </c>
      <c r="E1039" s="1">
        <v>37680.699999999997</v>
      </c>
      <c r="F1039" s="1">
        <v>37977.4</v>
      </c>
    </row>
    <row r="1040" spans="1:6" x14ac:dyDescent="0.25">
      <c r="A1040" s="1" t="s">
        <v>65</v>
      </c>
      <c r="B1040" s="1">
        <v>46029</v>
      </c>
      <c r="C1040" s="1">
        <v>37951.300000000003</v>
      </c>
      <c r="D1040" s="1">
        <v>38736.800000000003</v>
      </c>
      <c r="E1040" s="1">
        <v>37940.85</v>
      </c>
      <c r="F1040" s="1">
        <v>38688.800000000003</v>
      </c>
    </row>
    <row r="1041" spans="1:6" x14ac:dyDescent="0.25">
      <c r="A1041" s="1" t="s">
        <v>65</v>
      </c>
      <c r="B1041" s="1">
        <v>46030</v>
      </c>
      <c r="C1041" s="1">
        <v>38686.550000000003</v>
      </c>
      <c r="D1041" s="1">
        <v>38728.65</v>
      </c>
      <c r="E1041" s="1">
        <v>37853.75</v>
      </c>
      <c r="F1041" s="1">
        <v>37920.300000000003</v>
      </c>
    </row>
    <row r="1042" spans="1:6" x14ac:dyDescent="0.25">
      <c r="A1042" s="1" t="s">
        <v>65</v>
      </c>
      <c r="B1042" s="1">
        <v>46031</v>
      </c>
      <c r="C1042" s="1">
        <v>37861.25</v>
      </c>
      <c r="D1042" s="1">
        <v>38244.550000000003</v>
      </c>
      <c r="E1042" s="1">
        <v>37861.15</v>
      </c>
      <c r="F1042" s="1">
        <v>38027.199999999997</v>
      </c>
    </row>
    <row r="1043" spans="1:6" x14ac:dyDescent="0.25">
      <c r="A1043" s="1" t="s">
        <v>65</v>
      </c>
      <c r="B1043" s="1">
        <v>46034</v>
      </c>
      <c r="C1043" s="1">
        <v>37938.6</v>
      </c>
      <c r="D1043" s="1">
        <v>38079.599999999999</v>
      </c>
      <c r="E1043" s="1">
        <v>37573.1</v>
      </c>
      <c r="F1043" s="1">
        <v>37988.25</v>
      </c>
    </row>
    <row r="1044" spans="1:6" x14ac:dyDescent="0.25">
      <c r="A1044" s="1" t="s">
        <v>65</v>
      </c>
      <c r="B1044" s="1">
        <v>46035</v>
      </c>
      <c r="C1044" s="1">
        <v>38227.85</v>
      </c>
      <c r="D1044" s="1">
        <v>38394.400000000001</v>
      </c>
      <c r="E1044" s="1">
        <v>37777.75</v>
      </c>
      <c r="F1044" s="1">
        <v>38236.550000000003</v>
      </c>
    </row>
    <row r="1045" spans="1:6" x14ac:dyDescent="0.25">
      <c r="A1045" s="1" t="s">
        <v>65</v>
      </c>
      <c r="B1045" s="1">
        <v>46036</v>
      </c>
      <c r="C1045" s="1">
        <v>38127.199999999997</v>
      </c>
      <c r="D1045" s="1">
        <v>38295.75</v>
      </c>
      <c r="E1045" s="1">
        <v>37649.15</v>
      </c>
      <c r="F1045" s="1">
        <v>37822.699999999997</v>
      </c>
    </row>
    <row r="1046" spans="1:6" x14ac:dyDescent="0.25">
      <c r="A1046" s="1" t="s">
        <v>65</v>
      </c>
      <c r="B1046" s="1">
        <v>46038</v>
      </c>
      <c r="C1046" s="1">
        <v>38433.35</v>
      </c>
      <c r="D1046" s="1">
        <v>39139.5</v>
      </c>
      <c r="E1046" s="1">
        <v>38390.5</v>
      </c>
      <c r="F1046" s="1">
        <v>39086.65</v>
      </c>
    </row>
    <row r="1047" spans="1:6" x14ac:dyDescent="0.25">
      <c r="A1047" s="1" t="s">
        <v>65</v>
      </c>
      <c r="B1047" s="1">
        <v>46041</v>
      </c>
      <c r="C1047" s="1">
        <v>38892.400000000001</v>
      </c>
      <c r="D1047" s="1">
        <v>38977.65</v>
      </c>
      <c r="E1047" s="1">
        <v>38624.9</v>
      </c>
      <c r="F1047" s="1">
        <v>38902.5</v>
      </c>
    </row>
    <row r="1048" spans="1:6" x14ac:dyDescent="0.25">
      <c r="A1048" s="1" t="s">
        <v>65</v>
      </c>
      <c r="B1048" s="1">
        <v>46042</v>
      </c>
      <c r="C1048" s="1">
        <v>38753.199999999997</v>
      </c>
      <c r="D1048" s="1">
        <v>38809</v>
      </c>
      <c r="E1048" s="1">
        <v>38023.85</v>
      </c>
      <c r="F1048" s="1">
        <v>38101.050000000003</v>
      </c>
    </row>
    <row r="1049" spans="1:6" x14ac:dyDescent="0.25">
      <c r="A1049" s="1" t="s">
        <v>65</v>
      </c>
      <c r="B1049" s="1">
        <v>46043</v>
      </c>
      <c r="C1049" s="1">
        <v>38001.949999999997</v>
      </c>
      <c r="D1049" s="1">
        <v>38128.300000000003</v>
      </c>
      <c r="E1049" s="1">
        <v>37451.35</v>
      </c>
      <c r="F1049" s="1">
        <v>37992.300000000003</v>
      </c>
    </row>
    <row r="1050" spans="1:6" x14ac:dyDescent="0.25">
      <c r="A1050" s="1" t="s">
        <v>65</v>
      </c>
      <c r="B1050" s="1">
        <v>46044</v>
      </c>
      <c r="C1050" s="1">
        <v>38294.800000000003</v>
      </c>
      <c r="D1050" s="1">
        <v>38542.5</v>
      </c>
      <c r="E1050" s="1">
        <v>38080.949999999997</v>
      </c>
      <c r="F1050" s="1">
        <v>38301.75</v>
      </c>
    </row>
    <row r="1051" spans="1:6" x14ac:dyDescent="0.25">
      <c r="A1051" s="1" t="s">
        <v>65</v>
      </c>
      <c r="B1051" s="1">
        <v>46045</v>
      </c>
      <c r="C1051" s="1">
        <v>38513.699999999997</v>
      </c>
      <c r="D1051" s="1">
        <v>38576.65</v>
      </c>
      <c r="E1051" s="1">
        <v>38149.300000000003</v>
      </c>
      <c r="F1051" s="1">
        <v>38238.5</v>
      </c>
    </row>
    <row r="1052" spans="1:6" x14ac:dyDescent="0.25">
      <c r="A1052" s="1" t="s">
        <v>65</v>
      </c>
      <c r="B1052" s="1">
        <v>46049</v>
      </c>
      <c r="C1052" s="1">
        <v>38482.85</v>
      </c>
      <c r="D1052" s="1">
        <v>38677.550000000003</v>
      </c>
      <c r="E1052" s="1">
        <v>38074.800000000003</v>
      </c>
      <c r="F1052" s="1">
        <v>38566.1</v>
      </c>
    </row>
    <row r="1053" spans="1:6" x14ac:dyDescent="0.25">
      <c r="A1053" s="1" t="s">
        <v>65</v>
      </c>
      <c r="B1053" s="1">
        <v>46050</v>
      </c>
      <c r="C1053" s="1">
        <v>38583.15</v>
      </c>
      <c r="D1053" s="1">
        <v>38792.65</v>
      </c>
      <c r="E1053" s="1">
        <v>38433.449999999997</v>
      </c>
      <c r="F1053" s="1">
        <v>38725.35</v>
      </c>
    </row>
    <row r="1054" spans="1:6" x14ac:dyDescent="0.25">
      <c r="A1054" s="1" t="s">
        <v>65</v>
      </c>
      <c r="B1054" s="1">
        <v>46051</v>
      </c>
      <c r="C1054" s="1">
        <v>38601.85</v>
      </c>
      <c r="D1054" s="1">
        <v>38635.599999999999</v>
      </c>
      <c r="E1054" s="1">
        <v>38063.4</v>
      </c>
      <c r="F1054" s="1">
        <v>38431.25</v>
      </c>
    </row>
    <row r="1055" spans="1:6" x14ac:dyDescent="0.25">
      <c r="A1055" s="1" t="s">
        <v>65</v>
      </c>
      <c r="B1055" s="1">
        <v>46052</v>
      </c>
      <c r="C1055" s="1">
        <v>38262.65</v>
      </c>
      <c r="D1055" s="1">
        <v>38262.65</v>
      </c>
      <c r="E1055" s="1">
        <v>37704.35</v>
      </c>
      <c r="F1055" s="1">
        <v>38036.15</v>
      </c>
    </row>
    <row r="1056" spans="1:6" x14ac:dyDescent="0.25">
      <c r="A1056" s="1" t="s">
        <v>65</v>
      </c>
      <c r="B1056" s="1">
        <v>46054</v>
      </c>
      <c r="C1056" s="1">
        <v>37936.949999999997</v>
      </c>
      <c r="D1056" s="1">
        <v>38833.75</v>
      </c>
      <c r="E1056" s="1">
        <v>37297.550000000003</v>
      </c>
      <c r="F1056" s="1">
        <v>38252.949999999997</v>
      </c>
    </row>
    <row r="1057" spans="1:6" x14ac:dyDescent="0.25">
      <c r="A1057" s="1" t="s">
        <v>65</v>
      </c>
      <c r="B1057" s="1">
        <v>46055</v>
      </c>
      <c r="C1057" s="1">
        <v>38396</v>
      </c>
      <c r="D1057" s="1">
        <v>38413.15</v>
      </c>
      <c r="E1057" s="1">
        <v>37807.1</v>
      </c>
      <c r="F1057" s="1">
        <v>38074.15</v>
      </c>
    </row>
    <row r="1058" spans="1:6" x14ac:dyDescent="0.25">
      <c r="A1058" s="1" t="s">
        <v>65</v>
      </c>
      <c r="B1058" s="1">
        <v>46056</v>
      </c>
      <c r="C1058" s="1">
        <v>40301.4</v>
      </c>
      <c r="D1058" s="1">
        <v>40301.4</v>
      </c>
      <c r="E1058" s="1">
        <v>38550.5</v>
      </c>
      <c r="F1058" s="1">
        <v>38611.75</v>
      </c>
    </row>
    <row r="1059" spans="1:6" x14ac:dyDescent="0.25">
      <c r="A1059" s="1" t="s">
        <v>65</v>
      </c>
      <c r="B1059" s="1">
        <v>46057</v>
      </c>
      <c r="C1059" s="1">
        <v>37165.35</v>
      </c>
      <c r="D1059" s="1">
        <v>37176.699999999997</v>
      </c>
      <c r="E1059" s="1">
        <v>35809.5</v>
      </c>
      <c r="F1059" s="1">
        <v>36345.65</v>
      </c>
    </row>
    <row r="1060" spans="1:6" x14ac:dyDescent="0.25">
      <c r="A1060" s="1" t="s">
        <v>65</v>
      </c>
      <c r="B1060" s="1">
        <v>46058</v>
      </c>
      <c r="C1060" s="1">
        <v>36215.65</v>
      </c>
      <c r="D1060" s="1">
        <v>36621.949999999997</v>
      </c>
      <c r="E1060" s="1">
        <v>36023.9</v>
      </c>
      <c r="F1060" s="1">
        <v>36143.300000000003</v>
      </c>
    </row>
    <row r="1061" spans="1:6" x14ac:dyDescent="0.25">
      <c r="A1061" s="1" t="s">
        <v>65</v>
      </c>
      <c r="B1061" s="1">
        <v>46059</v>
      </c>
      <c r="C1061" s="1">
        <v>36079.85</v>
      </c>
      <c r="D1061" s="1">
        <v>36105.85</v>
      </c>
      <c r="E1061" s="1">
        <v>35211.949999999997</v>
      </c>
      <c r="F1061" s="1">
        <v>35611.050000000003</v>
      </c>
    </row>
    <row r="1062" spans="1:6" x14ac:dyDescent="0.25">
      <c r="A1062" s="1" t="s">
        <v>65</v>
      </c>
      <c r="B1062" s="1">
        <v>46062</v>
      </c>
      <c r="C1062" s="1">
        <v>35840.9</v>
      </c>
      <c r="D1062" s="1">
        <v>36056.449999999997</v>
      </c>
      <c r="E1062" s="1">
        <v>35544.050000000003</v>
      </c>
      <c r="F1062" s="1">
        <v>35616.65</v>
      </c>
    </row>
    <row r="1063" spans="1:6" x14ac:dyDescent="0.25">
      <c r="A1063" s="1" t="s">
        <v>65</v>
      </c>
      <c r="B1063" s="1">
        <v>46063</v>
      </c>
      <c r="C1063" s="1">
        <v>35656.949999999997</v>
      </c>
      <c r="D1063" s="1">
        <v>36059.65</v>
      </c>
      <c r="E1063" s="1">
        <v>35427.4</v>
      </c>
      <c r="F1063" s="1">
        <v>35722.199999999997</v>
      </c>
    </row>
    <row r="1064" spans="1:6" x14ac:dyDescent="0.25">
      <c r="A1064" s="1" t="s">
        <v>65</v>
      </c>
      <c r="B1064" s="1">
        <v>46064</v>
      </c>
      <c r="C1064" s="1">
        <v>35788.65</v>
      </c>
      <c r="D1064" s="1">
        <v>35857.65</v>
      </c>
      <c r="E1064" s="1">
        <v>35013.599999999999</v>
      </c>
      <c r="F1064" s="1">
        <v>35095.15</v>
      </c>
    </row>
    <row r="1065" spans="1:6" x14ac:dyDescent="0.25">
      <c r="A1065" s="1" t="s">
        <v>65</v>
      </c>
      <c r="B1065" s="1">
        <v>46065</v>
      </c>
      <c r="C1065" s="1">
        <v>34439</v>
      </c>
      <c r="D1065" s="1">
        <v>34488.800000000003</v>
      </c>
      <c r="E1065" s="1">
        <v>33058.199999999997</v>
      </c>
      <c r="F1065" s="1">
        <v>33160.199999999997</v>
      </c>
    </row>
    <row r="1066" spans="1:6" x14ac:dyDescent="0.25">
      <c r="A1066" s="1" t="s">
        <v>65</v>
      </c>
      <c r="B1066" s="1">
        <v>46066</v>
      </c>
      <c r="C1066" s="1">
        <v>31487.4</v>
      </c>
      <c r="D1066" s="1">
        <v>32932.75</v>
      </c>
      <c r="E1066" s="1">
        <v>31422.6</v>
      </c>
      <c r="F1066" s="1">
        <v>32681.5</v>
      </c>
    </row>
    <row r="1067" spans="1:6" x14ac:dyDescent="0.25">
      <c r="A1067" s="1" t="s">
        <v>65</v>
      </c>
      <c r="B1067" s="1">
        <v>46069</v>
      </c>
      <c r="C1067" s="1">
        <v>32693</v>
      </c>
      <c r="D1067" s="1">
        <v>32809.35</v>
      </c>
      <c r="E1067" s="1">
        <v>32299.55</v>
      </c>
      <c r="F1067" s="1">
        <v>32738.05</v>
      </c>
    </row>
    <row r="1068" spans="1:6" x14ac:dyDescent="0.25">
      <c r="A1068" s="1" t="s">
        <v>65</v>
      </c>
      <c r="B1068" s="1">
        <v>46070</v>
      </c>
      <c r="C1068" s="1">
        <v>32793.75</v>
      </c>
      <c r="D1068" s="1">
        <v>33703.1</v>
      </c>
      <c r="E1068" s="1">
        <v>32650.45</v>
      </c>
      <c r="F1068" s="1">
        <v>33075.050000000003</v>
      </c>
    </row>
    <row r="1069" spans="1:6" x14ac:dyDescent="0.25">
      <c r="A1069" s="1" t="s">
        <v>65</v>
      </c>
      <c r="B1069" s="1">
        <v>46071</v>
      </c>
      <c r="C1069" s="1">
        <v>33133.85</v>
      </c>
      <c r="D1069" s="1">
        <v>33169.300000000003</v>
      </c>
      <c r="E1069" s="1">
        <v>32169.15</v>
      </c>
      <c r="F1069" s="1">
        <v>32668.3</v>
      </c>
    </row>
    <row r="1070" spans="1:6" x14ac:dyDescent="0.25">
      <c r="A1070" s="1" t="s">
        <v>65</v>
      </c>
      <c r="B1070" s="1">
        <v>46072</v>
      </c>
      <c r="C1070" s="1">
        <v>32875.1</v>
      </c>
      <c r="D1070" s="1">
        <v>33167.599999999999</v>
      </c>
      <c r="E1070" s="1">
        <v>32195.95</v>
      </c>
      <c r="F1070" s="1">
        <v>32319.4</v>
      </c>
    </row>
    <row r="1071" spans="1:6" x14ac:dyDescent="0.25">
      <c r="A1071" s="1" t="s">
        <v>65</v>
      </c>
      <c r="B1071" s="1">
        <v>46073</v>
      </c>
      <c r="C1071" s="1">
        <v>32098.95</v>
      </c>
      <c r="D1071" s="1">
        <v>32339.8</v>
      </c>
      <c r="E1071" s="1">
        <v>31804.75</v>
      </c>
      <c r="F1071" s="1">
        <v>32004.05</v>
      </c>
    </row>
    <row r="1072" spans="1:6" x14ac:dyDescent="0.25">
      <c r="A1072" s="1" t="s">
        <v>65</v>
      </c>
      <c r="B1072" s="1">
        <v>46076</v>
      </c>
      <c r="C1072" s="1">
        <v>31987.8</v>
      </c>
      <c r="D1072" s="1">
        <v>32051.7</v>
      </c>
      <c r="E1072" s="1">
        <v>31416.55</v>
      </c>
      <c r="F1072" s="1">
        <v>31550.5</v>
      </c>
    </row>
    <row r="1073" spans="1:6" x14ac:dyDescent="0.25">
      <c r="A1073" s="1" t="s">
        <v>65</v>
      </c>
      <c r="B1073" s="1">
        <v>46077</v>
      </c>
      <c r="C1073" s="1">
        <v>31031.85</v>
      </c>
      <c r="D1073" s="1">
        <v>31056.45</v>
      </c>
      <c r="E1073" s="1">
        <v>29875</v>
      </c>
      <c r="F1073" s="1">
        <v>30053.5</v>
      </c>
    </row>
    <row r="1074" spans="1:6" x14ac:dyDescent="0.25">
      <c r="A1074" s="1" t="s">
        <v>65</v>
      </c>
      <c r="B1074" s="1">
        <v>46078</v>
      </c>
      <c r="C1074" s="1">
        <v>30343.9</v>
      </c>
      <c r="D1074" s="1">
        <v>30999.75</v>
      </c>
      <c r="E1074" s="1">
        <v>30340.95</v>
      </c>
      <c r="F1074" s="1">
        <v>30526.35</v>
      </c>
    </row>
    <row r="1075" spans="1:6" x14ac:dyDescent="0.25">
      <c r="A1075" s="1" t="s">
        <v>65</v>
      </c>
      <c r="B1075" s="1">
        <v>46079</v>
      </c>
      <c r="C1075" s="1">
        <v>30797.05</v>
      </c>
      <c r="D1075" s="1">
        <v>31112.2</v>
      </c>
      <c r="E1075" s="1">
        <v>30459.8</v>
      </c>
      <c r="F1075" s="1">
        <v>30554.2</v>
      </c>
    </row>
    <row r="1076" spans="1:6" x14ac:dyDescent="0.25">
      <c r="A1076" s="1" t="s">
        <v>65</v>
      </c>
      <c r="B1076" s="1">
        <v>46080</v>
      </c>
      <c r="C1076" s="1">
        <v>31145.75</v>
      </c>
      <c r="D1076" s="1">
        <v>31305.8</v>
      </c>
      <c r="E1076" s="1">
        <v>30546</v>
      </c>
      <c r="F1076" s="1">
        <v>30603.85</v>
      </c>
    </row>
    <row r="1077" spans="1:6" x14ac:dyDescent="0.25">
      <c r="A1077" s="1" t="s">
        <v>65</v>
      </c>
      <c r="B1077" s="1">
        <v>46083</v>
      </c>
      <c r="C1077" s="1">
        <v>30020.15</v>
      </c>
      <c r="D1077" s="1">
        <v>30587.3</v>
      </c>
      <c r="E1077" s="1">
        <v>29889.5</v>
      </c>
      <c r="F1077" s="1">
        <v>30272.95</v>
      </c>
    </row>
    <row r="1078" spans="1:6" x14ac:dyDescent="0.25">
      <c r="A1078" s="1" t="s">
        <v>65</v>
      </c>
      <c r="B1078" s="1">
        <v>46085</v>
      </c>
      <c r="C1078" s="1">
        <v>30092.2</v>
      </c>
      <c r="D1078" s="1">
        <v>30579.45</v>
      </c>
      <c r="E1078" s="1">
        <v>30092.2</v>
      </c>
      <c r="F1078" s="1">
        <v>30305.25</v>
      </c>
    </row>
    <row r="1079" spans="1:6" x14ac:dyDescent="0.25">
      <c r="A1079" s="1" t="s">
        <v>65</v>
      </c>
      <c r="B1079" s="1">
        <v>46086</v>
      </c>
      <c r="C1079" s="1">
        <v>30554.85</v>
      </c>
      <c r="D1079" s="1">
        <v>30563.35</v>
      </c>
      <c r="E1079" s="1">
        <v>29823.15</v>
      </c>
      <c r="F1079" s="1">
        <v>30126.799999999999</v>
      </c>
    </row>
    <row r="1080" spans="1:6" x14ac:dyDescent="0.25">
      <c r="A1080" s="1" t="s">
        <v>65</v>
      </c>
      <c r="B1080" s="1">
        <v>46087</v>
      </c>
      <c r="C1080" s="1">
        <v>30074.6</v>
      </c>
      <c r="D1080" s="1">
        <v>30664.95</v>
      </c>
      <c r="E1080" s="1">
        <v>30062.75</v>
      </c>
      <c r="F1080" s="1">
        <v>30138.400000000001</v>
      </c>
    </row>
    <row r="1081" spans="1:6" x14ac:dyDescent="0.25">
      <c r="A1081" s="1" t="s">
        <v>65</v>
      </c>
      <c r="B1081" s="1">
        <v>46090</v>
      </c>
      <c r="C1081" s="1">
        <v>29688.05</v>
      </c>
      <c r="D1081" s="1">
        <v>30241.1</v>
      </c>
      <c r="E1081" s="1">
        <v>29533.9</v>
      </c>
      <c r="F1081" s="1">
        <v>30162.05</v>
      </c>
    </row>
    <row r="1082" spans="1:6" x14ac:dyDescent="0.25">
      <c r="A1082" s="1" t="s">
        <v>65</v>
      </c>
      <c r="B1082" s="1">
        <v>46091</v>
      </c>
      <c r="C1082" s="1">
        <v>30337.599999999999</v>
      </c>
      <c r="D1082" s="1">
        <v>30360.15</v>
      </c>
      <c r="E1082" s="1">
        <v>29741.05</v>
      </c>
      <c r="F1082" s="1">
        <v>30024</v>
      </c>
    </row>
    <row r="1083" spans="1:6" x14ac:dyDescent="0.25">
      <c r="A1083" s="1" t="s">
        <v>65</v>
      </c>
      <c r="B1083" s="1">
        <v>46092</v>
      </c>
      <c r="C1083" s="1">
        <v>30043.85</v>
      </c>
      <c r="D1083" s="1">
        <v>30231.4</v>
      </c>
      <c r="E1083" s="1">
        <v>29598.3</v>
      </c>
      <c r="F1083" s="1">
        <v>29651.7</v>
      </c>
    </row>
    <row r="1084" spans="1:6" x14ac:dyDescent="0.25">
      <c r="A1084" s="1" t="s">
        <v>65</v>
      </c>
      <c r="B1084" s="1">
        <v>46093</v>
      </c>
      <c r="C1084" s="1">
        <v>29587.05</v>
      </c>
      <c r="D1084" s="1">
        <v>29790.799999999999</v>
      </c>
      <c r="E1084" s="1">
        <v>29322.799999999999</v>
      </c>
      <c r="F1084" s="1">
        <v>29579.45</v>
      </c>
    </row>
    <row r="1085" spans="1:6" x14ac:dyDescent="0.25">
      <c r="A1085" s="1" t="s">
        <v>65</v>
      </c>
      <c r="B1085" s="1">
        <v>46094</v>
      </c>
      <c r="C1085" s="1">
        <v>29381.65</v>
      </c>
      <c r="D1085" s="1">
        <v>29508.45</v>
      </c>
      <c r="E1085" s="1">
        <v>28936.75</v>
      </c>
      <c r="F1085" s="1">
        <v>29071.25</v>
      </c>
    </row>
    <row r="1086" spans="1:6" x14ac:dyDescent="0.25">
      <c r="A1086" s="1" t="s">
        <v>65</v>
      </c>
      <c r="B1086" s="1">
        <v>46097</v>
      </c>
      <c r="C1086" s="1">
        <v>28934.6</v>
      </c>
      <c r="D1086" s="1">
        <v>29202.7</v>
      </c>
      <c r="E1086" s="1">
        <v>28586.95</v>
      </c>
      <c r="F1086" s="1">
        <v>29042.55</v>
      </c>
    </row>
    <row r="1087" spans="1:6" x14ac:dyDescent="0.25">
      <c r="A1087" s="1" t="s">
        <v>65</v>
      </c>
      <c r="B1087" s="1">
        <v>46098</v>
      </c>
      <c r="C1087" s="1">
        <v>29080.75</v>
      </c>
      <c r="D1087" s="1">
        <v>29080.75</v>
      </c>
      <c r="E1087" s="1">
        <v>28288.05</v>
      </c>
      <c r="F1087" s="1">
        <v>28760.9</v>
      </c>
    </row>
    <row r="1088" spans="1:6" x14ac:dyDescent="0.25">
      <c r="A1088" s="1" t="s">
        <v>65</v>
      </c>
      <c r="B1088" s="1">
        <v>46099</v>
      </c>
      <c r="C1088" s="1">
        <v>28912.05</v>
      </c>
      <c r="D1088" s="1">
        <v>30055.599999999999</v>
      </c>
      <c r="E1088" s="1">
        <v>28912.05</v>
      </c>
      <c r="F1088" s="1">
        <v>29559.3</v>
      </c>
    </row>
    <row r="1089" spans="1:6" x14ac:dyDescent="0.25">
      <c r="A1089" s="1" t="s">
        <v>65</v>
      </c>
      <c r="B1089" s="1">
        <v>46100</v>
      </c>
      <c r="C1089" s="1">
        <v>29141.95</v>
      </c>
      <c r="D1089" s="1">
        <v>29321.85</v>
      </c>
      <c r="E1089" s="1">
        <v>28477.5</v>
      </c>
      <c r="F1089" s="1">
        <v>28579.599999999999</v>
      </c>
    </row>
    <row r="1090" spans="1:6" x14ac:dyDescent="0.25">
      <c r="A1090" s="1" t="s">
        <v>65</v>
      </c>
      <c r="B1090" s="1">
        <v>46101</v>
      </c>
      <c r="C1090" s="1">
        <v>28993</v>
      </c>
      <c r="D1090" s="1">
        <v>29322.400000000001</v>
      </c>
      <c r="E1090" s="1">
        <v>28844.45</v>
      </c>
      <c r="F1090" s="1">
        <v>29199.599999999999</v>
      </c>
    </row>
    <row r="1091" spans="1:6" x14ac:dyDescent="0.25">
      <c r="A1091" s="1" t="s">
        <v>65</v>
      </c>
      <c r="B1091" s="1">
        <v>46104</v>
      </c>
      <c r="C1091" s="1">
        <v>28847.9</v>
      </c>
      <c r="D1091" s="1">
        <v>29295.7</v>
      </c>
      <c r="E1091" s="1">
        <v>28613.8</v>
      </c>
      <c r="F1091" s="1">
        <v>29147.05</v>
      </c>
    </row>
    <row r="1092" spans="1:6" x14ac:dyDescent="0.25">
      <c r="A1092" s="1" t="s">
        <v>65</v>
      </c>
      <c r="B1092" s="1">
        <v>46105</v>
      </c>
      <c r="C1092" s="1">
        <v>29572.75</v>
      </c>
      <c r="D1092" s="1">
        <v>29926.35</v>
      </c>
      <c r="E1092" s="1">
        <v>29210.7</v>
      </c>
      <c r="F1092" s="1">
        <v>29648.9</v>
      </c>
    </row>
    <row r="1093" spans="1:6" x14ac:dyDescent="0.25">
      <c r="A1093" s="1" t="s">
        <v>65</v>
      </c>
      <c r="B1093" s="1">
        <v>46106</v>
      </c>
      <c r="C1093" s="1">
        <v>29552.15</v>
      </c>
      <c r="D1093" s="1">
        <v>29950.05</v>
      </c>
      <c r="E1093" s="1">
        <v>29413.45</v>
      </c>
      <c r="F1093" s="1">
        <v>29671.3</v>
      </c>
    </row>
    <row r="1094" spans="1:6" x14ac:dyDescent="0.25">
      <c r="A1094" s="1" t="s">
        <v>65</v>
      </c>
      <c r="B1094" s="1">
        <v>46108</v>
      </c>
      <c r="C1094" s="1">
        <v>29721</v>
      </c>
      <c r="D1094" s="1">
        <v>30029.55</v>
      </c>
      <c r="E1094" s="1">
        <v>29461.200000000001</v>
      </c>
      <c r="F1094" s="1">
        <v>29541.65</v>
      </c>
    </row>
    <row r="1095" spans="1:6" x14ac:dyDescent="0.25">
      <c r="A1095" s="1" t="s">
        <v>65</v>
      </c>
      <c r="B1095" s="1">
        <v>46111</v>
      </c>
      <c r="C1095" s="1">
        <v>29225.599999999999</v>
      </c>
      <c r="D1095" s="1">
        <v>29439.05</v>
      </c>
      <c r="E1095" s="1">
        <v>28961.4</v>
      </c>
      <c r="F1095" s="1">
        <v>29062.6</v>
      </c>
    </row>
    <row r="1096" spans="1:6" x14ac:dyDescent="0.25">
      <c r="A1096" s="1" t="s">
        <v>65</v>
      </c>
      <c r="B1096" s="1">
        <v>46113</v>
      </c>
      <c r="C1096" s="1">
        <v>29943.15</v>
      </c>
      <c r="D1096" s="1">
        <v>30257.85</v>
      </c>
      <c r="E1096" s="1">
        <v>29562.35</v>
      </c>
      <c r="F1096" s="1">
        <v>29669.05</v>
      </c>
    </row>
    <row r="1097" spans="1:6" x14ac:dyDescent="0.25">
      <c r="A1097" s="1" t="s">
        <v>65</v>
      </c>
      <c r="B1097" s="1">
        <v>46114</v>
      </c>
      <c r="C1097" s="1">
        <v>29352.45</v>
      </c>
      <c r="D1097" s="1">
        <v>30558.6</v>
      </c>
      <c r="E1097" s="1">
        <v>29324.35</v>
      </c>
      <c r="F1097" s="1">
        <v>30441.45</v>
      </c>
    </row>
    <row r="1098" spans="1:6" x14ac:dyDescent="0.25">
      <c r="A1098" s="1" t="s">
        <v>65</v>
      </c>
      <c r="B1098" s="1">
        <v>46118</v>
      </c>
      <c r="C1098" s="1">
        <v>30490.400000000001</v>
      </c>
      <c r="D1098" s="1">
        <v>30821.35</v>
      </c>
      <c r="E1098" s="1">
        <v>30444.05</v>
      </c>
      <c r="F1098" s="1">
        <v>30636.55</v>
      </c>
    </row>
    <row r="1099" spans="1:6" x14ac:dyDescent="0.25">
      <c r="A1099" s="1" t="s">
        <v>65</v>
      </c>
      <c r="B1099" s="1">
        <v>46119</v>
      </c>
      <c r="C1099" s="1">
        <v>30489.3</v>
      </c>
      <c r="D1099" s="1">
        <v>31443.05</v>
      </c>
      <c r="E1099" s="1">
        <v>30372.1</v>
      </c>
      <c r="F1099" s="1">
        <v>31403.35</v>
      </c>
    </row>
    <row r="1100" spans="1:6" x14ac:dyDescent="0.25">
      <c r="A1100" s="1" t="s">
        <v>65</v>
      </c>
      <c r="B1100" s="1">
        <v>46120</v>
      </c>
      <c r="C1100" s="1">
        <v>31786.7</v>
      </c>
      <c r="D1100" s="1">
        <v>31946.75</v>
      </c>
      <c r="E1100" s="1">
        <v>31272.799999999999</v>
      </c>
      <c r="F1100" s="1">
        <v>31565.8</v>
      </c>
    </row>
    <row r="1101" spans="1:6" x14ac:dyDescent="0.25">
      <c r="A1101" s="1" t="s">
        <v>65</v>
      </c>
      <c r="B1101" s="1">
        <v>46121</v>
      </c>
      <c r="C1101" s="1">
        <v>31436.65</v>
      </c>
      <c r="D1101" s="1">
        <v>31718</v>
      </c>
      <c r="E1101" s="1">
        <v>31105.75</v>
      </c>
      <c r="F1101" s="1">
        <v>31636.2</v>
      </c>
    </row>
    <row r="1102" spans="1:6" x14ac:dyDescent="0.25">
      <c r="A1102" s="1" t="s">
        <v>65</v>
      </c>
      <c r="B1102" s="1">
        <v>46122</v>
      </c>
      <c r="C1102" s="1">
        <v>31533.35</v>
      </c>
      <c r="D1102" s="1">
        <v>31544.7</v>
      </c>
      <c r="E1102" s="1">
        <v>30680.799999999999</v>
      </c>
      <c r="F1102" s="1">
        <v>31030.6</v>
      </c>
    </row>
    <row r="1103" spans="1:6" x14ac:dyDescent="0.25">
      <c r="A1103" s="1" t="s">
        <v>65</v>
      </c>
      <c r="B1103" s="1">
        <v>46125</v>
      </c>
      <c r="C1103" s="1">
        <v>30619.75</v>
      </c>
      <c r="D1103" s="1">
        <v>30821.4</v>
      </c>
      <c r="E1103" s="1">
        <v>30402.25</v>
      </c>
      <c r="F1103" s="1">
        <v>30669.8</v>
      </c>
    </row>
    <row r="1104" spans="1:6" x14ac:dyDescent="0.25">
      <c r="A1104" s="1" t="s">
        <v>65</v>
      </c>
      <c r="B1104" s="1">
        <v>46127</v>
      </c>
      <c r="C1104" s="1">
        <v>31170.75</v>
      </c>
      <c r="D1104" s="1">
        <v>31661.15</v>
      </c>
      <c r="E1104" s="1">
        <v>31111.5</v>
      </c>
      <c r="F1104" s="1">
        <v>31539.75</v>
      </c>
    </row>
    <row r="1105" spans="1:6" x14ac:dyDescent="0.25">
      <c r="A1105" s="1" t="s">
        <v>65</v>
      </c>
      <c r="B1105" s="1">
        <v>46128</v>
      </c>
      <c r="C1105" s="1">
        <v>31833.599999999999</v>
      </c>
      <c r="D1105" s="1">
        <v>32134.25</v>
      </c>
      <c r="E1105" s="1">
        <v>31600.1</v>
      </c>
      <c r="F1105" s="1">
        <v>31817.5</v>
      </c>
    </row>
    <row r="1106" spans="1:6" x14ac:dyDescent="0.25">
      <c r="A1106" s="1" t="s">
        <v>65</v>
      </c>
      <c r="B1106" s="1">
        <v>46129</v>
      </c>
      <c r="C1106" s="1">
        <v>31656.55</v>
      </c>
      <c r="D1106" s="1">
        <v>31959.35</v>
      </c>
      <c r="E1106" s="1">
        <v>31411.75</v>
      </c>
      <c r="F1106" s="1">
        <v>31809.85</v>
      </c>
    </row>
    <row r="1107" spans="1:6" x14ac:dyDescent="0.25">
      <c r="A1107" s="1" t="s">
        <v>65</v>
      </c>
      <c r="B1107" s="1">
        <v>46132</v>
      </c>
      <c r="C1107" s="1">
        <v>31855.35</v>
      </c>
      <c r="D1107" s="1">
        <v>31912.5</v>
      </c>
      <c r="E1107" s="1">
        <v>31498.75</v>
      </c>
      <c r="F1107" s="1">
        <v>31585.75</v>
      </c>
    </row>
    <row r="1108" spans="1:6" x14ac:dyDescent="0.25">
      <c r="A1108" s="1" t="s">
        <v>65</v>
      </c>
      <c r="B1108" s="1">
        <v>46133</v>
      </c>
      <c r="C1108" s="1">
        <v>31536.55</v>
      </c>
      <c r="D1108" s="1">
        <v>31883.85</v>
      </c>
      <c r="E1108" s="1">
        <v>31415.75</v>
      </c>
      <c r="F1108" s="1">
        <v>31729.1</v>
      </c>
    </row>
    <row r="1109" spans="1:6" x14ac:dyDescent="0.25">
      <c r="A1109" s="1" t="s">
        <v>65</v>
      </c>
      <c r="B1109" s="1">
        <v>46134</v>
      </c>
      <c r="C1109" s="1">
        <v>31068.25</v>
      </c>
      <c r="D1109" s="1">
        <v>31072.95</v>
      </c>
      <c r="E1109" s="1">
        <v>30135.15</v>
      </c>
      <c r="F1109" s="1">
        <v>30496.25</v>
      </c>
    </row>
    <row r="1110" spans="1:6" x14ac:dyDescent="0.25">
      <c r="A1110" s="1" t="s">
        <v>65</v>
      </c>
      <c r="B1110" s="1">
        <v>46135</v>
      </c>
      <c r="C1110" s="1">
        <v>30432.95</v>
      </c>
      <c r="D1110" s="1">
        <v>30525.9</v>
      </c>
      <c r="E1110" s="1">
        <v>29982.25</v>
      </c>
      <c r="F1110" s="1">
        <v>30124.3</v>
      </c>
    </row>
    <row r="1111" spans="1:6" x14ac:dyDescent="0.25">
      <c r="A1111" s="1" t="s">
        <v>65</v>
      </c>
      <c r="B1111" s="1">
        <v>46136</v>
      </c>
      <c r="C1111" s="1">
        <v>29650.2</v>
      </c>
      <c r="D1111" s="1">
        <v>29872.5</v>
      </c>
      <c r="E1111" s="1">
        <v>28442.400000000001</v>
      </c>
      <c r="F1111" s="1">
        <v>28530.6</v>
      </c>
    </row>
    <row r="1112" spans="1:6" x14ac:dyDescent="0.25">
      <c r="A1112" s="1" t="s">
        <v>65</v>
      </c>
      <c r="B1112" s="1">
        <v>46139</v>
      </c>
      <c r="C1112" s="1">
        <v>28582.75</v>
      </c>
      <c r="D1112" s="1">
        <v>29238.85</v>
      </c>
      <c r="E1112" s="1">
        <v>28578.55</v>
      </c>
      <c r="F1112" s="1">
        <v>29159.15</v>
      </c>
    </row>
    <row r="1113" spans="1:6" x14ac:dyDescent="0.25">
      <c r="A1113" s="1" t="s">
        <v>65</v>
      </c>
      <c r="B1113" s="1">
        <v>46140</v>
      </c>
      <c r="C1113" s="1">
        <v>29098.55</v>
      </c>
      <c r="D1113" s="1">
        <v>29270.05</v>
      </c>
      <c r="E1113" s="1">
        <v>28891.1</v>
      </c>
      <c r="F1113" s="1">
        <v>28959.9</v>
      </c>
    </row>
    <row r="1114" spans="1:6" x14ac:dyDescent="0.25">
      <c r="A1114" s="1" t="s">
        <v>65</v>
      </c>
      <c r="B1114" s="1">
        <v>46141</v>
      </c>
      <c r="C1114" s="1">
        <v>29072.15</v>
      </c>
      <c r="D1114" s="1">
        <v>29486.799999999999</v>
      </c>
      <c r="E1114" s="1">
        <v>29034.3</v>
      </c>
      <c r="F1114" s="1">
        <v>29245.200000000001</v>
      </c>
    </row>
    <row r="1115" spans="1:6" x14ac:dyDescent="0.25">
      <c r="A1115" s="1" t="s">
        <v>65</v>
      </c>
      <c r="B1115" s="1">
        <v>46142</v>
      </c>
      <c r="C1115" s="1">
        <v>29287.3</v>
      </c>
      <c r="D1115" s="1">
        <v>29543.1</v>
      </c>
      <c r="E1115" s="1">
        <v>29012.7</v>
      </c>
      <c r="F1115" s="1">
        <v>29353.9</v>
      </c>
    </row>
    <row r="1116" spans="1:6" x14ac:dyDescent="0.25">
      <c r="A1116" s="1" t="s">
        <v>65</v>
      </c>
      <c r="B1116" s="1">
        <v>46146</v>
      </c>
      <c r="C1116" s="1">
        <v>29606.5</v>
      </c>
      <c r="D1116" s="1">
        <v>29664.5</v>
      </c>
      <c r="E1116" s="1">
        <v>28955.599999999999</v>
      </c>
      <c r="F1116" s="1">
        <v>29076.1</v>
      </c>
    </row>
    <row r="1117" spans="1:6" x14ac:dyDescent="0.25">
      <c r="A1117" s="1" t="s">
        <v>65</v>
      </c>
      <c r="B1117" s="1">
        <v>46147</v>
      </c>
      <c r="C1117" s="1">
        <v>29069.85</v>
      </c>
      <c r="D1117" s="1">
        <v>29407</v>
      </c>
      <c r="E1117" s="1">
        <v>28889.45</v>
      </c>
      <c r="F1117" s="1">
        <v>29107.3</v>
      </c>
    </row>
    <row r="1118" spans="1:6" x14ac:dyDescent="0.25">
      <c r="A1118" s="1" t="s">
        <v>65</v>
      </c>
      <c r="B1118" s="1">
        <v>46148</v>
      </c>
      <c r="C1118" s="1">
        <v>29435.5</v>
      </c>
      <c r="D1118" s="1">
        <v>29646.05</v>
      </c>
      <c r="E1118" s="1">
        <v>29123.8</v>
      </c>
      <c r="F1118" s="1">
        <v>29267.95</v>
      </c>
    </row>
    <row r="1119" spans="1:6" x14ac:dyDescent="0.25">
      <c r="A1119" s="1" t="s">
        <v>65</v>
      </c>
      <c r="B1119" s="1">
        <v>46149</v>
      </c>
      <c r="C1119" s="1">
        <v>29377.8</v>
      </c>
      <c r="D1119" s="1">
        <v>29418</v>
      </c>
      <c r="E1119" s="1">
        <v>29009.4</v>
      </c>
      <c r="F1119" s="1">
        <v>29043.5</v>
      </c>
    </row>
    <row r="1120" spans="1:6" x14ac:dyDescent="0.25">
      <c r="A1120" s="1" t="s">
        <v>65</v>
      </c>
      <c r="B1120" s="1">
        <v>46150</v>
      </c>
      <c r="C1120" s="1">
        <v>29031.55</v>
      </c>
      <c r="D1120" s="1">
        <v>29490.6</v>
      </c>
      <c r="E1120" s="1">
        <v>28961.8</v>
      </c>
      <c r="F1120" s="1">
        <v>29394.2</v>
      </c>
    </row>
    <row r="1121" spans="1:6" x14ac:dyDescent="0.25">
      <c r="A1121" s="1" t="s">
        <v>65</v>
      </c>
      <c r="B1121" s="1">
        <v>46153</v>
      </c>
      <c r="C1121" s="1">
        <v>29323.4</v>
      </c>
      <c r="D1121" s="1">
        <v>29536.9</v>
      </c>
      <c r="E1121" s="1">
        <v>29274.05</v>
      </c>
      <c r="F1121" s="1">
        <v>29329.45</v>
      </c>
    </row>
    <row r="1122" spans="1:6" x14ac:dyDescent="0.25">
      <c r="A1122" s="1" t="s">
        <v>65</v>
      </c>
      <c r="B1122" s="1">
        <v>46154</v>
      </c>
      <c r="C1122" s="1">
        <v>29091.05</v>
      </c>
      <c r="D1122" s="1">
        <v>29091.05</v>
      </c>
      <c r="E1122" s="1">
        <v>28126.9</v>
      </c>
      <c r="F1122" s="1">
        <v>28234.9</v>
      </c>
    </row>
    <row r="1123" spans="1:6" x14ac:dyDescent="0.25">
      <c r="A1123" s="1" t="s">
        <v>65</v>
      </c>
      <c r="B1123" s="1">
        <v>46155</v>
      </c>
      <c r="C1123" s="1">
        <v>28226.799999999999</v>
      </c>
      <c r="D1123" s="1">
        <v>28335.45</v>
      </c>
      <c r="E1123" s="1">
        <v>27880.75</v>
      </c>
      <c r="F1123" s="1">
        <v>27916.65</v>
      </c>
    </row>
    <row r="1124" spans="1:6" x14ac:dyDescent="0.25">
      <c r="A1124" s="1" t="s">
        <v>65</v>
      </c>
      <c r="B1124" s="1">
        <v>46156</v>
      </c>
      <c r="C1124" s="1">
        <v>27847.5</v>
      </c>
      <c r="D1124" s="1">
        <v>27856</v>
      </c>
      <c r="E1124" s="1">
        <v>27078</v>
      </c>
      <c r="F1124" s="1">
        <v>27360.35</v>
      </c>
    </row>
    <row r="1125" spans="1:6" x14ac:dyDescent="0.25">
      <c r="A1125" s="1" t="s">
        <v>65</v>
      </c>
      <c r="B1125" s="1">
        <v>46157</v>
      </c>
      <c r="C1125" s="1">
        <v>27472.65</v>
      </c>
      <c r="D1125" s="1">
        <v>28114.1</v>
      </c>
      <c r="E1125" s="1">
        <v>27472.65</v>
      </c>
      <c r="F1125" s="1">
        <v>27716.9</v>
      </c>
    </row>
    <row r="1126" spans="1:6" x14ac:dyDescent="0.25">
      <c r="A1126" s="1" t="s">
        <v>65</v>
      </c>
      <c r="B1126" s="1">
        <v>46160</v>
      </c>
      <c r="C1126" s="1">
        <v>27689.599999999999</v>
      </c>
      <c r="D1126" s="1">
        <v>28466.1</v>
      </c>
      <c r="E1126" s="1">
        <v>27663.8</v>
      </c>
      <c r="F1126" s="1">
        <v>28389.8</v>
      </c>
    </row>
    <row r="1127" spans="1:6" x14ac:dyDescent="0.25">
      <c r="A1127" s="1" t="s">
        <v>65</v>
      </c>
      <c r="B1127" s="1">
        <v>46161</v>
      </c>
      <c r="C1127" s="1">
        <v>28679.85</v>
      </c>
      <c r="D1127" s="1">
        <v>29609.599999999999</v>
      </c>
      <c r="E1127" s="1">
        <v>28677.8</v>
      </c>
      <c r="F1127" s="1">
        <v>29308</v>
      </c>
    </row>
    <row r="1128" spans="1:6" x14ac:dyDescent="0.25">
      <c r="A1128" s="1" t="s">
        <v>65</v>
      </c>
      <c r="B1128" s="1">
        <v>46162</v>
      </c>
      <c r="C1128" s="1">
        <v>29140.799999999999</v>
      </c>
      <c r="D1128" s="1">
        <v>29517.15</v>
      </c>
      <c r="E1128" s="1">
        <v>29036.65</v>
      </c>
      <c r="F1128" s="1">
        <v>29185.15</v>
      </c>
    </row>
    <row r="1129" spans="1:6" x14ac:dyDescent="0.25">
      <c r="A1129" s="1" t="s">
        <v>65</v>
      </c>
      <c r="B1129" s="1">
        <v>46163</v>
      </c>
      <c r="C1129" s="1">
        <v>29277.95</v>
      </c>
      <c r="D1129" s="1">
        <v>29328.35</v>
      </c>
      <c r="E1129" s="1">
        <v>28964.95</v>
      </c>
      <c r="F1129" s="1">
        <v>29021.1</v>
      </c>
    </row>
    <row r="1130" spans="1:6" x14ac:dyDescent="0.25">
      <c r="A1130" s="1" t="s">
        <v>65</v>
      </c>
      <c r="B1130" s="1">
        <v>46164</v>
      </c>
      <c r="C1130" s="1">
        <v>29072.6</v>
      </c>
      <c r="D1130" s="1">
        <v>29181.95</v>
      </c>
      <c r="E1130" s="1">
        <v>28792.5</v>
      </c>
      <c r="F1130" s="1">
        <v>28912.45</v>
      </c>
    </row>
    <row r="1131" spans="1:6" x14ac:dyDescent="0.25">
      <c r="A1131" s="1" t="s">
        <v>65</v>
      </c>
      <c r="B1131" s="1">
        <v>46167</v>
      </c>
      <c r="C1131" s="1">
        <v>29103.65</v>
      </c>
      <c r="D1131" s="1">
        <v>29177.8</v>
      </c>
      <c r="E1131" s="1">
        <v>28831.3</v>
      </c>
      <c r="F1131" s="1">
        <v>28979.85</v>
      </c>
    </row>
    <row r="1132" spans="1:6" x14ac:dyDescent="0.25">
      <c r="A1132" s="1" t="s">
        <v>65</v>
      </c>
      <c r="B1132" s="1">
        <v>46168</v>
      </c>
      <c r="C1132" s="1">
        <v>28970.5</v>
      </c>
      <c r="D1132" s="1">
        <v>29203.1</v>
      </c>
      <c r="E1132" s="1">
        <v>28919.05</v>
      </c>
      <c r="F1132" s="1">
        <v>28978.5</v>
      </c>
    </row>
    <row r="1133" spans="1:6" x14ac:dyDescent="0.25">
      <c r="A1133" s="1" t="s">
        <v>65</v>
      </c>
      <c r="B1133" s="1">
        <v>46169</v>
      </c>
      <c r="C1133" s="1">
        <v>28928.9</v>
      </c>
      <c r="D1133" s="1">
        <v>29116.400000000001</v>
      </c>
      <c r="E1133" s="1">
        <v>28800.9</v>
      </c>
      <c r="F1133" s="1">
        <v>28906.7</v>
      </c>
    </row>
    <row r="1134" spans="1:6" x14ac:dyDescent="0.25">
      <c r="A1134" s="1" t="s">
        <v>65</v>
      </c>
      <c r="B1134" s="1">
        <v>46171</v>
      </c>
      <c r="C1134" s="1">
        <v>29347.5</v>
      </c>
      <c r="D1134" s="1">
        <v>29747.200000000001</v>
      </c>
      <c r="E1134" s="1">
        <v>28931.75</v>
      </c>
      <c r="F1134" s="1">
        <v>29080.15</v>
      </c>
    </row>
    <row r="1135" spans="1:6" x14ac:dyDescent="0.25">
      <c r="A1135" s="1" t="s">
        <v>65</v>
      </c>
      <c r="B1135" s="1">
        <v>46174</v>
      </c>
      <c r="C1135" s="1">
        <v>29349.200000000001</v>
      </c>
      <c r="D1135" s="1">
        <v>30238.15</v>
      </c>
      <c r="E1135" s="1">
        <v>29341.599999999999</v>
      </c>
      <c r="F1135" s="1">
        <v>29854.25</v>
      </c>
    </row>
    <row r="1136" spans="1:6" x14ac:dyDescent="0.25">
      <c r="A1136" s="1" t="s">
        <v>65</v>
      </c>
      <c r="B1136" s="1">
        <v>46175</v>
      </c>
      <c r="C1136" s="1">
        <v>30265.7</v>
      </c>
      <c r="D1136" s="1">
        <v>31290.95</v>
      </c>
      <c r="E1136" s="1">
        <v>30264.6</v>
      </c>
      <c r="F1136" s="1">
        <v>31116.55</v>
      </c>
    </row>
    <row r="1137" spans="1:6" x14ac:dyDescent="0.25">
      <c r="A1137" s="1" t="s">
        <v>65</v>
      </c>
      <c r="B1137" s="1">
        <v>46176</v>
      </c>
      <c r="C1137" s="1">
        <v>30563.200000000001</v>
      </c>
      <c r="D1137" s="1">
        <v>30567</v>
      </c>
      <c r="E1137" s="1">
        <v>29301</v>
      </c>
      <c r="F1137" s="1">
        <v>29384.45</v>
      </c>
    </row>
    <row r="1138" spans="1:6" x14ac:dyDescent="0.25">
      <c r="A1138" s="1" t="s">
        <v>65</v>
      </c>
      <c r="B1138" s="1">
        <v>46177</v>
      </c>
      <c r="C1138" s="1">
        <v>29150.05</v>
      </c>
      <c r="D1138" s="1">
        <v>29382.9</v>
      </c>
      <c r="E1138" s="1">
        <v>28971.8</v>
      </c>
      <c r="F1138" s="1">
        <v>29300.6</v>
      </c>
    </row>
    <row r="1139" spans="1:6" x14ac:dyDescent="0.25">
      <c r="A1139" s="1" t="s">
        <v>65</v>
      </c>
      <c r="B1139" s="1">
        <v>46178</v>
      </c>
      <c r="C1139" s="1">
        <v>29509.95</v>
      </c>
      <c r="D1139" s="1">
        <v>29639.8</v>
      </c>
      <c r="E1139" s="1">
        <v>28918.85</v>
      </c>
      <c r="F1139" s="1">
        <v>29010.3</v>
      </c>
    </row>
    <row r="1140" spans="1:6" x14ac:dyDescent="0.25">
      <c r="A1140" s="1" t="s">
        <v>65</v>
      </c>
      <c r="B1140" s="1">
        <v>46181</v>
      </c>
      <c r="C1140" s="1">
        <v>28577.7</v>
      </c>
      <c r="D1140" s="1">
        <v>28915.85</v>
      </c>
      <c r="E1140" s="1">
        <v>28417.7</v>
      </c>
      <c r="F1140" s="1">
        <v>28653.55</v>
      </c>
    </row>
    <row r="1141" spans="1:6" x14ac:dyDescent="0.25">
      <c r="A1141" s="1" t="s">
        <v>65</v>
      </c>
      <c r="B1141" s="1">
        <v>46182</v>
      </c>
      <c r="C1141" s="1">
        <v>28895.3</v>
      </c>
      <c r="D1141" s="1">
        <v>28895.3</v>
      </c>
      <c r="E1141" s="1">
        <v>28294.6</v>
      </c>
      <c r="F1141" s="1">
        <v>28516.25</v>
      </c>
    </row>
    <row r="1142" spans="1:6" x14ac:dyDescent="0.25">
      <c r="A1142" s="1" t="s">
        <v>65</v>
      </c>
      <c r="B1142" s="1">
        <v>46183</v>
      </c>
      <c r="C1142" s="1">
        <v>28541.85</v>
      </c>
      <c r="D1142" s="1">
        <v>28799.35</v>
      </c>
      <c r="E1142" s="1">
        <v>28249.200000000001</v>
      </c>
      <c r="F1142" s="1">
        <v>28279.9</v>
      </c>
    </row>
    <row r="1143" spans="1:6" x14ac:dyDescent="0.25">
      <c r="A1143" s="1" t="s">
        <v>65</v>
      </c>
      <c r="B1143" s="1">
        <v>46184</v>
      </c>
      <c r="C1143" s="1">
        <v>27888</v>
      </c>
      <c r="D1143" s="1">
        <v>28003.95</v>
      </c>
      <c r="E1143" s="1">
        <v>27519.15</v>
      </c>
      <c r="F1143" s="1">
        <v>27821</v>
      </c>
    </row>
    <row r="1144" spans="1:6" x14ac:dyDescent="0.25">
      <c r="A1144" s="1" t="s">
        <v>65</v>
      </c>
      <c r="B1144" s="1">
        <v>46185</v>
      </c>
      <c r="C1144" s="1">
        <v>28025.25</v>
      </c>
      <c r="D1144" s="1">
        <v>28078.6</v>
      </c>
      <c r="E1144" s="1">
        <v>27660</v>
      </c>
      <c r="F1144" s="1">
        <v>27795.75</v>
      </c>
    </row>
    <row r="1145" spans="1:6" x14ac:dyDescent="0.25">
      <c r="A1145" s="1" t="s">
        <v>65</v>
      </c>
      <c r="B1145" s="1">
        <v>46188</v>
      </c>
      <c r="C1145" s="1">
        <v>28178.85</v>
      </c>
      <c r="D1145" s="1">
        <v>28384.25</v>
      </c>
      <c r="E1145" s="1">
        <v>27955.05</v>
      </c>
      <c r="F1145" s="1">
        <v>28067.85</v>
      </c>
    </row>
    <row r="1146" spans="1:6" x14ac:dyDescent="0.25">
      <c r="A1146" s="1" t="s">
        <v>65</v>
      </c>
      <c r="B1146" s="1">
        <v>46189</v>
      </c>
      <c r="C1146" s="1">
        <v>28237.05</v>
      </c>
      <c r="D1146" s="1">
        <v>28663.85</v>
      </c>
      <c r="E1146" s="1">
        <v>28124.3</v>
      </c>
      <c r="F1146" s="1">
        <v>28568.1</v>
      </c>
    </row>
    <row r="1147" spans="1:6" x14ac:dyDescent="0.25">
      <c r="A1147" s="1" t="s">
        <v>65</v>
      </c>
      <c r="B1147" s="1">
        <v>46190</v>
      </c>
      <c r="C1147" s="1">
        <v>28759.05</v>
      </c>
      <c r="D1147" s="1">
        <v>29007</v>
      </c>
      <c r="E1147" s="1">
        <v>28688.400000000001</v>
      </c>
      <c r="F1147" s="1">
        <v>28809.55</v>
      </c>
    </row>
    <row r="1148" spans="1:6" x14ac:dyDescent="0.25">
      <c r="A1148" s="1" t="s">
        <v>65</v>
      </c>
      <c r="B1148" s="1">
        <v>46191</v>
      </c>
      <c r="C1148" s="1">
        <v>28592.400000000001</v>
      </c>
      <c r="D1148" s="1">
        <v>28662.9</v>
      </c>
      <c r="E1148" s="1">
        <v>28262.65</v>
      </c>
      <c r="F1148" s="1">
        <v>28466.45</v>
      </c>
    </row>
    <row r="1149" spans="1:6" x14ac:dyDescent="0.25">
      <c r="A1149" s="1" t="s">
        <v>65</v>
      </c>
      <c r="B1149" s="1">
        <v>46192</v>
      </c>
      <c r="C1149" s="1">
        <v>27012.15</v>
      </c>
      <c r="D1149" s="1">
        <v>27527.75</v>
      </c>
      <c r="E1149" s="1">
        <v>26634.5</v>
      </c>
      <c r="F1149" s="1">
        <v>27426.85</v>
      </c>
    </row>
    <row r="1150" spans="1:6" x14ac:dyDescent="0.25">
      <c r="A1150" s="1" t="s">
        <v>65</v>
      </c>
      <c r="B1150" s="1">
        <v>46195</v>
      </c>
      <c r="C1150" s="1">
        <v>27531</v>
      </c>
      <c r="D1150" s="1">
        <v>27856.400000000001</v>
      </c>
      <c r="E1150" s="1">
        <v>27531</v>
      </c>
      <c r="F1150" s="1">
        <v>27628.55</v>
      </c>
    </row>
    <row r="1151" spans="1:6" x14ac:dyDescent="0.25">
      <c r="A1151" s="1" t="s">
        <v>65</v>
      </c>
      <c r="B1151" s="1">
        <v>46196</v>
      </c>
      <c r="C1151" s="1">
        <v>27416.45</v>
      </c>
      <c r="D1151" s="1">
        <v>27428.5</v>
      </c>
      <c r="E1151" s="1">
        <v>26955.5</v>
      </c>
      <c r="F1151" s="1">
        <v>27012.05</v>
      </c>
    </row>
    <row r="1152" spans="1:6" x14ac:dyDescent="0.25">
      <c r="A1152" s="1" t="s">
        <v>65</v>
      </c>
      <c r="B1152" s="1">
        <v>46197</v>
      </c>
      <c r="C1152" s="1">
        <v>27046.400000000001</v>
      </c>
      <c r="D1152" s="1">
        <v>27705.95</v>
      </c>
      <c r="E1152" s="1">
        <v>27036.1</v>
      </c>
      <c r="F1152" s="1">
        <v>27566.7</v>
      </c>
    </row>
    <row r="1153" spans="1:6" x14ac:dyDescent="0.25">
      <c r="A1153" s="1" t="s">
        <v>65</v>
      </c>
      <c r="B1153" s="1">
        <v>46198</v>
      </c>
      <c r="C1153" s="1">
        <v>27801.4</v>
      </c>
      <c r="D1153" s="1">
        <v>27881</v>
      </c>
      <c r="E1153" s="1">
        <v>27295.1</v>
      </c>
      <c r="F1153" s="1">
        <v>27330.85</v>
      </c>
    </row>
    <row r="1154" spans="1:6" x14ac:dyDescent="0.25">
      <c r="A1154" s="1" t="s">
        <v>65</v>
      </c>
      <c r="B1154" s="1">
        <v>46202</v>
      </c>
      <c r="C1154" s="1">
        <v>27172.2</v>
      </c>
      <c r="D1154" s="1">
        <v>27313.35</v>
      </c>
      <c r="E1154" s="1">
        <v>26965.35</v>
      </c>
      <c r="F1154" s="1">
        <v>27038.5</v>
      </c>
    </row>
    <row r="1155" spans="1:6" x14ac:dyDescent="0.25">
      <c r="A1155" s="1" t="s">
        <v>65</v>
      </c>
      <c r="B1155" s="1">
        <v>46203</v>
      </c>
      <c r="C1155" s="1">
        <v>26989.95</v>
      </c>
      <c r="D1155" s="1">
        <v>27032.2</v>
      </c>
      <c r="E1155" s="1">
        <v>26208.5</v>
      </c>
      <c r="F1155" s="1">
        <v>26299.05</v>
      </c>
    </row>
    <row r="1156" spans="1:6" x14ac:dyDescent="0.25">
      <c r="A1156" s="1" t="s">
        <v>65</v>
      </c>
      <c r="B1156" s="1">
        <v>46204</v>
      </c>
      <c r="C1156" s="1">
        <v>26381</v>
      </c>
      <c r="D1156" s="1">
        <v>26505.75</v>
      </c>
      <c r="E1156" s="1">
        <v>25699.1</v>
      </c>
      <c r="F1156" s="1">
        <v>25769.8</v>
      </c>
    </row>
    <row r="1157" spans="1:6" x14ac:dyDescent="0.25">
      <c r="A1157" s="1" t="s">
        <v>65</v>
      </c>
      <c r="B1157" s="1">
        <v>46205</v>
      </c>
      <c r="C1157" s="1">
        <v>26141.75</v>
      </c>
      <c r="D1157" s="1">
        <v>27030.95</v>
      </c>
      <c r="E1157" s="1">
        <v>26132</v>
      </c>
      <c r="F1157" s="1">
        <v>26965.05</v>
      </c>
    </row>
    <row r="1158" spans="1:6" x14ac:dyDescent="0.25">
      <c r="A1158" s="1" t="s">
        <v>65</v>
      </c>
      <c r="B1158" s="1">
        <v>46206</v>
      </c>
      <c r="C1158" s="1">
        <v>27482.400000000001</v>
      </c>
      <c r="D1158" s="1">
        <v>27759.55</v>
      </c>
      <c r="E1158" s="1">
        <v>27286.55</v>
      </c>
      <c r="F1158" s="1">
        <v>27439.4</v>
      </c>
    </row>
    <row r="1159" spans="1:6" x14ac:dyDescent="0.25">
      <c r="A1159" s="1" t="s">
        <v>65</v>
      </c>
      <c r="B1159" s="1">
        <v>46209</v>
      </c>
      <c r="C1159" s="1">
        <v>27489.85</v>
      </c>
      <c r="D1159" s="1">
        <v>27502.6</v>
      </c>
      <c r="E1159" s="1">
        <v>27127.45</v>
      </c>
      <c r="F1159" s="1">
        <v>27276.45</v>
      </c>
    </row>
    <row r="1160" spans="1:6" x14ac:dyDescent="0.25">
      <c r="A1160" s="1" t="s">
        <v>65</v>
      </c>
      <c r="B1160" s="1">
        <v>46210</v>
      </c>
      <c r="C1160" s="1">
        <v>27248.3</v>
      </c>
      <c r="D1160" s="1">
        <v>28156.2</v>
      </c>
      <c r="E1160" s="1">
        <v>27248.3</v>
      </c>
      <c r="F1160" s="1">
        <v>27939.15</v>
      </c>
    </row>
    <row r="1161" spans="1:6" x14ac:dyDescent="0.25">
      <c r="A1161" s="1" t="s">
        <v>65</v>
      </c>
      <c r="B1161" s="1">
        <v>46211</v>
      </c>
      <c r="C1161" s="1">
        <v>27915.200000000001</v>
      </c>
      <c r="D1161" s="1">
        <v>28067.85</v>
      </c>
      <c r="E1161" s="1">
        <v>27468.85</v>
      </c>
      <c r="F1161" s="1">
        <v>27555.200000000001</v>
      </c>
    </row>
    <row r="1162" spans="1:6" x14ac:dyDescent="0.25">
      <c r="A1162" s="1" t="s">
        <v>65</v>
      </c>
      <c r="B1162" s="1">
        <v>46212</v>
      </c>
      <c r="C1162" s="1">
        <v>27495.5</v>
      </c>
      <c r="D1162" s="1">
        <v>27646.45</v>
      </c>
      <c r="E1162" s="1">
        <v>27014.5</v>
      </c>
      <c r="F1162" s="1">
        <v>27471.25</v>
      </c>
    </row>
    <row r="1163" spans="1:6" x14ac:dyDescent="0.25">
      <c r="A1163" s="1" t="s">
        <v>65</v>
      </c>
      <c r="B1163" s="1">
        <v>46213</v>
      </c>
      <c r="C1163" s="1">
        <v>28043.5</v>
      </c>
      <c r="D1163" s="1">
        <v>28439.55</v>
      </c>
      <c r="E1163" s="1">
        <v>27870</v>
      </c>
      <c r="F1163" s="1">
        <v>28010.35</v>
      </c>
    </row>
    <row r="1164" spans="1:6" x14ac:dyDescent="0.25">
      <c r="A1164" s="1" t="s">
        <v>65</v>
      </c>
      <c r="B1164" s="1">
        <v>46216</v>
      </c>
      <c r="C1164" s="1">
        <v>27880.55</v>
      </c>
      <c r="D1164" s="1">
        <v>29272.65</v>
      </c>
      <c r="E1164" s="1">
        <v>27856.1</v>
      </c>
      <c r="F1164" s="1">
        <v>29015.85</v>
      </c>
    </row>
    <row r="1165" spans="1:6" x14ac:dyDescent="0.25">
      <c r="A1165" s="1" t="s">
        <v>65</v>
      </c>
      <c r="B1165" s="1">
        <v>46217</v>
      </c>
      <c r="C1165" s="1">
        <v>29020.400000000001</v>
      </c>
      <c r="D1165" s="1">
        <v>29285.05</v>
      </c>
      <c r="E1165" s="1">
        <v>28674.5</v>
      </c>
      <c r="F1165" s="1">
        <v>28724.75</v>
      </c>
    </row>
    <row r="1166" spans="1:6" x14ac:dyDescent="0.25">
      <c r="A1166" s="1" t="s">
        <v>65</v>
      </c>
      <c r="B1166" s="1">
        <v>46218</v>
      </c>
      <c r="C1166" s="1">
        <v>28412.799999999999</v>
      </c>
      <c r="D1166" s="1">
        <v>28725.25</v>
      </c>
      <c r="E1166" s="1">
        <v>28223.8</v>
      </c>
      <c r="F1166" s="1">
        <v>28532.25</v>
      </c>
    </row>
    <row r="1167" spans="1:6" x14ac:dyDescent="0.25">
      <c r="A1167" s="1" t="s">
        <v>65</v>
      </c>
      <c r="B1167" s="1">
        <v>46219</v>
      </c>
      <c r="C1167" s="1">
        <v>28697.45</v>
      </c>
      <c r="D1167" s="1">
        <v>29052.9</v>
      </c>
      <c r="E1167" s="1">
        <v>28669.8</v>
      </c>
      <c r="F1167" s="1">
        <v>28722.6</v>
      </c>
    </row>
    <row r="1168" spans="1:6" x14ac:dyDescent="0.25">
      <c r="A1168" s="1" t="s">
        <v>65</v>
      </c>
      <c r="B1168" s="1">
        <v>46220</v>
      </c>
      <c r="C1168" s="1">
        <v>29082.05</v>
      </c>
      <c r="D1168" s="1">
        <v>29380.75</v>
      </c>
      <c r="E1168" s="1">
        <v>28935.95</v>
      </c>
      <c r="F1168" s="1">
        <v>29226.6</v>
      </c>
    </row>
    <row r="1169" spans="1:6" x14ac:dyDescent="0.25">
      <c r="A1169" s="1" t="s">
        <v>65</v>
      </c>
      <c r="B1169" s="1">
        <v>46223</v>
      </c>
      <c r="C1169" s="1">
        <v>29324.45</v>
      </c>
      <c r="D1169" s="1">
        <v>29483.15</v>
      </c>
      <c r="E1169" s="1">
        <v>29113.75</v>
      </c>
      <c r="F1169" s="1">
        <v>29161.85</v>
      </c>
    </row>
    <row r="1170" spans="1:6" x14ac:dyDescent="0.25">
      <c r="A1170" s="1" t="s">
        <v>65</v>
      </c>
      <c r="B1170" s="1">
        <v>46224</v>
      </c>
      <c r="C1170" s="1">
        <v>29075.25</v>
      </c>
      <c r="D1170" s="1">
        <v>29415.25</v>
      </c>
      <c r="E1170" s="1">
        <v>28930.55</v>
      </c>
      <c r="F1170" s="1">
        <v>28984.400000000001</v>
      </c>
    </row>
    <row r="1171" spans="1:6" x14ac:dyDescent="0.25">
      <c r="A1171" s="1" t="s">
        <v>65</v>
      </c>
      <c r="B1171" s="1">
        <v>46225</v>
      </c>
      <c r="C1171" s="1">
        <v>28881.95</v>
      </c>
      <c r="D1171" s="1">
        <v>28913.35</v>
      </c>
      <c r="E1171" s="1">
        <v>28502.95</v>
      </c>
      <c r="F1171" s="1">
        <v>28549.85</v>
      </c>
    </row>
    <row r="1172" spans="1:6" x14ac:dyDescent="0.25">
      <c r="A1172" s="1" t="s">
        <v>65</v>
      </c>
      <c r="B1172" s="1">
        <v>46226</v>
      </c>
      <c r="C1172" s="1">
        <v>28502.9</v>
      </c>
      <c r="D1172" s="1">
        <v>28688.95</v>
      </c>
      <c r="E1172" s="1">
        <v>28277.75</v>
      </c>
      <c r="F1172" s="1">
        <v>28533.55</v>
      </c>
    </row>
    <row r="1173" spans="1:6" x14ac:dyDescent="0.25">
      <c r="A1173" s="1" t="s">
        <v>65</v>
      </c>
      <c r="B1173" s="1">
        <v>46227</v>
      </c>
      <c r="C1173" s="1">
        <v>28204.85</v>
      </c>
      <c r="D1173" s="1">
        <v>28812.3</v>
      </c>
      <c r="E1173" s="1">
        <v>28141</v>
      </c>
      <c r="F1173" s="1">
        <v>28767.95</v>
      </c>
    </row>
    <row r="1174" spans="1:6" x14ac:dyDescent="0.25">
      <c r="A1174" s="1" t="s">
        <v>65</v>
      </c>
      <c r="B1174" s="1">
        <v>46230</v>
      </c>
      <c r="C1174" s="1">
        <v>29181.7</v>
      </c>
      <c r="D1174" s="1">
        <v>29537.5</v>
      </c>
      <c r="E1174" s="1">
        <v>29070.25</v>
      </c>
      <c r="F1174" s="1">
        <v>29441.9</v>
      </c>
    </row>
    <row r="1175" spans="1:6" x14ac:dyDescent="0.25">
      <c r="A1175" s="1" t="s">
        <v>65</v>
      </c>
      <c r="B1175" s="1">
        <v>46231</v>
      </c>
      <c r="C1175" s="1">
        <v>29825.4</v>
      </c>
      <c r="D1175" s="1">
        <v>30664.1</v>
      </c>
      <c r="E1175" s="1">
        <v>29820.05</v>
      </c>
      <c r="F1175" s="1">
        <v>30418.35</v>
      </c>
    </row>
    <row r="1176" spans="1:6" x14ac:dyDescent="0.25">
      <c r="A1176" s="1" t="s">
        <v>65</v>
      </c>
      <c r="B1176" s="1">
        <v>46232</v>
      </c>
      <c r="C1176" s="1">
        <v>31106.6</v>
      </c>
      <c r="D1176" s="1">
        <v>31352.799999999999</v>
      </c>
      <c r="E1176" s="1">
        <v>30770.55</v>
      </c>
      <c r="F1176" s="1">
        <v>31123.1</v>
      </c>
    </row>
    <row r="1177" spans="1:6" x14ac:dyDescent="0.25">
      <c r="A1177" s="1" t="s">
        <v>65</v>
      </c>
      <c r="B1177" s="1">
        <v>46233</v>
      </c>
      <c r="C1177" s="1">
        <v>31207.55</v>
      </c>
      <c r="D1177" s="1">
        <v>31846.400000000001</v>
      </c>
      <c r="E1177" s="1">
        <v>31131.35</v>
      </c>
      <c r="F1177" s="1">
        <v>31194.55</v>
      </c>
    </row>
    <row r="1178" spans="1:6" x14ac:dyDescent="0.25">
      <c r="A1178" s="1" t="s">
        <v>65</v>
      </c>
      <c r="B1178" s="1">
        <v>46234</v>
      </c>
      <c r="C1178" s="1">
        <v>30488.400000000001</v>
      </c>
      <c r="D1178" s="1">
        <v>30900.25</v>
      </c>
      <c r="E1178" s="1">
        <v>30034.400000000001</v>
      </c>
      <c r="F1178" s="1">
        <v>30708.9</v>
      </c>
    </row>
    <row r="1179" spans="1:6" x14ac:dyDescent="0.25">
      <c r="A1179" s="1" t="s">
        <v>65</v>
      </c>
      <c r="B1179" s="1">
        <v>46237</v>
      </c>
      <c r="C1179" s="1">
        <v>30950.95</v>
      </c>
      <c r="D1179" s="1">
        <v>31715.25</v>
      </c>
      <c r="E1179" s="1">
        <v>30796.55</v>
      </c>
      <c r="F1179" s="1">
        <v>31715.25</v>
      </c>
    </row>
    <row r="1180" spans="1:6" x14ac:dyDescent="0.25">
      <c r="A1180" s="1" t="s">
        <v>65</v>
      </c>
      <c r="B1180" s="1">
        <v>46238</v>
      </c>
      <c r="C1180" s="1">
        <v>31616.1</v>
      </c>
      <c r="D1180" s="1">
        <v>31676.65</v>
      </c>
      <c r="E1180" s="1">
        <v>31245.05</v>
      </c>
      <c r="F1180" s="1">
        <v>31454.15</v>
      </c>
    </row>
    <row r="1181" spans="1:6" x14ac:dyDescent="0.25">
      <c r="A1181" s="1" t="s">
        <v>65</v>
      </c>
      <c r="B1181" s="1">
        <v>46239</v>
      </c>
      <c r="C1181" s="1">
        <v>31578</v>
      </c>
      <c r="D1181" s="1">
        <v>31603.3</v>
      </c>
      <c r="E1181" s="1">
        <v>31237.1</v>
      </c>
      <c r="F1181" s="1">
        <v>31404.05</v>
      </c>
    </row>
    <row r="1182" spans="1:6" x14ac:dyDescent="0.25">
      <c r="A1182" s="1" t="s">
        <v>65</v>
      </c>
      <c r="B1182" s="1">
        <v>46240</v>
      </c>
      <c r="C1182" s="1">
        <v>31467.9</v>
      </c>
      <c r="D1182" s="1">
        <v>31701.9</v>
      </c>
      <c r="E1182" s="1">
        <v>31090.2</v>
      </c>
      <c r="F1182" s="1">
        <v>31106.2</v>
      </c>
    </row>
    <row r="1183" spans="1:6" x14ac:dyDescent="0.25">
      <c r="A1183" s="1" t="s">
        <v>65</v>
      </c>
      <c r="B1183" s="1">
        <v>46241</v>
      </c>
      <c r="C1183" s="1">
        <v>31067.05</v>
      </c>
      <c r="D1183" s="1">
        <v>31799.15</v>
      </c>
      <c r="E1183" s="1">
        <v>31047.45</v>
      </c>
      <c r="F1183" s="1">
        <v>31547.7</v>
      </c>
    </row>
    <row r="1184" spans="1:6" x14ac:dyDescent="0.25">
      <c r="A1184" s="1" t="s">
        <v>65</v>
      </c>
      <c r="B1184" s="1">
        <v>46244</v>
      </c>
      <c r="C1184" s="1">
        <v>31611.55</v>
      </c>
      <c r="D1184" s="1">
        <v>31955</v>
      </c>
      <c r="E1184" s="1">
        <v>31546.400000000001</v>
      </c>
      <c r="F1184" s="1">
        <v>31631.45</v>
      </c>
    </row>
    <row r="1185" spans="1:6" x14ac:dyDescent="0.25">
      <c r="A1185" s="1" t="s">
        <v>65</v>
      </c>
      <c r="B1185" s="1">
        <v>46245</v>
      </c>
      <c r="C1185" s="1">
        <v>31741.25</v>
      </c>
      <c r="D1185" s="1">
        <v>31954</v>
      </c>
      <c r="E1185" s="1">
        <v>31639.1</v>
      </c>
      <c r="F1185" s="1">
        <v>31823.15</v>
      </c>
    </row>
    <row r="1186" spans="1:6" x14ac:dyDescent="0.25">
      <c r="A1186" s="1" t="s">
        <v>65</v>
      </c>
      <c r="B1186" s="1">
        <v>46246</v>
      </c>
      <c r="C1186" s="1">
        <v>31813.599999999999</v>
      </c>
      <c r="D1186" s="1">
        <v>31822.65</v>
      </c>
      <c r="E1186" s="1">
        <v>30997.9</v>
      </c>
      <c r="F1186" s="1">
        <v>31332.55</v>
      </c>
    </row>
    <row r="1187" spans="1:6" x14ac:dyDescent="0.25">
      <c r="A1187" s="1" t="s">
        <v>65</v>
      </c>
      <c r="B1187" s="1">
        <v>46247</v>
      </c>
      <c r="C1187" s="1">
        <v>31277</v>
      </c>
      <c r="D1187" s="1">
        <v>31459.3</v>
      </c>
      <c r="E1187" s="1">
        <v>31098.6</v>
      </c>
      <c r="F1187" s="1">
        <v>31453.9</v>
      </c>
    </row>
    <row r="1188" spans="1:6" x14ac:dyDescent="0.25">
      <c r="A1188" s="1" t="s">
        <v>65</v>
      </c>
      <c r="B1188" s="1">
        <v>46248</v>
      </c>
      <c r="C1188" s="1">
        <v>31419.85</v>
      </c>
      <c r="D1188" s="1">
        <v>31529.55</v>
      </c>
      <c r="E1188" s="1">
        <v>31052.7</v>
      </c>
      <c r="F1188" s="1">
        <v>31357.75</v>
      </c>
    </row>
    <row r="1189" spans="1:6" x14ac:dyDescent="0.25">
      <c r="A1189" s="1" t="s">
        <v>65</v>
      </c>
      <c r="B1189" s="1">
        <v>46251</v>
      </c>
      <c r="C1189" s="1">
        <v>31242.400000000001</v>
      </c>
      <c r="D1189" s="1">
        <v>31331.200000000001</v>
      </c>
      <c r="E1189" s="1">
        <v>30722.05</v>
      </c>
      <c r="F1189" s="1">
        <v>30807.8</v>
      </c>
    </row>
    <row r="1190" spans="1:6" x14ac:dyDescent="0.25">
      <c r="A1190" s="1" t="s">
        <v>65</v>
      </c>
      <c r="B1190" s="1">
        <v>46252</v>
      </c>
      <c r="C1190" s="1">
        <v>30584.1</v>
      </c>
      <c r="D1190" s="1">
        <v>30615.45</v>
      </c>
      <c r="E1190" s="1">
        <v>30212.95</v>
      </c>
      <c r="F1190" s="1">
        <v>30213.45</v>
      </c>
    </row>
    <row r="1191" spans="1:6" x14ac:dyDescent="0.25">
      <c r="A1191" s="1" t="s">
        <v>65</v>
      </c>
      <c r="B1191" s="1">
        <v>46253</v>
      </c>
      <c r="C1191" s="1">
        <v>30461.1</v>
      </c>
      <c r="D1191" s="1">
        <v>30659.8</v>
      </c>
      <c r="E1191" s="1">
        <v>30165</v>
      </c>
      <c r="F1191" s="1">
        <v>30433.05</v>
      </c>
    </row>
    <row r="1192" spans="1:6" x14ac:dyDescent="0.25">
      <c r="A1192" s="1" t="s">
        <v>65</v>
      </c>
      <c r="B1192" s="1">
        <v>46254</v>
      </c>
      <c r="C1192" s="1">
        <v>30850.5</v>
      </c>
      <c r="D1192" s="1">
        <v>30942.9</v>
      </c>
      <c r="E1192" s="1">
        <v>30637.8</v>
      </c>
      <c r="F1192" s="1">
        <v>30673.05</v>
      </c>
    </row>
    <row r="1193" spans="1:6" x14ac:dyDescent="0.25">
      <c r="A1193" s="1" t="s">
        <v>65</v>
      </c>
      <c r="B1193" s="1">
        <v>46255</v>
      </c>
      <c r="C1193" s="1">
        <v>30676.400000000001</v>
      </c>
      <c r="D1193" s="1">
        <v>30693.35</v>
      </c>
      <c r="E1193" s="1">
        <v>30337</v>
      </c>
      <c r="F1193" s="1">
        <v>30532.25</v>
      </c>
    </row>
    <row r="1194" spans="1:6" x14ac:dyDescent="0.25">
      <c r="A1194" s="1" t="s">
        <v>65</v>
      </c>
      <c r="B1194" s="1">
        <v>46258</v>
      </c>
      <c r="C1194" s="1">
        <v>30579.599999999999</v>
      </c>
      <c r="D1194" s="1">
        <v>30892.9</v>
      </c>
      <c r="E1194" s="1">
        <v>30484.799999999999</v>
      </c>
      <c r="F1194" s="1">
        <v>30596.9</v>
      </c>
    </row>
    <row r="1195" spans="1:6" x14ac:dyDescent="0.25">
      <c r="A1195" s="1" t="s">
        <v>65</v>
      </c>
      <c r="B1195" s="1">
        <v>46259</v>
      </c>
      <c r="C1195" s="1">
        <v>30692.35</v>
      </c>
      <c r="D1195" s="1">
        <v>30771.8</v>
      </c>
      <c r="E1195" s="1">
        <v>30283.4</v>
      </c>
      <c r="F1195" s="1">
        <v>30771.8</v>
      </c>
    </row>
    <row r="1196" spans="1:6" x14ac:dyDescent="0.25">
      <c r="A1196" s="1" t="s">
        <v>65</v>
      </c>
      <c r="B1196" s="1">
        <v>46260</v>
      </c>
      <c r="C1196" s="1">
        <v>30809.200000000001</v>
      </c>
      <c r="D1196" s="1">
        <v>30841.15</v>
      </c>
      <c r="E1196" s="1">
        <v>30307.45</v>
      </c>
      <c r="F1196" s="1">
        <v>30318.85</v>
      </c>
    </row>
    <row r="1197" spans="1:6" x14ac:dyDescent="0.25">
      <c r="A1197" s="1" t="s">
        <v>65</v>
      </c>
      <c r="B1197" s="1">
        <v>46261</v>
      </c>
      <c r="C1197" s="1">
        <v>30342.55</v>
      </c>
      <c r="D1197" s="1">
        <v>30576.95</v>
      </c>
      <c r="E1197" s="1">
        <v>30164.5</v>
      </c>
      <c r="F1197" s="1">
        <v>30221.15</v>
      </c>
    </row>
    <row r="1198" spans="1:6" x14ac:dyDescent="0.25">
      <c r="A1198" s="1" t="s">
        <v>65</v>
      </c>
      <c r="B1198" s="1">
        <v>46262</v>
      </c>
      <c r="C1198" s="1">
        <v>30493.15</v>
      </c>
      <c r="D1198" s="1">
        <v>31322.9</v>
      </c>
      <c r="E1198" s="1">
        <v>30473.5</v>
      </c>
      <c r="F1198" s="1">
        <v>31281.7</v>
      </c>
    </row>
    <row r="1199" spans="1:6" x14ac:dyDescent="0.25">
      <c r="A1199" s="1" t="s">
        <v>65</v>
      </c>
      <c r="B1199" s="1">
        <v>46265</v>
      </c>
      <c r="C1199" s="1">
        <v>31225.5</v>
      </c>
      <c r="D1199" s="1">
        <v>31277.5</v>
      </c>
      <c r="E1199" s="1">
        <v>30634.45</v>
      </c>
      <c r="F1199" s="1">
        <v>31191.45</v>
      </c>
    </row>
    <row r="1200" spans="1:6" x14ac:dyDescent="0.25">
      <c r="A1200" s="1" t="s">
        <v>65</v>
      </c>
      <c r="B1200" s="1">
        <v>46266</v>
      </c>
      <c r="C1200" s="1">
        <v>31006.25</v>
      </c>
      <c r="D1200" s="1">
        <v>31529.200000000001</v>
      </c>
      <c r="E1200" s="1">
        <v>30834.1</v>
      </c>
      <c r="F1200" s="1">
        <v>31496.7</v>
      </c>
    </row>
    <row r="1201" spans="1:6" x14ac:dyDescent="0.25">
      <c r="A1201" s="1" t="s">
        <v>65</v>
      </c>
      <c r="B1201" s="1">
        <v>46267</v>
      </c>
      <c r="C1201" s="1">
        <v>31164.3</v>
      </c>
      <c r="D1201" s="1">
        <v>31241.15</v>
      </c>
      <c r="E1201" s="1">
        <v>30668.1</v>
      </c>
      <c r="F1201" s="1">
        <v>31102.9</v>
      </c>
    </row>
    <row r="1202" spans="1:6" x14ac:dyDescent="0.25">
      <c r="A1202" s="1" t="s">
        <v>65</v>
      </c>
      <c r="B1202" s="1">
        <v>46268</v>
      </c>
      <c r="C1202" s="1">
        <v>31180.799999999999</v>
      </c>
      <c r="D1202" s="1">
        <v>31185.7</v>
      </c>
      <c r="E1202" s="1">
        <v>30621.65</v>
      </c>
      <c r="F1202" s="1">
        <v>30838.85</v>
      </c>
    </row>
    <row r="1203" spans="1:6" x14ac:dyDescent="0.25">
      <c r="A1203" s="1" t="s">
        <v>65</v>
      </c>
      <c r="B1203" s="1">
        <v>46269</v>
      </c>
      <c r="C1203" s="1">
        <v>30956.15</v>
      </c>
      <c r="D1203" s="1">
        <v>31263.200000000001</v>
      </c>
      <c r="E1203" s="1">
        <v>30656.7</v>
      </c>
      <c r="F1203" s="1">
        <v>30695.1</v>
      </c>
    </row>
    <row r="1204" spans="1:6" x14ac:dyDescent="0.25">
      <c r="A1204" s="1" t="s">
        <v>65</v>
      </c>
      <c r="B1204" s="1">
        <v>46272</v>
      </c>
      <c r="C1204" s="1">
        <v>30343.200000000001</v>
      </c>
      <c r="D1204" s="1">
        <v>30377.1</v>
      </c>
      <c r="E1204" s="1">
        <v>29847.25</v>
      </c>
      <c r="F1204" s="1">
        <v>29995.200000000001</v>
      </c>
    </row>
    <row r="1205" spans="1:6" x14ac:dyDescent="0.25">
      <c r="A1205" s="1" t="s">
        <v>65</v>
      </c>
      <c r="B1205" s="1">
        <v>46273</v>
      </c>
      <c r="C1205" s="1">
        <v>30032.3</v>
      </c>
      <c r="D1205" s="1">
        <v>30078.75</v>
      </c>
      <c r="E1205" s="1">
        <v>29722.9</v>
      </c>
      <c r="F1205" s="1">
        <v>29883.45</v>
      </c>
    </row>
    <row r="1206" spans="1:6" x14ac:dyDescent="0.25">
      <c r="A1206" s="1" t="s">
        <v>65</v>
      </c>
      <c r="B1206" s="1">
        <v>46274</v>
      </c>
      <c r="C1206" s="1">
        <v>29299.55</v>
      </c>
      <c r="D1206" s="1">
        <v>29299.55</v>
      </c>
      <c r="E1206" s="1">
        <v>28779.8</v>
      </c>
      <c r="F1206" s="1">
        <v>28913.95</v>
      </c>
    </row>
    <row r="1207" spans="1:6" x14ac:dyDescent="0.25">
      <c r="A1207" s="1" t="s">
        <v>65</v>
      </c>
      <c r="B1207" s="1">
        <v>46275</v>
      </c>
      <c r="C1207" s="1">
        <v>28919.35</v>
      </c>
      <c r="D1207" s="1">
        <v>29264.9</v>
      </c>
      <c r="E1207" s="1">
        <v>28740.6</v>
      </c>
      <c r="F1207" s="1">
        <v>28890.9</v>
      </c>
    </row>
    <row r="1208" spans="1:6" x14ac:dyDescent="0.25">
      <c r="A1208" s="1" t="s">
        <v>65</v>
      </c>
      <c r="B1208" s="1">
        <v>46276</v>
      </c>
      <c r="C1208" s="1">
        <v>28672.85</v>
      </c>
      <c r="D1208" s="1">
        <v>29124.6</v>
      </c>
      <c r="E1208" s="1">
        <v>28671.8</v>
      </c>
      <c r="F1208" s="1">
        <v>28921.5</v>
      </c>
    </row>
    <row r="1209" spans="1:6" x14ac:dyDescent="0.25">
      <c r="A1209" s="1" t="s">
        <v>65</v>
      </c>
      <c r="B1209" s="1">
        <v>46280</v>
      </c>
      <c r="C1209" s="1">
        <v>29921.05</v>
      </c>
      <c r="D1209" s="1">
        <v>30435</v>
      </c>
      <c r="E1209" s="1">
        <v>29553.5</v>
      </c>
      <c r="F1209" s="1">
        <v>29555.3</v>
      </c>
    </row>
    <row r="1210" spans="1:6" x14ac:dyDescent="0.25">
      <c r="A1210" s="1" t="s">
        <v>65</v>
      </c>
      <c r="B1210" s="1">
        <v>46281</v>
      </c>
      <c r="C1210" s="1">
        <v>29696.45</v>
      </c>
      <c r="D1210" s="1">
        <v>29763.4</v>
      </c>
      <c r="E1210" s="1">
        <v>28974.9</v>
      </c>
      <c r="F1210" s="1">
        <v>29087.65</v>
      </c>
    </row>
    <row r="1211" spans="1:6" x14ac:dyDescent="0.25">
      <c r="A1211" s="1" t="s">
        <v>65</v>
      </c>
      <c r="B1211" s="1">
        <v>46282</v>
      </c>
      <c r="C1211" s="1">
        <v>28918.75</v>
      </c>
      <c r="D1211" s="1">
        <v>29406.65</v>
      </c>
      <c r="E1211" s="1">
        <v>28805.4</v>
      </c>
      <c r="F1211" s="1">
        <v>29155.599999999999</v>
      </c>
    </row>
    <row r="1212" spans="1:6" x14ac:dyDescent="0.25">
      <c r="A1212" s="1" t="s">
        <v>65</v>
      </c>
      <c r="B1212" s="1">
        <v>46283</v>
      </c>
      <c r="C1212" s="1">
        <v>29145.35</v>
      </c>
      <c r="D1212" s="1">
        <v>29150.55</v>
      </c>
      <c r="E1212" s="1">
        <v>28568.65</v>
      </c>
      <c r="F1212" s="1">
        <v>28854.55</v>
      </c>
    </row>
    <row r="1213" spans="1:6" x14ac:dyDescent="0.25">
      <c r="A1213" s="1" t="s">
        <v>65</v>
      </c>
      <c r="B1213" s="1">
        <v>46286</v>
      </c>
      <c r="C1213" s="1">
        <v>28633.4</v>
      </c>
      <c r="D1213" s="1">
        <v>28905.599999999999</v>
      </c>
      <c r="E1213" s="1">
        <v>28475.35</v>
      </c>
      <c r="F1213" s="1">
        <v>28830.9</v>
      </c>
    </row>
    <row r="1214" spans="1:6" x14ac:dyDescent="0.25">
      <c r="A1214" s="1" t="s">
        <v>65</v>
      </c>
      <c r="B1214" s="1">
        <v>46287</v>
      </c>
      <c r="C1214" s="1">
        <v>28810.55</v>
      </c>
      <c r="D1214" s="1">
        <v>28824.55</v>
      </c>
      <c r="E1214" s="1">
        <v>28332.15</v>
      </c>
      <c r="F1214" s="1">
        <v>28582.1</v>
      </c>
    </row>
    <row r="1215" spans="1:6" x14ac:dyDescent="0.25">
      <c r="A1215" s="1" t="s">
        <v>65</v>
      </c>
      <c r="B1215" s="1">
        <v>46288</v>
      </c>
      <c r="C1215" s="1">
        <v>28492.45</v>
      </c>
      <c r="D1215" s="1">
        <v>28634</v>
      </c>
      <c r="E1215" s="1">
        <v>28228.799999999999</v>
      </c>
      <c r="F1215" s="1">
        <v>28334.05</v>
      </c>
    </row>
    <row r="1216" spans="1:6" x14ac:dyDescent="0.25">
      <c r="A1216" s="1" t="s">
        <v>65</v>
      </c>
      <c r="B1216" s="1">
        <v>46289</v>
      </c>
      <c r="C1216" s="1">
        <v>28130.95</v>
      </c>
      <c r="D1216" s="1">
        <v>28439.1</v>
      </c>
      <c r="E1216" s="1">
        <v>28084.95</v>
      </c>
      <c r="F1216" s="1">
        <v>28208.85</v>
      </c>
    </row>
    <row r="1217" spans="1:6" x14ac:dyDescent="0.25">
      <c r="A1217" s="1" t="s">
        <v>65</v>
      </c>
      <c r="B1217" s="1">
        <v>46290</v>
      </c>
      <c r="C1217" s="1">
        <v>27969.4</v>
      </c>
      <c r="D1217" s="1">
        <v>28207.35</v>
      </c>
      <c r="E1217" s="1">
        <v>27772.7</v>
      </c>
      <c r="F1217" s="1">
        <v>28160.9</v>
      </c>
    </row>
    <row r="1218" spans="1:6" x14ac:dyDescent="0.25">
      <c r="A1218" s="1" t="s">
        <v>65</v>
      </c>
      <c r="B1218" s="1">
        <v>46293</v>
      </c>
      <c r="C1218" s="1">
        <v>28214.65</v>
      </c>
      <c r="D1218" s="1">
        <v>28261.3</v>
      </c>
      <c r="E1218" s="1">
        <v>27822</v>
      </c>
      <c r="F1218" s="1">
        <v>28086.5</v>
      </c>
    </row>
    <row r="1219" spans="1:6" x14ac:dyDescent="0.25">
      <c r="A1219" s="1" t="s">
        <v>65</v>
      </c>
      <c r="B1219" s="1">
        <v>46294</v>
      </c>
      <c r="C1219" s="1">
        <v>28074.3</v>
      </c>
      <c r="D1219" s="1">
        <v>28232.15</v>
      </c>
      <c r="E1219" s="1">
        <v>27612.85</v>
      </c>
      <c r="F1219" s="1">
        <v>27670</v>
      </c>
    </row>
    <row r="1220" spans="1:6" x14ac:dyDescent="0.25">
      <c r="A1220" s="1" t="s">
        <v>65</v>
      </c>
      <c r="B1220" s="1">
        <v>46295</v>
      </c>
      <c r="C1220" s="1">
        <v>27786.45</v>
      </c>
      <c r="D1220" s="1">
        <v>28431.85</v>
      </c>
      <c r="E1220" s="1">
        <v>27653.4</v>
      </c>
      <c r="F1220" s="1">
        <v>27704.799999999999</v>
      </c>
    </row>
    <row r="1221" spans="1:6" x14ac:dyDescent="0.25">
      <c r="A1221" s="1" t="s">
        <v>65</v>
      </c>
      <c r="B1221" s="1">
        <v>46296</v>
      </c>
      <c r="C1221" s="1">
        <v>27881.7</v>
      </c>
      <c r="D1221" s="1">
        <v>28304.7</v>
      </c>
      <c r="E1221" s="1">
        <v>27732.95</v>
      </c>
      <c r="F1221" s="1">
        <v>28304.7</v>
      </c>
    </row>
    <row r="1222" spans="1:6" x14ac:dyDescent="0.25">
      <c r="A1222" s="1" t="s">
        <v>65</v>
      </c>
      <c r="B1222" s="1">
        <v>46300</v>
      </c>
      <c r="C1222" s="1">
        <v>28656.2</v>
      </c>
      <c r="D1222" s="1">
        <v>28755.200000000001</v>
      </c>
      <c r="E1222" s="1">
        <v>28060.3</v>
      </c>
      <c r="F1222" s="1">
        <v>28301.65</v>
      </c>
    </row>
    <row r="1223" spans="1:6" x14ac:dyDescent="0.25">
      <c r="A1223" s="1" t="s">
        <v>65</v>
      </c>
      <c r="B1223" s="1">
        <v>46301</v>
      </c>
      <c r="C1223" s="1">
        <v>28236.85</v>
      </c>
      <c r="D1223" s="1">
        <v>28344.35</v>
      </c>
      <c r="E1223" s="1">
        <v>27907.8</v>
      </c>
      <c r="F1223" s="1">
        <v>28136.05</v>
      </c>
    </row>
    <row r="1224" spans="1:6" x14ac:dyDescent="0.25">
      <c r="A1224" s="1" t="s">
        <v>65</v>
      </c>
      <c r="B1224" s="1">
        <v>46302</v>
      </c>
      <c r="C1224" s="1">
        <v>27993.25</v>
      </c>
      <c r="D1224" s="1">
        <v>28109.45</v>
      </c>
      <c r="E1224" s="1">
        <v>27714.65</v>
      </c>
      <c r="F1224" s="1">
        <v>27757.8</v>
      </c>
    </row>
    <row r="1225" spans="1:6" x14ac:dyDescent="0.25">
      <c r="A1225" s="1" t="s">
        <v>65</v>
      </c>
      <c r="B1225" s="1">
        <v>46303</v>
      </c>
      <c r="C1225" s="1">
        <v>27920.9</v>
      </c>
      <c r="D1225" s="1">
        <v>28378.9</v>
      </c>
      <c r="E1225" s="1">
        <v>27658</v>
      </c>
      <c r="F1225" s="1">
        <v>27736.6</v>
      </c>
    </row>
    <row r="1226" spans="1:6" x14ac:dyDescent="0.25">
      <c r="A1226" s="1" t="s">
        <v>65</v>
      </c>
      <c r="B1226" s="1">
        <v>46304</v>
      </c>
      <c r="C1226" s="1">
        <v>27905.85</v>
      </c>
      <c r="D1226" s="1">
        <v>28776.75</v>
      </c>
      <c r="E1226" s="1">
        <v>27901.85</v>
      </c>
      <c r="F1226" s="1">
        <v>28574.9</v>
      </c>
    </row>
    <row r="1227" spans="1:6" x14ac:dyDescent="0.25">
      <c r="A1227" s="1" t="s">
        <v>65</v>
      </c>
      <c r="B1227" s="1">
        <v>46307</v>
      </c>
      <c r="C1227" s="1">
        <v>28688.400000000001</v>
      </c>
      <c r="D1227" s="1">
        <v>28822.55</v>
      </c>
      <c r="E1227" s="1">
        <v>28213.85</v>
      </c>
      <c r="F1227" s="1">
        <v>28349.599999999999</v>
      </c>
    </row>
    <row r="1228" spans="1:6" x14ac:dyDescent="0.25">
      <c r="A1228" s="1" t="s">
        <v>65</v>
      </c>
      <c r="B1228" s="1">
        <v>46308</v>
      </c>
      <c r="C1228" s="1">
        <v>28655.4</v>
      </c>
      <c r="D1228" s="1">
        <v>29830.1</v>
      </c>
      <c r="E1228" s="1">
        <v>28618.45</v>
      </c>
      <c r="F1228" s="1">
        <v>29830.1</v>
      </c>
    </row>
    <row r="1229" spans="1:6" x14ac:dyDescent="0.25">
      <c r="A1229" s="1" t="s">
        <v>65</v>
      </c>
      <c r="B1229" s="1">
        <v>46309</v>
      </c>
      <c r="C1229" s="1">
        <v>29937.5</v>
      </c>
      <c r="D1229" s="1">
        <v>30377.15</v>
      </c>
      <c r="E1229" s="1">
        <v>29879.5</v>
      </c>
      <c r="F1229" s="1">
        <v>30171</v>
      </c>
    </row>
    <row r="1230" spans="1:6" x14ac:dyDescent="0.25">
      <c r="A1230" s="1" t="s">
        <v>65</v>
      </c>
      <c r="B1230" s="1">
        <v>46310</v>
      </c>
      <c r="C1230" s="1">
        <v>30544.9</v>
      </c>
      <c r="D1230" s="1">
        <v>31038.15</v>
      </c>
      <c r="E1230" s="1">
        <v>30489.55</v>
      </c>
      <c r="F1230" s="1">
        <v>30719.8</v>
      </c>
    </row>
    <row r="1231" spans="1:6" x14ac:dyDescent="0.25">
      <c r="A1231" s="1" t="s">
        <v>65</v>
      </c>
      <c r="B1231" s="1">
        <v>46311</v>
      </c>
      <c r="C1231" s="1">
        <v>30983.15</v>
      </c>
      <c r="D1231" s="1">
        <v>32015.65</v>
      </c>
      <c r="E1231" s="1">
        <v>30904.1</v>
      </c>
      <c r="F1231" s="1">
        <v>31924.1</v>
      </c>
    </row>
    <row r="1232" spans="1:6" x14ac:dyDescent="0.25">
      <c r="A1232" s="1" t="s">
        <v>66</v>
      </c>
      <c r="B1232" s="1">
        <v>45950</v>
      </c>
      <c r="C1232" s="1">
        <v>56737.599999999999</v>
      </c>
      <c r="D1232" s="1">
        <v>57025.65</v>
      </c>
      <c r="E1232" s="1">
        <v>56533.9</v>
      </c>
      <c r="F1232" s="1">
        <v>56597.15</v>
      </c>
    </row>
    <row r="1233" spans="1:6" x14ac:dyDescent="0.25">
      <c r="A1233" s="1" t="s">
        <v>66</v>
      </c>
      <c r="B1233" s="1">
        <v>45951</v>
      </c>
      <c r="C1233" s="1">
        <v>56678.9</v>
      </c>
      <c r="D1233" s="1">
        <v>56797.3</v>
      </c>
      <c r="E1233" s="1">
        <v>56536.95</v>
      </c>
      <c r="F1233" s="1">
        <v>56609.15</v>
      </c>
    </row>
    <row r="1234" spans="1:6" x14ac:dyDescent="0.25">
      <c r="A1234" s="1" t="s">
        <v>66</v>
      </c>
      <c r="B1234" s="1">
        <v>45953</v>
      </c>
      <c r="C1234" s="1">
        <v>56826.9</v>
      </c>
      <c r="D1234" s="1">
        <v>57445.2</v>
      </c>
      <c r="E1234" s="1">
        <v>56689.9</v>
      </c>
      <c r="F1234" s="1">
        <v>56772.45</v>
      </c>
    </row>
    <row r="1235" spans="1:6" x14ac:dyDescent="0.25">
      <c r="A1235" s="1" t="s">
        <v>66</v>
      </c>
      <c r="B1235" s="1">
        <v>45954</v>
      </c>
      <c r="C1235" s="1">
        <v>56701.55</v>
      </c>
      <c r="D1235" s="1">
        <v>56701.55</v>
      </c>
      <c r="E1235" s="1">
        <v>55926.5</v>
      </c>
      <c r="F1235" s="1">
        <v>56348.1</v>
      </c>
    </row>
    <row r="1236" spans="1:6" x14ac:dyDescent="0.25">
      <c r="A1236" s="1" t="s">
        <v>66</v>
      </c>
      <c r="B1236" s="1">
        <v>45957</v>
      </c>
      <c r="C1236" s="1">
        <v>56385.45</v>
      </c>
      <c r="D1236" s="1">
        <v>56631.3</v>
      </c>
      <c r="E1236" s="1">
        <v>56265.599999999999</v>
      </c>
      <c r="F1236" s="1">
        <v>56428.95</v>
      </c>
    </row>
    <row r="1237" spans="1:6" x14ac:dyDescent="0.25">
      <c r="A1237" s="1" t="s">
        <v>66</v>
      </c>
      <c r="B1237" s="1">
        <v>45958</v>
      </c>
      <c r="C1237" s="1">
        <v>56481.7</v>
      </c>
      <c r="D1237" s="1">
        <v>56602.2</v>
      </c>
      <c r="E1237" s="1">
        <v>55851.85</v>
      </c>
      <c r="F1237" s="1">
        <v>56110.05</v>
      </c>
    </row>
    <row r="1238" spans="1:6" x14ac:dyDescent="0.25">
      <c r="A1238" s="1" t="s">
        <v>66</v>
      </c>
      <c r="B1238" s="1">
        <v>45959</v>
      </c>
      <c r="C1238" s="1">
        <v>56250.3</v>
      </c>
      <c r="D1238" s="1">
        <v>56663.85</v>
      </c>
      <c r="E1238" s="1">
        <v>56127.4</v>
      </c>
      <c r="F1238" s="1">
        <v>56615.35</v>
      </c>
    </row>
    <row r="1239" spans="1:6" x14ac:dyDescent="0.25">
      <c r="A1239" s="1" t="s">
        <v>66</v>
      </c>
      <c r="B1239" s="1">
        <v>45960</v>
      </c>
      <c r="C1239" s="1">
        <v>56661.15</v>
      </c>
      <c r="D1239" s="1">
        <v>56690.35</v>
      </c>
      <c r="E1239" s="1">
        <v>56099.95</v>
      </c>
      <c r="F1239" s="1">
        <v>56343.5</v>
      </c>
    </row>
    <row r="1240" spans="1:6" x14ac:dyDescent="0.25">
      <c r="A1240" s="1" t="s">
        <v>66</v>
      </c>
      <c r="B1240" s="1">
        <v>45961</v>
      </c>
      <c r="C1240" s="1">
        <v>56533.25</v>
      </c>
      <c r="D1240" s="1">
        <v>56756.15</v>
      </c>
      <c r="E1240" s="1">
        <v>56168.2</v>
      </c>
      <c r="F1240" s="1">
        <v>56208.5</v>
      </c>
    </row>
    <row r="1241" spans="1:6" x14ac:dyDescent="0.25">
      <c r="A1241" s="1" t="s">
        <v>66</v>
      </c>
      <c r="B1241" s="1">
        <v>45964</v>
      </c>
      <c r="C1241" s="1">
        <v>56203.35</v>
      </c>
      <c r="D1241" s="1">
        <v>56384.7</v>
      </c>
      <c r="E1241" s="1">
        <v>55713.5</v>
      </c>
      <c r="F1241" s="1">
        <v>56153.7</v>
      </c>
    </row>
    <row r="1242" spans="1:6" x14ac:dyDescent="0.25">
      <c r="A1242" s="1" t="s">
        <v>66</v>
      </c>
      <c r="B1242" s="1">
        <v>45965</v>
      </c>
      <c r="C1242" s="1">
        <v>56177.25</v>
      </c>
      <c r="D1242" s="1">
        <v>56188.15</v>
      </c>
      <c r="E1242" s="1">
        <v>55735.1</v>
      </c>
      <c r="F1242" s="1">
        <v>55815.6</v>
      </c>
    </row>
    <row r="1243" spans="1:6" x14ac:dyDescent="0.25">
      <c r="A1243" s="1" t="s">
        <v>66</v>
      </c>
      <c r="B1243" s="1">
        <v>45967</v>
      </c>
      <c r="C1243" s="1">
        <v>56123.75</v>
      </c>
      <c r="D1243" s="1">
        <v>56273.7</v>
      </c>
      <c r="E1243" s="1">
        <v>55617.3</v>
      </c>
      <c r="F1243" s="1">
        <v>55711.75</v>
      </c>
    </row>
    <row r="1244" spans="1:6" x14ac:dyDescent="0.25">
      <c r="A1244" s="1" t="s">
        <v>66</v>
      </c>
      <c r="B1244" s="1">
        <v>45968</v>
      </c>
      <c r="C1244" s="1">
        <v>55497.65</v>
      </c>
      <c r="D1244" s="1">
        <v>55712.1</v>
      </c>
      <c r="E1244" s="1">
        <v>55306.85</v>
      </c>
      <c r="F1244" s="1">
        <v>55437.2</v>
      </c>
    </row>
    <row r="1245" spans="1:6" x14ac:dyDescent="0.25">
      <c r="A1245" s="1" t="s">
        <v>66</v>
      </c>
      <c r="B1245" s="1">
        <v>45971</v>
      </c>
      <c r="C1245" s="1">
        <v>55425.95</v>
      </c>
      <c r="D1245" s="1">
        <v>55652.35</v>
      </c>
      <c r="E1245" s="1">
        <v>55291.45</v>
      </c>
      <c r="F1245" s="1">
        <v>55334.45</v>
      </c>
    </row>
    <row r="1246" spans="1:6" x14ac:dyDescent="0.25">
      <c r="A1246" s="1" t="s">
        <v>66</v>
      </c>
      <c r="B1246" s="1">
        <v>45972</v>
      </c>
      <c r="C1246" s="1">
        <v>55347.3</v>
      </c>
      <c r="D1246" s="1">
        <v>55588.35</v>
      </c>
      <c r="E1246" s="1">
        <v>55048.45</v>
      </c>
      <c r="F1246" s="1">
        <v>55523.05</v>
      </c>
    </row>
    <row r="1247" spans="1:6" x14ac:dyDescent="0.25">
      <c r="A1247" s="1" t="s">
        <v>66</v>
      </c>
      <c r="B1247" s="1">
        <v>45973</v>
      </c>
      <c r="C1247" s="1">
        <v>55629.95</v>
      </c>
      <c r="D1247" s="1">
        <v>55639.75</v>
      </c>
      <c r="E1247" s="1">
        <v>55327.25</v>
      </c>
      <c r="F1247" s="1">
        <v>55529.2</v>
      </c>
    </row>
    <row r="1248" spans="1:6" x14ac:dyDescent="0.25">
      <c r="A1248" s="1" t="s">
        <v>66</v>
      </c>
      <c r="B1248" s="1">
        <v>45974</v>
      </c>
      <c r="C1248" s="1">
        <v>55594.8</v>
      </c>
      <c r="D1248" s="1">
        <v>55616.7</v>
      </c>
      <c r="E1248" s="1">
        <v>55209.8</v>
      </c>
      <c r="F1248" s="1">
        <v>55243.5</v>
      </c>
    </row>
    <row r="1249" spans="1:6" x14ac:dyDescent="0.25">
      <c r="A1249" s="1" t="s">
        <v>66</v>
      </c>
      <c r="B1249" s="1">
        <v>45975</v>
      </c>
      <c r="C1249" s="1">
        <v>55153.599999999999</v>
      </c>
      <c r="D1249" s="1">
        <v>55621.25</v>
      </c>
      <c r="E1249" s="1">
        <v>54914.6</v>
      </c>
      <c r="F1249" s="1">
        <v>55560.800000000003</v>
      </c>
    </row>
    <row r="1250" spans="1:6" x14ac:dyDescent="0.25">
      <c r="A1250" s="1" t="s">
        <v>66</v>
      </c>
      <c r="B1250" s="1">
        <v>45978</v>
      </c>
      <c r="C1250" s="1">
        <v>55769.75</v>
      </c>
      <c r="D1250" s="1">
        <v>55897.55</v>
      </c>
      <c r="E1250" s="1">
        <v>55534.400000000001</v>
      </c>
      <c r="F1250" s="1">
        <v>55677.15</v>
      </c>
    </row>
    <row r="1251" spans="1:6" x14ac:dyDescent="0.25">
      <c r="A1251" s="1" t="s">
        <v>66</v>
      </c>
      <c r="B1251" s="1">
        <v>45979</v>
      </c>
      <c r="C1251" s="1">
        <v>55652.4</v>
      </c>
      <c r="D1251" s="1">
        <v>55739.6</v>
      </c>
      <c r="E1251" s="1">
        <v>55185.1</v>
      </c>
      <c r="F1251" s="1">
        <v>55363.45</v>
      </c>
    </row>
    <row r="1252" spans="1:6" x14ac:dyDescent="0.25">
      <c r="A1252" s="1" t="s">
        <v>66</v>
      </c>
      <c r="B1252" s="1">
        <v>45980</v>
      </c>
      <c r="C1252" s="1">
        <v>55349</v>
      </c>
      <c r="D1252" s="1">
        <v>55469.15</v>
      </c>
      <c r="E1252" s="1">
        <v>55260.65</v>
      </c>
      <c r="F1252" s="1">
        <v>55380.800000000003</v>
      </c>
    </row>
    <row r="1253" spans="1:6" x14ac:dyDescent="0.25">
      <c r="A1253" s="1" t="s">
        <v>66</v>
      </c>
      <c r="B1253" s="1">
        <v>45981</v>
      </c>
      <c r="C1253" s="1">
        <v>55460.55</v>
      </c>
      <c r="D1253" s="1">
        <v>55863.25</v>
      </c>
      <c r="E1253" s="1">
        <v>55362.45</v>
      </c>
      <c r="F1253" s="1">
        <v>55426.7</v>
      </c>
    </row>
    <row r="1254" spans="1:6" x14ac:dyDescent="0.25">
      <c r="A1254" s="1" t="s">
        <v>66</v>
      </c>
      <c r="B1254" s="1">
        <v>45982</v>
      </c>
      <c r="C1254" s="1">
        <v>55394.95</v>
      </c>
      <c r="D1254" s="1">
        <v>55605.05</v>
      </c>
      <c r="E1254" s="1">
        <v>55240.65</v>
      </c>
      <c r="F1254" s="1">
        <v>55504.7</v>
      </c>
    </row>
    <row r="1255" spans="1:6" x14ac:dyDescent="0.25">
      <c r="A1255" s="1" t="s">
        <v>66</v>
      </c>
      <c r="B1255" s="1">
        <v>45985</v>
      </c>
      <c r="C1255" s="1">
        <v>55630.9</v>
      </c>
      <c r="D1255" s="1">
        <v>55636.85</v>
      </c>
      <c r="E1255" s="1">
        <v>55080.35</v>
      </c>
      <c r="F1255" s="1">
        <v>55138.15</v>
      </c>
    </row>
    <row r="1256" spans="1:6" x14ac:dyDescent="0.25">
      <c r="A1256" s="1" t="s">
        <v>66</v>
      </c>
      <c r="B1256" s="1">
        <v>45986</v>
      </c>
      <c r="C1256" s="1">
        <v>55135.25</v>
      </c>
      <c r="D1256" s="1">
        <v>55258.65</v>
      </c>
      <c r="E1256" s="1">
        <v>54850.35</v>
      </c>
      <c r="F1256" s="1">
        <v>55052.1</v>
      </c>
    </row>
    <row r="1257" spans="1:6" x14ac:dyDescent="0.25">
      <c r="A1257" s="1" t="s">
        <v>66</v>
      </c>
      <c r="B1257" s="1">
        <v>45987</v>
      </c>
      <c r="C1257" s="1">
        <v>54952.95</v>
      </c>
      <c r="D1257" s="1">
        <v>55477.9</v>
      </c>
      <c r="E1257" s="1">
        <v>54952.95</v>
      </c>
      <c r="F1257" s="1">
        <v>55442.6</v>
      </c>
    </row>
    <row r="1258" spans="1:6" x14ac:dyDescent="0.25">
      <c r="A1258" s="1" t="s">
        <v>66</v>
      </c>
      <c r="B1258" s="1">
        <v>45988</v>
      </c>
      <c r="C1258" s="1">
        <v>55526.400000000001</v>
      </c>
      <c r="D1258" s="1">
        <v>55638.5</v>
      </c>
      <c r="E1258" s="1">
        <v>55264.85</v>
      </c>
      <c r="F1258" s="1">
        <v>55470.55</v>
      </c>
    </row>
    <row r="1259" spans="1:6" x14ac:dyDescent="0.25">
      <c r="A1259" s="1" t="s">
        <v>66</v>
      </c>
      <c r="B1259" s="1">
        <v>45989</v>
      </c>
      <c r="C1259" s="1">
        <v>55475.55</v>
      </c>
      <c r="D1259" s="1">
        <v>55638.75</v>
      </c>
      <c r="E1259" s="1">
        <v>55443.8</v>
      </c>
      <c r="F1259" s="1">
        <v>55595.8</v>
      </c>
    </row>
    <row r="1260" spans="1:6" x14ac:dyDescent="0.25">
      <c r="A1260" s="1" t="s">
        <v>66</v>
      </c>
      <c r="B1260" s="1">
        <v>45992</v>
      </c>
      <c r="C1260" s="1">
        <v>55515.65</v>
      </c>
      <c r="D1260" s="1">
        <v>55695.35</v>
      </c>
      <c r="E1260" s="1">
        <v>55248</v>
      </c>
      <c r="F1260" s="1">
        <v>55500.5</v>
      </c>
    </row>
    <row r="1261" spans="1:6" x14ac:dyDescent="0.25">
      <c r="A1261" s="1" t="s">
        <v>66</v>
      </c>
      <c r="B1261" s="1">
        <v>45993</v>
      </c>
      <c r="C1261" s="1">
        <v>55463.5</v>
      </c>
      <c r="D1261" s="1">
        <v>55678.95</v>
      </c>
      <c r="E1261" s="1">
        <v>55269.1</v>
      </c>
      <c r="F1261" s="1">
        <v>55390.95</v>
      </c>
    </row>
    <row r="1262" spans="1:6" x14ac:dyDescent="0.25">
      <c r="A1262" s="1" t="s">
        <v>66</v>
      </c>
      <c r="B1262" s="1">
        <v>45994</v>
      </c>
      <c r="C1262" s="1">
        <v>55415.55</v>
      </c>
      <c r="D1262" s="1">
        <v>55447.3</v>
      </c>
      <c r="E1262" s="1">
        <v>54732.35</v>
      </c>
      <c r="F1262" s="1">
        <v>54949.1</v>
      </c>
    </row>
    <row r="1263" spans="1:6" x14ac:dyDescent="0.25">
      <c r="A1263" s="1" t="s">
        <v>66</v>
      </c>
      <c r="B1263" s="1">
        <v>45995</v>
      </c>
      <c r="C1263" s="1">
        <v>54932.5</v>
      </c>
      <c r="D1263" s="1">
        <v>55266.25</v>
      </c>
      <c r="E1263" s="1">
        <v>54709.05</v>
      </c>
      <c r="F1263" s="1">
        <v>55209.3</v>
      </c>
    </row>
    <row r="1264" spans="1:6" x14ac:dyDescent="0.25">
      <c r="A1264" s="1" t="s">
        <v>66</v>
      </c>
      <c r="B1264" s="1">
        <v>45996</v>
      </c>
      <c r="C1264" s="1">
        <v>55147.25</v>
      </c>
      <c r="D1264" s="1">
        <v>55254.2</v>
      </c>
      <c r="E1264" s="1">
        <v>54476.65</v>
      </c>
      <c r="F1264" s="1">
        <v>55202.85</v>
      </c>
    </row>
    <row r="1265" spans="1:6" x14ac:dyDescent="0.25">
      <c r="A1265" s="1" t="s">
        <v>66</v>
      </c>
      <c r="B1265" s="1">
        <v>45999</v>
      </c>
      <c r="C1265" s="1">
        <v>55235.95</v>
      </c>
      <c r="D1265" s="1">
        <v>55282.55</v>
      </c>
      <c r="E1265" s="1">
        <v>54377.599999999999</v>
      </c>
      <c r="F1265" s="1">
        <v>54540.5</v>
      </c>
    </row>
    <row r="1266" spans="1:6" x14ac:dyDescent="0.25">
      <c r="A1266" s="1" t="s">
        <v>66</v>
      </c>
      <c r="B1266" s="1">
        <v>46000</v>
      </c>
      <c r="C1266" s="1">
        <v>54448.2</v>
      </c>
      <c r="D1266" s="1">
        <v>54723.3</v>
      </c>
      <c r="E1266" s="1">
        <v>54134.5</v>
      </c>
      <c r="F1266" s="1">
        <v>54521.2</v>
      </c>
    </row>
    <row r="1267" spans="1:6" x14ac:dyDescent="0.25">
      <c r="A1267" s="1" t="s">
        <v>66</v>
      </c>
      <c r="B1267" s="1">
        <v>46001</v>
      </c>
      <c r="C1267" s="1">
        <v>54545.1</v>
      </c>
      <c r="D1267" s="1">
        <v>54903.95</v>
      </c>
      <c r="E1267" s="1">
        <v>54447.199999999997</v>
      </c>
      <c r="F1267" s="1">
        <v>54506</v>
      </c>
    </row>
    <row r="1268" spans="1:6" x14ac:dyDescent="0.25">
      <c r="A1268" s="1" t="s">
        <v>66</v>
      </c>
      <c r="B1268" s="1">
        <v>46002</v>
      </c>
      <c r="C1268" s="1">
        <v>54485.4</v>
      </c>
      <c r="D1268" s="1">
        <v>54712.3</v>
      </c>
      <c r="E1268" s="1">
        <v>54246.9</v>
      </c>
      <c r="F1268" s="1">
        <v>54619.65</v>
      </c>
    </row>
    <row r="1269" spans="1:6" x14ac:dyDescent="0.25">
      <c r="A1269" s="1" t="s">
        <v>66</v>
      </c>
      <c r="B1269" s="1">
        <v>46003</v>
      </c>
      <c r="C1269" s="1">
        <v>54671.05</v>
      </c>
      <c r="D1269" s="1">
        <v>54744.7</v>
      </c>
      <c r="E1269" s="1">
        <v>54236.05</v>
      </c>
      <c r="F1269" s="1">
        <v>54490.8</v>
      </c>
    </row>
    <row r="1270" spans="1:6" x14ac:dyDescent="0.25">
      <c r="A1270" s="1" t="s">
        <v>66</v>
      </c>
      <c r="B1270" s="1">
        <v>46006</v>
      </c>
      <c r="C1270" s="1">
        <v>54473.45</v>
      </c>
      <c r="D1270" s="1">
        <v>54930.8</v>
      </c>
      <c r="E1270" s="1">
        <v>54264.75</v>
      </c>
      <c r="F1270" s="1">
        <v>54868.4</v>
      </c>
    </row>
    <row r="1271" spans="1:6" x14ac:dyDescent="0.25">
      <c r="A1271" s="1" t="s">
        <v>66</v>
      </c>
      <c r="B1271" s="1">
        <v>46007</v>
      </c>
      <c r="C1271" s="1">
        <v>54799.45</v>
      </c>
      <c r="D1271" s="1">
        <v>55324.9</v>
      </c>
      <c r="E1271" s="1">
        <v>54699.95</v>
      </c>
      <c r="F1271" s="1">
        <v>54863.45</v>
      </c>
    </row>
    <row r="1272" spans="1:6" x14ac:dyDescent="0.25">
      <c r="A1272" s="1" t="s">
        <v>66</v>
      </c>
      <c r="B1272" s="1">
        <v>46008</v>
      </c>
      <c r="C1272" s="1">
        <v>54772.2</v>
      </c>
      <c r="D1272" s="1">
        <v>54938.9</v>
      </c>
      <c r="E1272" s="1">
        <v>54515.75</v>
      </c>
      <c r="F1272" s="1">
        <v>54603.4</v>
      </c>
    </row>
    <row r="1273" spans="1:6" x14ac:dyDescent="0.25">
      <c r="A1273" s="1" t="s">
        <v>66</v>
      </c>
      <c r="B1273" s="1">
        <v>46009</v>
      </c>
      <c r="C1273" s="1">
        <v>54623</v>
      </c>
      <c r="D1273" s="1">
        <v>54683.8</v>
      </c>
      <c r="E1273" s="1">
        <v>54323.9</v>
      </c>
      <c r="F1273" s="1">
        <v>54546.45</v>
      </c>
    </row>
    <row r="1274" spans="1:6" x14ac:dyDescent="0.25">
      <c r="A1274" s="1" t="s">
        <v>66</v>
      </c>
      <c r="B1274" s="1">
        <v>46010</v>
      </c>
      <c r="C1274" s="1">
        <v>54507</v>
      </c>
      <c r="D1274" s="1">
        <v>54854.85</v>
      </c>
      <c r="E1274" s="1">
        <v>54507</v>
      </c>
      <c r="F1274" s="1">
        <v>54781.35</v>
      </c>
    </row>
    <row r="1275" spans="1:6" x14ac:dyDescent="0.25">
      <c r="A1275" s="1" t="s">
        <v>66</v>
      </c>
      <c r="B1275" s="1">
        <v>46013</v>
      </c>
      <c r="C1275" s="1">
        <v>54885.05</v>
      </c>
      <c r="D1275" s="1">
        <v>55133.8</v>
      </c>
      <c r="E1275" s="1">
        <v>54821</v>
      </c>
      <c r="F1275" s="1">
        <v>55062.65</v>
      </c>
    </row>
    <row r="1276" spans="1:6" x14ac:dyDescent="0.25">
      <c r="A1276" s="1" t="s">
        <v>66</v>
      </c>
      <c r="B1276" s="1">
        <v>46014</v>
      </c>
      <c r="C1276" s="1">
        <v>55103.6</v>
      </c>
      <c r="D1276" s="1">
        <v>55431</v>
      </c>
      <c r="E1276" s="1">
        <v>54912.5</v>
      </c>
      <c r="F1276" s="1">
        <v>55348.65</v>
      </c>
    </row>
    <row r="1277" spans="1:6" x14ac:dyDescent="0.25">
      <c r="A1277" s="1" t="s">
        <v>66</v>
      </c>
      <c r="B1277" s="1">
        <v>46015</v>
      </c>
      <c r="C1277" s="1">
        <v>55363.15</v>
      </c>
      <c r="D1277" s="1">
        <v>55383.4</v>
      </c>
      <c r="E1277" s="1">
        <v>55019.95</v>
      </c>
      <c r="F1277" s="1">
        <v>55113.75</v>
      </c>
    </row>
    <row r="1278" spans="1:6" x14ac:dyDescent="0.25">
      <c r="A1278" s="1" t="s">
        <v>66</v>
      </c>
      <c r="B1278" s="1">
        <v>46017</v>
      </c>
      <c r="C1278" s="1">
        <v>55083.85</v>
      </c>
      <c r="D1278" s="1">
        <v>55233.35</v>
      </c>
      <c r="E1278" s="1">
        <v>54957.25</v>
      </c>
      <c r="F1278" s="1">
        <v>55132.05</v>
      </c>
    </row>
    <row r="1279" spans="1:6" x14ac:dyDescent="0.25">
      <c r="A1279" s="1" t="s">
        <v>66</v>
      </c>
      <c r="B1279" s="1">
        <v>46020</v>
      </c>
      <c r="C1279" s="1">
        <v>55143.25</v>
      </c>
      <c r="D1279" s="1">
        <v>55227.15</v>
      </c>
      <c r="E1279" s="1">
        <v>54969.4</v>
      </c>
      <c r="F1279" s="1">
        <v>55192.45</v>
      </c>
    </row>
    <row r="1280" spans="1:6" x14ac:dyDescent="0.25">
      <c r="A1280" s="1" t="s">
        <v>66</v>
      </c>
      <c r="B1280" s="1">
        <v>46021</v>
      </c>
      <c r="C1280" s="1">
        <v>55231.35</v>
      </c>
      <c r="D1280" s="1">
        <v>55246.95</v>
      </c>
      <c r="E1280" s="1">
        <v>54918.55</v>
      </c>
      <c r="F1280" s="1">
        <v>55033.15</v>
      </c>
    </row>
    <row r="1281" spans="1:6" x14ac:dyDescent="0.25">
      <c r="A1281" s="1" t="s">
        <v>66</v>
      </c>
      <c r="B1281" s="1">
        <v>46022</v>
      </c>
      <c r="C1281" s="1">
        <v>55069</v>
      </c>
      <c r="D1281" s="1">
        <v>55559.05</v>
      </c>
      <c r="E1281" s="1">
        <v>55055.1</v>
      </c>
      <c r="F1281" s="1">
        <v>55475.65</v>
      </c>
    </row>
    <row r="1282" spans="1:6" x14ac:dyDescent="0.25">
      <c r="A1282" s="1" t="s">
        <v>66</v>
      </c>
      <c r="B1282" s="1">
        <v>46023</v>
      </c>
      <c r="C1282" s="1">
        <v>55538.45</v>
      </c>
      <c r="D1282" s="1">
        <v>55552.9</v>
      </c>
      <c r="E1282" s="1">
        <v>53478.7</v>
      </c>
      <c r="F1282" s="1">
        <v>53718.5</v>
      </c>
    </row>
    <row r="1283" spans="1:6" x14ac:dyDescent="0.25">
      <c r="A1283" s="1" t="s">
        <v>66</v>
      </c>
      <c r="B1283" s="1">
        <v>46024</v>
      </c>
      <c r="C1283" s="1">
        <v>53562.5</v>
      </c>
      <c r="D1283" s="1">
        <v>53579.4</v>
      </c>
      <c r="E1283" s="1">
        <v>52741.85</v>
      </c>
      <c r="F1283" s="1">
        <v>53078.8</v>
      </c>
    </row>
    <row r="1284" spans="1:6" x14ac:dyDescent="0.25">
      <c r="A1284" s="1" t="s">
        <v>66</v>
      </c>
      <c r="B1284" s="1">
        <v>46027</v>
      </c>
      <c r="C1284" s="1">
        <v>53054.95</v>
      </c>
      <c r="D1284" s="1">
        <v>53573.75</v>
      </c>
      <c r="E1284" s="1">
        <v>52885.599999999999</v>
      </c>
      <c r="F1284" s="1">
        <v>53441.1</v>
      </c>
    </row>
    <row r="1285" spans="1:6" x14ac:dyDescent="0.25">
      <c r="A1285" s="1" t="s">
        <v>66</v>
      </c>
      <c r="B1285" s="1">
        <v>46028</v>
      </c>
      <c r="C1285" s="1">
        <v>53538.8</v>
      </c>
      <c r="D1285" s="1">
        <v>53637.75</v>
      </c>
      <c r="E1285" s="1">
        <v>53152.7</v>
      </c>
      <c r="F1285" s="1">
        <v>53561.95</v>
      </c>
    </row>
    <row r="1286" spans="1:6" x14ac:dyDescent="0.25">
      <c r="A1286" s="1" t="s">
        <v>66</v>
      </c>
      <c r="B1286" s="1">
        <v>46029</v>
      </c>
      <c r="C1286" s="1">
        <v>53636.2</v>
      </c>
      <c r="D1286" s="1">
        <v>53782.6</v>
      </c>
      <c r="E1286" s="1">
        <v>53319.6</v>
      </c>
      <c r="F1286" s="1">
        <v>53493.8</v>
      </c>
    </row>
    <row r="1287" spans="1:6" x14ac:dyDescent="0.25">
      <c r="A1287" s="1" t="s">
        <v>66</v>
      </c>
      <c r="B1287" s="1">
        <v>46030</v>
      </c>
      <c r="C1287" s="1">
        <v>53419.65</v>
      </c>
      <c r="D1287" s="1">
        <v>53515.65</v>
      </c>
      <c r="E1287" s="1">
        <v>52922.1</v>
      </c>
      <c r="F1287" s="1">
        <v>53010.15</v>
      </c>
    </row>
    <row r="1288" spans="1:6" x14ac:dyDescent="0.25">
      <c r="A1288" s="1" t="s">
        <v>66</v>
      </c>
      <c r="B1288" s="1">
        <v>46031</v>
      </c>
      <c r="C1288" s="1">
        <v>52918.25</v>
      </c>
      <c r="D1288" s="1">
        <v>53083.5</v>
      </c>
      <c r="E1288" s="1">
        <v>52332.65</v>
      </c>
      <c r="F1288" s="1">
        <v>52438.15</v>
      </c>
    </row>
    <row r="1289" spans="1:6" x14ac:dyDescent="0.25">
      <c r="A1289" s="1" t="s">
        <v>66</v>
      </c>
      <c r="B1289" s="1">
        <v>46034</v>
      </c>
      <c r="C1289" s="1">
        <v>52381.25</v>
      </c>
      <c r="D1289" s="1">
        <v>52814.85</v>
      </c>
      <c r="E1289" s="1">
        <v>52271.75</v>
      </c>
      <c r="F1289" s="1">
        <v>52745.5</v>
      </c>
    </row>
    <row r="1290" spans="1:6" x14ac:dyDescent="0.25">
      <c r="A1290" s="1" t="s">
        <v>66</v>
      </c>
      <c r="B1290" s="1">
        <v>46035</v>
      </c>
      <c r="C1290" s="1">
        <v>52816.4</v>
      </c>
      <c r="D1290" s="1">
        <v>53007.15</v>
      </c>
      <c r="E1290" s="1">
        <v>52326.25</v>
      </c>
      <c r="F1290" s="1">
        <v>52577.15</v>
      </c>
    </row>
    <row r="1291" spans="1:6" x14ac:dyDescent="0.25">
      <c r="A1291" s="1" t="s">
        <v>66</v>
      </c>
      <c r="B1291" s="1">
        <v>46036</v>
      </c>
      <c r="C1291" s="1">
        <v>52608.800000000003</v>
      </c>
      <c r="D1291" s="1">
        <v>52608.800000000003</v>
      </c>
      <c r="E1291" s="1">
        <v>52162.35</v>
      </c>
      <c r="F1291" s="1">
        <v>52258.65</v>
      </c>
    </row>
    <row r="1292" spans="1:6" x14ac:dyDescent="0.25">
      <c r="A1292" s="1" t="s">
        <v>66</v>
      </c>
      <c r="B1292" s="1">
        <v>46038</v>
      </c>
      <c r="C1292" s="1">
        <v>52510.9</v>
      </c>
      <c r="D1292" s="1">
        <v>52601.45</v>
      </c>
      <c r="E1292" s="1">
        <v>52038.6</v>
      </c>
      <c r="F1292" s="1">
        <v>52142.5</v>
      </c>
    </row>
    <row r="1293" spans="1:6" x14ac:dyDescent="0.25">
      <c r="A1293" s="1" t="s">
        <v>66</v>
      </c>
      <c r="B1293" s="1">
        <v>46041</v>
      </c>
      <c r="C1293" s="1">
        <v>52015.05</v>
      </c>
      <c r="D1293" s="1">
        <v>52669.95</v>
      </c>
      <c r="E1293" s="1">
        <v>51902.3</v>
      </c>
      <c r="F1293" s="1">
        <v>52489.95</v>
      </c>
    </row>
    <row r="1294" spans="1:6" x14ac:dyDescent="0.25">
      <c r="A1294" s="1" t="s">
        <v>66</v>
      </c>
      <c r="B1294" s="1">
        <v>46042</v>
      </c>
      <c r="C1294" s="1">
        <v>52586.15</v>
      </c>
      <c r="D1294" s="1">
        <v>52616.85</v>
      </c>
      <c r="E1294" s="1">
        <v>51595.65</v>
      </c>
      <c r="F1294" s="1">
        <v>51713</v>
      </c>
    </row>
    <row r="1295" spans="1:6" x14ac:dyDescent="0.25">
      <c r="A1295" s="1" t="s">
        <v>66</v>
      </c>
      <c r="B1295" s="1">
        <v>46043</v>
      </c>
      <c r="C1295" s="1">
        <v>51563.35</v>
      </c>
      <c r="D1295" s="1">
        <v>51962</v>
      </c>
      <c r="E1295" s="1">
        <v>51217.2</v>
      </c>
      <c r="F1295" s="1">
        <v>51402.5</v>
      </c>
    </row>
    <row r="1296" spans="1:6" x14ac:dyDescent="0.25">
      <c r="A1296" s="1" t="s">
        <v>66</v>
      </c>
      <c r="B1296" s="1">
        <v>46044</v>
      </c>
      <c r="C1296" s="1">
        <v>51582.05</v>
      </c>
      <c r="D1296" s="1">
        <v>52095.3</v>
      </c>
      <c r="E1296" s="1">
        <v>51560.5</v>
      </c>
      <c r="F1296" s="1">
        <v>51978.400000000001</v>
      </c>
    </row>
    <row r="1297" spans="1:6" x14ac:dyDescent="0.25">
      <c r="A1297" s="1" t="s">
        <v>66</v>
      </c>
      <c r="B1297" s="1">
        <v>46045</v>
      </c>
      <c r="C1297" s="1">
        <v>52135.6</v>
      </c>
      <c r="D1297" s="1">
        <v>52217.5</v>
      </c>
      <c r="E1297" s="1">
        <v>51594.1</v>
      </c>
      <c r="F1297" s="1">
        <v>51662.05</v>
      </c>
    </row>
    <row r="1298" spans="1:6" x14ac:dyDescent="0.25">
      <c r="A1298" s="1" t="s">
        <v>66</v>
      </c>
      <c r="B1298" s="1">
        <v>46049</v>
      </c>
      <c r="C1298" s="1">
        <v>51692.2</v>
      </c>
      <c r="D1298" s="1">
        <v>51741.4</v>
      </c>
      <c r="E1298" s="1">
        <v>51126.75</v>
      </c>
      <c r="F1298" s="1">
        <v>51349.75</v>
      </c>
    </row>
    <row r="1299" spans="1:6" x14ac:dyDescent="0.25">
      <c r="A1299" s="1" t="s">
        <v>66</v>
      </c>
      <c r="B1299" s="1">
        <v>46050</v>
      </c>
      <c r="C1299" s="1">
        <v>51449.75</v>
      </c>
      <c r="D1299" s="1">
        <v>51579.25</v>
      </c>
      <c r="E1299" s="1">
        <v>50510.65</v>
      </c>
      <c r="F1299" s="1">
        <v>50985.45</v>
      </c>
    </row>
    <row r="1300" spans="1:6" x14ac:dyDescent="0.25">
      <c r="A1300" s="1" t="s">
        <v>66</v>
      </c>
      <c r="B1300" s="1">
        <v>46051</v>
      </c>
      <c r="C1300" s="1">
        <v>50971.45</v>
      </c>
      <c r="D1300" s="1">
        <v>51002</v>
      </c>
      <c r="E1300" s="1">
        <v>50076.05</v>
      </c>
      <c r="F1300" s="1">
        <v>50523.9</v>
      </c>
    </row>
    <row r="1301" spans="1:6" x14ac:dyDescent="0.25">
      <c r="A1301" s="1" t="s">
        <v>66</v>
      </c>
      <c r="B1301" s="1">
        <v>46052</v>
      </c>
      <c r="C1301" s="1">
        <v>50420.5</v>
      </c>
      <c r="D1301" s="1">
        <v>51339.45</v>
      </c>
      <c r="E1301" s="1">
        <v>50311.5</v>
      </c>
      <c r="F1301" s="1">
        <v>51215.199999999997</v>
      </c>
    </row>
    <row r="1302" spans="1:6" x14ac:dyDescent="0.25">
      <c r="A1302" s="1" t="s">
        <v>66</v>
      </c>
      <c r="B1302" s="1">
        <v>46054</v>
      </c>
      <c r="C1302" s="1">
        <v>51316.6</v>
      </c>
      <c r="D1302" s="1">
        <v>51324.800000000003</v>
      </c>
      <c r="E1302" s="1">
        <v>49741.65</v>
      </c>
      <c r="F1302" s="1">
        <v>50042.8</v>
      </c>
    </row>
    <row r="1303" spans="1:6" x14ac:dyDescent="0.25">
      <c r="A1303" s="1" t="s">
        <v>66</v>
      </c>
      <c r="B1303" s="1">
        <v>46055</v>
      </c>
      <c r="C1303" s="1">
        <v>50103.9</v>
      </c>
      <c r="D1303" s="1">
        <v>50696.45</v>
      </c>
      <c r="E1303" s="1">
        <v>49336.5</v>
      </c>
      <c r="F1303" s="1">
        <v>50623.199999999997</v>
      </c>
    </row>
    <row r="1304" spans="1:6" x14ac:dyDescent="0.25">
      <c r="A1304" s="1" t="s">
        <v>66</v>
      </c>
      <c r="B1304" s="1">
        <v>46056</v>
      </c>
      <c r="C1304" s="1">
        <v>51534.7</v>
      </c>
      <c r="D1304" s="1">
        <v>51840.25</v>
      </c>
      <c r="E1304" s="1">
        <v>50505.55</v>
      </c>
      <c r="F1304" s="1">
        <v>50806.65</v>
      </c>
    </row>
    <row r="1305" spans="1:6" x14ac:dyDescent="0.25">
      <c r="A1305" s="1" t="s">
        <v>66</v>
      </c>
      <c r="B1305" s="1">
        <v>46057</v>
      </c>
      <c r="C1305" s="1">
        <v>50938.2</v>
      </c>
      <c r="D1305" s="1">
        <v>51244.9</v>
      </c>
      <c r="E1305" s="1">
        <v>50725.9</v>
      </c>
      <c r="F1305" s="1">
        <v>50922.75</v>
      </c>
    </row>
    <row r="1306" spans="1:6" x14ac:dyDescent="0.25">
      <c r="A1306" s="1" t="s">
        <v>66</v>
      </c>
      <c r="B1306" s="1">
        <v>46058</v>
      </c>
      <c r="C1306" s="1">
        <v>50915.05</v>
      </c>
      <c r="D1306" s="1">
        <v>51403.1</v>
      </c>
      <c r="E1306" s="1">
        <v>50615.9</v>
      </c>
      <c r="F1306" s="1">
        <v>50731.65</v>
      </c>
    </row>
    <row r="1307" spans="1:6" x14ac:dyDescent="0.25">
      <c r="A1307" s="1" t="s">
        <v>66</v>
      </c>
      <c r="B1307" s="1">
        <v>46059</v>
      </c>
      <c r="C1307" s="1">
        <v>50667.85</v>
      </c>
      <c r="D1307" s="1">
        <v>51935.55</v>
      </c>
      <c r="E1307" s="1">
        <v>50383.9</v>
      </c>
      <c r="F1307" s="1">
        <v>51882.75</v>
      </c>
    </row>
    <row r="1308" spans="1:6" x14ac:dyDescent="0.25">
      <c r="A1308" s="1" t="s">
        <v>66</v>
      </c>
      <c r="B1308" s="1">
        <v>46062</v>
      </c>
      <c r="C1308" s="1">
        <v>52041</v>
      </c>
      <c r="D1308" s="1">
        <v>52098.45</v>
      </c>
      <c r="E1308" s="1">
        <v>51582.8</v>
      </c>
      <c r="F1308" s="1">
        <v>52047.3</v>
      </c>
    </row>
    <row r="1309" spans="1:6" x14ac:dyDescent="0.25">
      <c r="A1309" s="1" t="s">
        <v>66</v>
      </c>
      <c r="B1309" s="1">
        <v>46063</v>
      </c>
      <c r="C1309" s="1">
        <v>52105.1</v>
      </c>
      <c r="D1309" s="1">
        <v>52183.55</v>
      </c>
      <c r="E1309" s="1">
        <v>51889.05</v>
      </c>
      <c r="F1309" s="1">
        <v>52130.45</v>
      </c>
    </row>
    <row r="1310" spans="1:6" x14ac:dyDescent="0.25">
      <c r="A1310" s="1" t="s">
        <v>66</v>
      </c>
      <c r="B1310" s="1">
        <v>46064</v>
      </c>
      <c r="C1310" s="1">
        <v>52335.95</v>
      </c>
      <c r="D1310" s="1">
        <v>52411.1</v>
      </c>
      <c r="E1310" s="1">
        <v>51967.7</v>
      </c>
      <c r="F1310" s="1">
        <v>52152.1</v>
      </c>
    </row>
    <row r="1311" spans="1:6" x14ac:dyDescent="0.25">
      <c r="A1311" s="1" t="s">
        <v>66</v>
      </c>
      <c r="B1311" s="1">
        <v>46065</v>
      </c>
      <c r="C1311" s="1">
        <v>52212.7</v>
      </c>
      <c r="D1311" s="1">
        <v>52221.75</v>
      </c>
      <c r="E1311" s="1">
        <v>51571.5</v>
      </c>
      <c r="F1311" s="1">
        <v>51885.75</v>
      </c>
    </row>
    <row r="1312" spans="1:6" x14ac:dyDescent="0.25">
      <c r="A1312" s="1" t="s">
        <v>66</v>
      </c>
      <c r="B1312" s="1">
        <v>46066</v>
      </c>
      <c r="C1312" s="1">
        <v>51690.05</v>
      </c>
      <c r="D1312" s="1">
        <v>51690.05</v>
      </c>
      <c r="E1312" s="1">
        <v>50811.85</v>
      </c>
      <c r="F1312" s="1">
        <v>50902.15</v>
      </c>
    </row>
    <row r="1313" spans="1:6" x14ac:dyDescent="0.25">
      <c r="A1313" s="1" t="s">
        <v>66</v>
      </c>
      <c r="B1313" s="1">
        <v>46069</v>
      </c>
      <c r="C1313" s="1">
        <v>50809.55</v>
      </c>
      <c r="D1313" s="1">
        <v>51371.9</v>
      </c>
      <c r="E1313" s="1">
        <v>50680.15</v>
      </c>
      <c r="F1313" s="1">
        <v>51318.85</v>
      </c>
    </row>
    <row r="1314" spans="1:6" x14ac:dyDescent="0.25">
      <c r="A1314" s="1" t="s">
        <v>66</v>
      </c>
      <c r="B1314" s="1">
        <v>46070</v>
      </c>
      <c r="C1314" s="1">
        <v>51246.2</v>
      </c>
      <c r="D1314" s="1">
        <v>51824.15</v>
      </c>
      <c r="E1314" s="1">
        <v>51237.55</v>
      </c>
      <c r="F1314" s="1">
        <v>51778.3</v>
      </c>
    </row>
    <row r="1315" spans="1:6" x14ac:dyDescent="0.25">
      <c r="A1315" s="1" t="s">
        <v>66</v>
      </c>
      <c r="B1315" s="1">
        <v>46071</v>
      </c>
      <c r="C1315" s="1">
        <v>51860.6</v>
      </c>
      <c r="D1315" s="1">
        <v>52428.9</v>
      </c>
      <c r="E1315" s="1">
        <v>51759.4</v>
      </c>
      <c r="F1315" s="1">
        <v>52406.5</v>
      </c>
    </row>
    <row r="1316" spans="1:6" x14ac:dyDescent="0.25">
      <c r="A1316" s="1" t="s">
        <v>66</v>
      </c>
      <c r="B1316" s="1">
        <v>46072</v>
      </c>
      <c r="C1316" s="1">
        <v>52548.65</v>
      </c>
      <c r="D1316" s="1">
        <v>52548.65</v>
      </c>
      <c r="E1316" s="1">
        <v>51381.35</v>
      </c>
      <c r="F1316" s="1">
        <v>51483.6</v>
      </c>
    </row>
    <row r="1317" spans="1:6" x14ac:dyDescent="0.25">
      <c r="A1317" s="1" t="s">
        <v>66</v>
      </c>
      <c r="B1317" s="1">
        <v>46073</v>
      </c>
      <c r="C1317" s="1">
        <v>51443.85</v>
      </c>
      <c r="D1317" s="1">
        <v>51969.25</v>
      </c>
      <c r="E1317" s="1">
        <v>51401.45</v>
      </c>
      <c r="F1317" s="1">
        <v>51772.7</v>
      </c>
    </row>
    <row r="1318" spans="1:6" x14ac:dyDescent="0.25">
      <c r="A1318" s="1" t="s">
        <v>66</v>
      </c>
      <c r="B1318" s="1">
        <v>46076</v>
      </c>
      <c r="C1318" s="1">
        <v>51905.7</v>
      </c>
      <c r="D1318" s="1">
        <v>52186.2</v>
      </c>
      <c r="E1318" s="1">
        <v>51801.45</v>
      </c>
      <c r="F1318" s="1">
        <v>52136.35</v>
      </c>
    </row>
    <row r="1319" spans="1:6" x14ac:dyDescent="0.25">
      <c r="A1319" s="1" t="s">
        <v>66</v>
      </c>
      <c r="B1319" s="1">
        <v>46077</v>
      </c>
      <c r="C1319" s="1">
        <v>51911.35</v>
      </c>
      <c r="D1319" s="1">
        <v>52338.3</v>
      </c>
      <c r="E1319" s="1">
        <v>51815.7</v>
      </c>
      <c r="F1319" s="1">
        <v>52235.25</v>
      </c>
    </row>
    <row r="1320" spans="1:6" x14ac:dyDescent="0.25">
      <c r="A1320" s="1" t="s">
        <v>66</v>
      </c>
      <c r="B1320" s="1">
        <v>46078</v>
      </c>
      <c r="C1320" s="1">
        <v>52444.65</v>
      </c>
      <c r="D1320" s="1">
        <v>52519.9</v>
      </c>
      <c r="E1320" s="1">
        <v>51864</v>
      </c>
      <c r="F1320" s="1">
        <v>52105.3</v>
      </c>
    </row>
    <row r="1321" spans="1:6" x14ac:dyDescent="0.25">
      <c r="A1321" s="1" t="s">
        <v>66</v>
      </c>
      <c r="B1321" s="1">
        <v>46079</v>
      </c>
      <c r="C1321" s="1">
        <v>52156.55</v>
      </c>
      <c r="D1321" s="1">
        <v>52197.55</v>
      </c>
      <c r="E1321" s="1">
        <v>51741.7</v>
      </c>
      <c r="F1321" s="1">
        <v>52023</v>
      </c>
    </row>
    <row r="1322" spans="1:6" x14ac:dyDescent="0.25">
      <c r="A1322" s="1" t="s">
        <v>66</v>
      </c>
      <c r="B1322" s="1">
        <v>46080</v>
      </c>
      <c r="C1322" s="1">
        <v>51801.35</v>
      </c>
      <c r="D1322" s="1">
        <v>51987.55</v>
      </c>
      <c r="E1322" s="1">
        <v>51039.1</v>
      </c>
      <c r="F1322" s="1">
        <v>51142.2</v>
      </c>
    </row>
    <row r="1323" spans="1:6" x14ac:dyDescent="0.25">
      <c r="A1323" s="1" t="s">
        <v>66</v>
      </c>
      <c r="B1323" s="1">
        <v>46083</v>
      </c>
      <c r="C1323" s="1">
        <v>49968.25</v>
      </c>
      <c r="D1323" s="1">
        <v>50879.5</v>
      </c>
      <c r="E1323" s="1">
        <v>49954.15</v>
      </c>
      <c r="F1323" s="1">
        <v>50751.65</v>
      </c>
    </row>
    <row r="1324" spans="1:6" x14ac:dyDescent="0.25">
      <c r="A1324" s="1" t="s">
        <v>66</v>
      </c>
      <c r="B1324" s="1">
        <v>46085</v>
      </c>
      <c r="C1324" s="1">
        <v>50052.35</v>
      </c>
      <c r="D1324" s="1">
        <v>50315.8</v>
      </c>
      <c r="E1324" s="1">
        <v>49742.25</v>
      </c>
      <c r="F1324" s="1">
        <v>49797.5</v>
      </c>
    </row>
    <row r="1325" spans="1:6" x14ac:dyDescent="0.25">
      <c r="A1325" s="1" t="s">
        <v>66</v>
      </c>
      <c r="B1325" s="1">
        <v>46086</v>
      </c>
      <c r="C1325" s="1">
        <v>49985.85</v>
      </c>
      <c r="D1325" s="1">
        <v>50186.45</v>
      </c>
      <c r="E1325" s="1">
        <v>49354.8</v>
      </c>
      <c r="F1325" s="1">
        <v>50000.800000000003</v>
      </c>
    </row>
    <row r="1326" spans="1:6" x14ac:dyDescent="0.25">
      <c r="A1326" s="1" t="s">
        <v>66</v>
      </c>
      <c r="B1326" s="1">
        <v>46087</v>
      </c>
      <c r="C1326" s="1">
        <v>49847.65</v>
      </c>
      <c r="D1326" s="1">
        <v>50173.599999999999</v>
      </c>
      <c r="E1326" s="1">
        <v>49679.5</v>
      </c>
      <c r="F1326" s="1">
        <v>49970.6</v>
      </c>
    </row>
    <row r="1327" spans="1:6" x14ac:dyDescent="0.25">
      <c r="A1327" s="1" t="s">
        <v>66</v>
      </c>
      <c r="B1327" s="1">
        <v>46090</v>
      </c>
      <c r="C1327" s="1">
        <v>49299.4</v>
      </c>
      <c r="D1327" s="1">
        <v>49321.599999999999</v>
      </c>
      <c r="E1327" s="1">
        <v>48740.95</v>
      </c>
      <c r="F1327" s="1">
        <v>49192.4</v>
      </c>
    </row>
    <row r="1328" spans="1:6" x14ac:dyDescent="0.25">
      <c r="A1328" s="1" t="s">
        <v>66</v>
      </c>
      <c r="B1328" s="1">
        <v>46091</v>
      </c>
      <c r="C1328" s="1">
        <v>49627.5</v>
      </c>
      <c r="D1328" s="1">
        <v>49717.55</v>
      </c>
      <c r="E1328" s="1">
        <v>49288.1</v>
      </c>
      <c r="F1328" s="1">
        <v>49603.55</v>
      </c>
    </row>
    <row r="1329" spans="1:6" x14ac:dyDescent="0.25">
      <c r="A1329" s="1" t="s">
        <v>66</v>
      </c>
      <c r="B1329" s="1">
        <v>46092</v>
      </c>
      <c r="C1329" s="1">
        <v>49649.55</v>
      </c>
      <c r="D1329" s="1">
        <v>49685.5</v>
      </c>
      <c r="E1329" s="1">
        <v>48964.95</v>
      </c>
      <c r="F1329" s="1">
        <v>49059.7</v>
      </c>
    </row>
    <row r="1330" spans="1:6" x14ac:dyDescent="0.25">
      <c r="A1330" s="1" t="s">
        <v>66</v>
      </c>
      <c r="B1330" s="1">
        <v>46093</v>
      </c>
      <c r="C1330" s="1">
        <v>48909.8</v>
      </c>
      <c r="D1330" s="1">
        <v>48929</v>
      </c>
      <c r="E1330" s="1">
        <v>48036.5</v>
      </c>
      <c r="F1330" s="1">
        <v>48189.15</v>
      </c>
    </row>
    <row r="1331" spans="1:6" x14ac:dyDescent="0.25">
      <c r="A1331" s="1" t="s">
        <v>66</v>
      </c>
      <c r="B1331" s="1">
        <v>46094</v>
      </c>
      <c r="C1331" s="1">
        <v>48047.8</v>
      </c>
      <c r="D1331" s="1">
        <v>48642.85</v>
      </c>
      <c r="E1331" s="1">
        <v>47852.25</v>
      </c>
      <c r="F1331" s="1">
        <v>47924.15</v>
      </c>
    </row>
    <row r="1332" spans="1:6" x14ac:dyDescent="0.25">
      <c r="A1332" s="1" t="s">
        <v>66</v>
      </c>
      <c r="B1332" s="1">
        <v>46097</v>
      </c>
      <c r="C1332" s="1">
        <v>48005.85</v>
      </c>
      <c r="D1332" s="1">
        <v>48622.35</v>
      </c>
      <c r="E1332" s="1">
        <v>47826.35</v>
      </c>
      <c r="F1332" s="1">
        <v>48468.85</v>
      </c>
    </row>
    <row r="1333" spans="1:6" x14ac:dyDescent="0.25">
      <c r="A1333" s="1" t="s">
        <v>66</v>
      </c>
      <c r="B1333" s="1">
        <v>46098</v>
      </c>
      <c r="C1333" s="1">
        <v>48612.6</v>
      </c>
      <c r="D1333" s="1">
        <v>48612.6</v>
      </c>
      <c r="E1333" s="1">
        <v>48040.15</v>
      </c>
      <c r="F1333" s="1">
        <v>48104.45</v>
      </c>
    </row>
    <row r="1334" spans="1:6" x14ac:dyDescent="0.25">
      <c r="A1334" s="1" t="s">
        <v>66</v>
      </c>
      <c r="B1334" s="1">
        <v>46099</v>
      </c>
      <c r="C1334" s="1">
        <v>48215.35</v>
      </c>
      <c r="D1334" s="1">
        <v>48368.7</v>
      </c>
      <c r="E1334" s="1">
        <v>47997</v>
      </c>
      <c r="F1334" s="1">
        <v>48079</v>
      </c>
    </row>
    <row r="1335" spans="1:6" x14ac:dyDescent="0.25">
      <c r="A1335" s="1" t="s">
        <v>66</v>
      </c>
      <c r="B1335" s="1">
        <v>46100</v>
      </c>
      <c r="C1335" s="1">
        <v>47549.15</v>
      </c>
      <c r="D1335" s="1">
        <v>47914.55</v>
      </c>
      <c r="E1335" s="1">
        <v>46740.35</v>
      </c>
      <c r="F1335" s="1">
        <v>46861.95</v>
      </c>
    </row>
    <row r="1336" spans="1:6" x14ac:dyDescent="0.25">
      <c r="A1336" s="1" t="s">
        <v>66</v>
      </c>
      <c r="B1336" s="1">
        <v>46101</v>
      </c>
      <c r="C1336" s="1">
        <v>47321.9</v>
      </c>
      <c r="D1336" s="1">
        <v>47688.45</v>
      </c>
      <c r="E1336" s="1">
        <v>46925.35</v>
      </c>
      <c r="F1336" s="1">
        <v>47007.55</v>
      </c>
    </row>
    <row r="1337" spans="1:6" x14ac:dyDescent="0.25">
      <c r="A1337" s="1" t="s">
        <v>66</v>
      </c>
      <c r="B1337" s="1">
        <v>46104</v>
      </c>
      <c r="C1337" s="1">
        <v>46699.05</v>
      </c>
      <c r="D1337" s="1">
        <v>46743.95</v>
      </c>
      <c r="E1337" s="1">
        <v>45740.9</v>
      </c>
      <c r="F1337" s="1">
        <v>45837.05</v>
      </c>
    </row>
    <row r="1338" spans="1:6" x14ac:dyDescent="0.25">
      <c r="A1338" s="1" t="s">
        <v>66</v>
      </c>
      <c r="B1338" s="1">
        <v>46105</v>
      </c>
      <c r="C1338" s="1">
        <v>46498.5</v>
      </c>
      <c r="D1338" s="1">
        <v>46822.7</v>
      </c>
      <c r="E1338" s="1">
        <v>45777.2</v>
      </c>
      <c r="F1338" s="1">
        <v>46408.3</v>
      </c>
    </row>
    <row r="1339" spans="1:6" x14ac:dyDescent="0.25">
      <c r="A1339" s="1" t="s">
        <v>66</v>
      </c>
      <c r="B1339" s="1">
        <v>46106</v>
      </c>
      <c r="C1339" s="1">
        <v>46690.25</v>
      </c>
      <c r="D1339" s="1">
        <v>47673.15</v>
      </c>
      <c r="E1339" s="1">
        <v>46549.25</v>
      </c>
      <c r="F1339" s="1">
        <v>47283.35</v>
      </c>
    </row>
    <row r="1340" spans="1:6" x14ac:dyDescent="0.25">
      <c r="A1340" s="1" t="s">
        <v>66</v>
      </c>
      <c r="B1340" s="1">
        <v>46108</v>
      </c>
      <c r="C1340" s="1">
        <v>47080.55</v>
      </c>
      <c r="D1340" s="1">
        <v>47112.95</v>
      </c>
      <c r="E1340" s="1">
        <v>46346.8</v>
      </c>
      <c r="F1340" s="1">
        <v>46427.199999999997</v>
      </c>
    </row>
    <row r="1341" spans="1:6" x14ac:dyDescent="0.25">
      <c r="A1341" s="1" t="s">
        <v>66</v>
      </c>
      <c r="B1341" s="1">
        <v>46111</v>
      </c>
      <c r="C1341" s="1">
        <v>46141.7</v>
      </c>
      <c r="D1341" s="1">
        <v>46412.2</v>
      </c>
      <c r="E1341" s="1">
        <v>45436</v>
      </c>
      <c r="F1341" s="1">
        <v>45538.65</v>
      </c>
    </row>
    <row r="1342" spans="1:6" x14ac:dyDescent="0.25">
      <c r="A1342" s="1" t="s">
        <v>66</v>
      </c>
      <c r="B1342" s="1">
        <v>46113</v>
      </c>
      <c r="C1342" s="1">
        <v>46499.45</v>
      </c>
      <c r="D1342" s="1">
        <v>46513.05</v>
      </c>
      <c r="E1342" s="1">
        <v>45886.25</v>
      </c>
      <c r="F1342" s="1">
        <v>46135.95</v>
      </c>
    </row>
    <row r="1343" spans="1:6" x14ac:dyDescent="0.25">
      <c r="A1343" s="1" t="s">
        <v>66</v>
      </c>
      <c r="B1343" s="1">
        <v>46114</v>
      </c>
      <c r="C1343" s="1">
        <v>45882.7</v>
      </c>
      <c r="D1343" s="1">
        <v>46315.25</v>
      </c>
      <c r="E1343" s="1">
        <v>45334.15</v>
      </c>
      <c r="F1343" s="1">
        <v>46232.15</v>
      </c>
    </row>
    <row r="1344" spans="1:6" x14ac:dyDescent="0.25">
      <c r="A1344" s="1" t="s">
        <v>66</v>
      </c>
      <c r="B1344" s="1">
        <v>46118</v>
      </c>
      <c r="C1344" s="1">
        <v>46291.45</v>
      </c>
      <c r="D1344" s="1">
        <v>46666.5</v>
      </c>
      <c r="E1344" s="1">
        <v>45901.5</v>
      </c>
      <c r="F1344" s="1">
        <v>46600.05</v>
      </c>
    </row>
    <row r="1345" spans="1:6" x14ac:dyDescent="0.25">
      <c r="A1345" s="1" t="s">
        <v>66</v>
      </c>
      <c r="B1345" s="1">
        <v>46119</v>
      </c>
      <c r="C1345" s="1">
        <v>46362.25</v>
      </c>
      <c r="D1345" s="1">
        <v>47057.8</v>
      </c>
      <c r="E1345" s="1">
        <v>46020.5</v>
      </c>
      <c r="F1345" s="1">
        <v>46980.1</v>
      </c>
    </row>
    <row r="1346" spans="1:6" x14ac:dyDescent="0.25">
      <c r="A1346" s="1" t="s">
        <v>66</v>
      </c>
      <c r="B1346" s="1">
        <v>46120</v>
      </c>
      <c r="C1346" s="1">
        <v>47851.65</v>
      </c>
      <c r="D1346" s="1">
        <v>48076.800000000003</v>
      </c>
      <c r="E1346" s="1">
        <v>47648.3</v>
      </c>
      <c r="F1346" s="1">
        <v>47704.25</v>
      </c>
    </row>
    <row r="1347" spans="1:6" x14ac:dyDescent="0.25">
      <c r="A1347" s="1" t="s">
        <v>66</v>
      </c>
      <c r="B1347" s="1">
        <v>46121</v>
      </c>
      <c r="C1347" s="1">
        <v>47611.8</v>
      </c>
      <c r="D1347" s="1">
        <v>47969.45</v>
      </c>
      <c r="E1347" s="1">
        <v>47458.6</v>
      </c>
      <c r="F1347" s="1">
        <v>47640.7</v>
      </c>
    </row>
    <row r="1348" spans="1:6" x14ac:dyDescent="0.25">
      <c r="A1348" s="1" t="s">
        <v>66</v>
      </c>
      <c r="B1348" s="1">
        <v>46122</v>
      </c>
      <c r="C1348" s="1">
        <v>47727.35</v>
      </c>
      <c r="D1348" s="1">
        <v>48285</v>
      </c>
      <c r="E1348" s="1">
        <v>47632.15</v>
      </c>
      <c r="F1348" s="1">
        <v>48194.05</v>
      </c>
    </row>
    <row r="1349" spans="1:6" x14ac:dyDescent="0.25">
      <c r="A1349" s="1" t="s">
        <v>66</v>
      </c>
      <c r="B1349" s="1">
        <v>46125</v>
      </c>
      <c r="C1349" s="1">
        <v>47486.25</v>
      </c>
      <c r="D1349" s="1">
        <v>47785.1</v>
      </c>
      <c r="E1349" s="1">
        <v>47285.35</v>
      </c>
      <c r="F1349" s="1">
        <v>47570.400000000001</v>
      </c>
    </row>
    <row r="1350" spans="1:6" x14ac:dyDescent="0.25">
      <c r="A1350" s="1" t="s">
        <v>66</v>
      </c>
      <c r="B1350" s="1">
        <v>46127</v>
      </c>
      <c r="C1350" s="1">
        <v>47958.6</v>
      </c>
      <c r="D1350" s="1">
        <v>48482.5</v>
      </c>
      <c r="E1350" s="1">
        <v>47952.5</v>
      </c>
      <c r="F1350" s="1">
        <v>48290.400000000001</v>
      </c>
    </row>
    <row r="1351" spans="1:6" x14ac:dyDescent="0.25">
      <c r="A1351" s="1" t="s">
        <v>66</v>
      </c>
      <c r="B1351" s="1">
        <v>46128</v>
      </c>
      <c r="C1351" s="1">
        <v>48382.75</v>
      </c>
      <c r="D1351" s="1">
        <v>48496.9</v>
      </c>
      <c r="E1351" s="1">
        <v>48117.25</v>
      </c>
      <c r="F1351" s="1">
        <v>48377.9</v>
      </c>
    </row>
    <row r="1352" spans="1:6" x14ac:dyDescent="0.25">
      <c r="A1352" s="1" t="s">
        <v>66</v>
      </c>
      <c r="B1352" s="1">
        <v>46129</v>
      </c>
      <c r="C1352" s="1">
        <v>48371.6</v>
      </c>
      <c r="D1352" s="1">
        <v>49743.05</v>
      </c>
      <c r="E1352" s="1">
        <v>48371.6</v>
      </c>
      <c r="F1352" s="1">
        <v>49657.75</v>
      </c>
    </row>
    <row r="1353" spans="1:6" x14ac:dyDescent="0.25">
      <c r="A1353" s="1" t="s">
        <v>66</v>
      </c>
      <c r="B1353" s="1">
        <v>46132</v>
      </c>
      <c r="C1353" s="1">
        <v>49760.15</v>
      </c>
      <c r="D1353" s="1">
        <v>49843.95</v>
      </c>
      <c r="E1353" s="1">
        <v>49377.7</v>
      </c>
      <c r="F1353" s="1">
        <v>49555.75</v>
      </c>
    </row>
    <row r="1354" spans="1:6" x14ac:dyDescent="0.25">
      <c r="A1354" s="1" t="s">
        <v>66</v>
      </c>
      <c r="B1354" s="1">
        <v>46133</v>
      </c>
      <c r="C1354" s="1">
        <v>49685.65</v>
      </c>
      <c r="D1354" s="1">
        <v>51038</v>
      </c>
      <c r="E1354" s="1">
        <v>49597.2</v>
      </c>
      <c r="F1354" s="1">
        <v>50820.1</v>
      </c>
    </row>
    <row r="1355" spans="1:6" x14ac:dyDescent="0.25">
      <c r="A1355" s="1" t="s">
        <v>66</v>
      </c>
      <c r="B1355" s="1">
        <v>46134</v>
      </c>
      <c r="C1355" s="1">
        <v>50940.45</v>
      </c>
      <c r="D1355" s="1">
        <v>51627.95</v>
      </c>
      <c r="E1355" s="1">
        <v>50769.7</v>
      </c>
      <c r="F1355" s="1">
        <v>51199</v>
      </c>
    </row>
    <row r="1356" spans="1:6" x14ac:dyDescent="0.25">
      <c r="A1356" s="1" t="s">
        <v>66</v>
      </c>
      <c r="B1356" s="1">
        <v>46135</v>
      </c>
      <c r="C1356" s="1">
        <v>50919.95</v>
      </c>
      <c r="D1356" s="1">
        <v>51331.95</v>
      </c>
      <c r="E1356" s="1">
        <v>50693.55</v>
      </c>
      <c r="F1356" s="1">
        <v>51140.5</v>
      </c>
    </row>
    <row r="1357" spans="1:6" x14ac:dyDescent="0.25">
      <c r="A1357" s="1" t="s">
        <v>66</v>
      </c>
      <c r="B1357" s="1">
        <v>46136</v>
      </c>
      <c r="C1357" s="1">
        <v>51383.3</v>
      </c>
      <c r="D1357" s="1">
        <v>51383.3</v>
      </c>
      <c r="E1357" s="1">
        <v>50571.75</v>
      </c>
      <c r="F1357" s="1">
        <v>50766.25</v>
      </c>
    </row>
    <row r="1358" spans="1:6" x14ac:dyDescent="0.25">
      <c r="A1358" s="1" t="s">
        <v>66</v>
      </c>
      <c r="B1358" s="1">
        <v>46139</v>
      </c>
      <c r="C1358" s="1">
        <v>50990.9</v>
      </c>
      <c r="D1358" s="1">
        <v>51336.95</v>
      </c>
      <c r="E1358" s="1">
        <v>50878.3</v>
      </c>
      <c r="F1358" s="1">
        <v>51046.5</v>
      </c>
    </row>
    <row r="1359" spans="1:6" x14ac:dyDescent="0.25">
      <c r="A1359" s="1" t="s">
        <v>66</v>
      </c>
      <c r="B1359" s="1">
        <v>46140</v>
      </c>
      <c r="C1359" s="1">
        <v>51047.1</v>
      </c>
      <c r="D1359" s="1">
        <v>51182.3</v>
      </c>
      <c r="E1359" s="1">
        <v>50817.35</v>
      </c>
      <c r="F1359" s="1">
        <v>50882.75</v>
      </c>
    </row>
    <row r="1360" spans="1:6" x14ac:dyDescent="0.25">
      <c r="A1360" s="1" t="s">
        <v>66</v>
      </c>
      <c r="B1360" s="1">
        <v>46141</v>
      </c>
      <c r="C1360" s="1">
        <v>51065.3</v>
      </c>
      <c r="D1360" s="1">
        <v>52067.05</v>
      </c>
      <c r="E1360" s="1">
        <v>51027.75</v>
      </c>
      <c r="F1360" s="1">
        <v>51771.8</v>
      </c>
    </row>
    <row r="1361" spans="1:6" x14ac:dyDescent="0.25">
      <c r="A1361" s="1" t="s">
        <v>66</v>
      </c>
      <c r="B1361" s="1">
        <v>46142</v>
      </c>
      <c r="C1361" s="1">
        <v>51723.45</v>
      </c>
      <c r="D1361" s="1">
        <v>51829.1</v>
      </c>
      <c r="E1361" s="1">
        <v>50680.1</v>
      </c>
      <c r="F1361" s="1">
        <v>51072.1</v>
      </c>
    </row>
    <row r="1362" spans="1:6" x14ac:dyDescent="0.25">
      <c r="A1362" s="1" t="s">
        <v>66</v>
      </c>
      <c r="B1362" s="1">
        <v>46146</v>
      </c>
      <c r="C1362" s="1">
        <v>51383</v>
      </c>
      <c r="D1362" s="1">
        <v>51972.9</v>
      </c>
      <c r="E1362" s="1">
        <v>51129.2</v>
      </c>
      <c r="F1362" s="1">
        <v>51266</v>
      </c>
    </row>
    <row r="1363" spans="1:6" x14ac:dyDescent="0.25">
      <c r="A1363" s="1" t="s">
        <v>66</v>
      </c>
      <c r="B1363" s="1">
        <v>46147</v>
      </c>
      <c r="C1363" s="1">
        <v>51249.85</v>
      </c>
      <c r="D1363" s="1">
        <v>51642.7</v>
      </c>
      <c r="E1363" s="1">
        <v>51036.25</v>
      </c>
      <c r="F1363" s="1">
        <v>51593.55</v>
      </c>
    </row>
    <row r="1364" spans="1:6" x14ac:dyDescent="0.25">
      <c r="A1364" s="1" t="s">
        <v>66</v>
      </c>
      <c r="B1364" s="1">
        <v>46148</v>
      </c>
      <c r="C1364" s="1">
        <v>51898.85</v>
      </c>
      <c r="D1364" s="1">
        <v>51947.35</v>
      </c>
      <c r="E1364" s="1">
        <v>51194.7</v>
      </c>
      <c r="F1364" s="1">
        <v>51460.55</v>
      </c>
    </row>
    <row r="1365" spans="1:6" x14ac:dyDescent="0.25">
      <c r="A1365" s="1" t="s">
        <v>66</v>
      </c>
      <c r="B1365" s="1">
        <v>46149</v>
      </c>
      <c r="C1365" s="1">
        <v>51485.45</v>
      </c>
      <c r="D1365" s="1">
        <v>51504.95</v>
      </c>
      <c r="E1365" s="1">
        <v>51000.1</v>
      </c>
      <c r="F1365" s="1">
        <v>51068.45</v>
      </c>
    </row>
    <row r="1366" spans="1:6" x14ac:dyDescent="0.25">
      <c r="A1366" s="1" t="s">
        <v>66</v>
      </c>
      <c r="B1366" s="1">
        <v>46150</v>
      </c>
      <c r="C1366" s="1">
        <v>51107.55</v>
      </c>
      <c r="D1366" s="1">
        <v>51320.15</v>
      </c>
      <c r="E1366" s="1">
        <v>50756.85</v>
      </c>
      <c r="F1366" s="1">
        <v>51165.9</v>
      </c>
    </row>
    <row r="1367" spans="1:6" x14ac:dyDescent="0.25">
      <c r="A1367" s="1" t="s">
        <v>66</v>
      </c>
      <c r="B1367" s="1">
        <v>46153</v>
      </c>
      <c r="C1367" s="1">
        <v>51118.15</v>
      </c>
      <c r="D1367" s="1">
        <v>51444.15</v>
      </c>
      <c r="E1367" s="1">
        <v>50870.400000000001</v>
      </c>
      <c r="F1367" s="1">
        <v>51205.65</v>
      </c>
    </row>
    <row r="1368" spans="1:6" x14ac:dyDescent="0.25">
      <c r="A1368" s="1" t="s">
        <v>66</v>
      </c>
      <c r="B1368" s="1">
        <v>46154</v>
      </c>
      <c r="C1368" s="1">
        <v>51019.8</v>
      </c>
      <c r="D1368" s="1">
        <v>51237.2</v>
      </c>
      <c r="E1368" s="1">
        <v>50396.5</v>
      </c>
      <c r="F1368" s="1">
        <v>50453.9</v>
      </c>
    </row>
    <row r="1369" spans="1:6" x14ac:dyDescent="0.25">
      <c r="A1369" s="1" t="s">
        <v>66</v>
      </c>
      <c r="B1369" s="1">
        <v>46155</v>
      </c>
      <c r="C1369" s="1">
        <v>50541.15</v>
      </c>
      <c r="D1369" s="1">
        <v>50917.1</v>
      </c>
      <c r="E1369" s="1">
        <v>50397</v>
      </c>
      <c r="F1369" s="1">
        <v>50604.85</v>
      </c>
    </row>
    <row r="1370" spans="1:6" x14ac:dyDescent="0.25">
      <c r="A1370" s="1" t="s">
        <v>66</v>
      </c>
      <c r="B1370" s="1">
        <v>46156</v>
      </c>
      <c r="C1370" s="1">
        <v>50727.5</v>
      </c>
      <c r="D1370" s="1">
        <v>51061.05</v>
      </c>
      <c r="E1370" s="1">
        <v>50513.65</v>
      </c>
      <c r="F1370" s="1">
        <v>50779.15</v>
      </c>
    </row>
    <row r="1371" spans="1:6" x14ac:dyDescent="0.25">
      <c r="A1371" s="1" t="s">
        <v>66</v>
      </c>
      <c r="B1371" s="1">
        <v>46157</v>
      </c>
      <c r="C1371" s="1">
        <v>50848.85</v>
      </c>
      <c r="D1371" s="1">
        <v>51440.2</v>
      </c>
      <c r="E1371" s="1">
        <v>50776.5</v>
      </c>
      <c r="F1371" s="1">
        <v>51051.35</v>
      </c>
    </row>
    <row r="1372" spans="1:6" x14ac:dyDescent="0.25">
      <c r="A1372" s="1" t="s">
        <v>66</v>
      </c>
      <c r="B1372" s="1">
        <v>46160</v>
      </c>
      <c r="C1372" s="1">
        <v>50973.8</v>
      </c>
      <c r="D1372" s="1">
        <v>50987.05</v>
      </c>
      <c r="E1372" s="1">
        <v>50344.1</v>
      </c>
      <c r="F1372" s="1">
        <v>50900.1</v>
      </c>
    </row>
    <row r="1373" spans="1:6" x14ac:dyDescent="0.25">
      <c r="A1373" s="1" t="s">
        <v>66</v>
      </c>
      <c r="B1373" s="1">
        <v>46161</v>
      </c>
      <c r="C1373" s="1">
        <v>50920.2</v>
      </c>
      <c r="D1373" s="1">
        <v>51467.65</v>
      </c>
      <c r="E1373" s="1">
        <v>50800.35</v>
      </c>
      <c r="F1373" s="1">
        <v>50883.35</v>
      </c>
    </row>
    <row r="1374" spans="1:6" x14ac:dyDescent="0.25">
      <c r="A1374" s="1" t="s">
        <v>66</v>
      </c>
      <c r="B1374" s="1">
        <v>46162</v>
      </c>
      <c r="C1374" s="1">
        <v>50564.7</v>
      </c>
      <c r="D1374" s="1">
        <v>50657.7</v>
      </c>
      <c r="E1374" s="1">
        <v>50313.35</v>
      </c>
      <c r="F1374" s="1">
        <v>50520.55</v>
      </c>
    </row>
    <row r="1375" spans="1:6" x14ac:dyDescent="0.25">
      <c r="A1375" s="1" t="s">
        <v>66</v>
      </c>
      <c r="B1375" s="1">
        <v>46163</v>
      </c>
      <c r="C1375" s="1">
        <v>50800.800000000003</v>
      </c>
      <c r="D1375" s="1">
        <v>50901.599999999999</v>
      </c>
      <c r="E1375" s="1">
        <v>50138.1</v>
      </c>
      <c r="F1375" s="1">
        <v>50263.55</v>
      </c>
    </row>
    <row r="1376" spans="1:6" x14ac:dyDescent="0.25">
      <c r="A1376" s="1" t="s">
        <v>66</v>
      </c>
      <c r="B1376" s="1">
        <v>46164</v>
      </c>
      <c r="C1376" s="1">
        <v>50308.5</v>
      </c>
      <c r="D1376" s="1">
        <v>50520.15</v>
      </c>
      <c r="E1376" s="1">
        <v>50035.25</v>
      </c>
      <c r="F1376" s="1">
        <v>50249.8</v>
      </c>
    </row>
    <row r="1377" spans="1:6" x14ac:dyDescent="0.25">
      <c r="A1377" s="1" t="s">
        <v>66</v>
      </c>
      <c r="B1377" s="1">
        <v>46167</v>
      </c>
      <c r="C1377" s="1">
        <v>50572.800000000003</v>
      </c>
      <c r="D1377" s="1">
        <v>50721.1</v>
      </c>
      <c r="E1377" s="1">
        <v>50062.15</v>
      </c>
      <c r="F1377" s="1">
        <v>50157.75</v>
      </c>
    </row>
    <row r="1378" spans="1:6" x14ac:dyDescent="0.25">
      <c r="A1378" s="1" t="s">
        <v>66</v>
      </c>
      <c r="B1378" s="1">
        <v>46168</v>
      </c>
      <c r="C1378" s="1">
        <v>50223.8</v>
      </c>
      <c r="D1378" s="1">
        <v>50300.45</v>
      </c>
      <c r="E1378" s="1">
        <v>50030.1</v>
      </c>
      <c r="F1378" s="1">
        <v>50227.35</v>
      </c>
    </row>
    <row r="1379" spans="1:6" x14ac:dyDescent="0.25">
      <c r="A1379" s="1" t="s">
        <v>66</v>
      </c>
      <c r="B1379" s="1">
        <v>46169</v>
      </c>
      <c r="C1379" s="1">
        <v>50320.75</v>
      </c>
      <c r="D1379" s="1">
        <v>50467.5</v>
      </c>
      <c r="E1379" s="1">
        <v>50053.9</v>
      </c>
      <c r="F1379" s="1">
        <v>50141.9</v>
      </c>
    </row>
    <row r="1380" spans="1:6" x14ac:dyDescent="0.25">
      <c r="A1380" s="1" t="s">
        <v>66</v>
      </c>
      <c r="B1380" s="1">
        <v>46171</v>
      </c>
      <c r="C1380" s="1">
        <v>49956.2</v>
      </c>
      <c r="D1380" s="1">
        <v>50245.55</v>
      </c>
      <c r="E1380" s="1">
        <v>49083.45</v>
      </c>
      <c r="F1380" s="1">
        <v>49383.35</v>
      </c>
    </row>
    <row r="1381" spans="1:6" x14ac:dyDescent="0.25">
      <c r="A1381" s="1" t="s">
        <v>66</v>
      </c>
      <c r="B1381" s="1">
        <v>46174</v>
      </c>
      <c r="C1381" s="1">
        <v>49474.55</v>
      </c>
      <c r="D1381" s="1">
        <v>49571.65</v>
      </c>
      <c r="E1381" s="1">
        <v>48127.5</v>
      </c>
      <c r="F1381" s="1">
        <v>48247.7</v>
      </c>
    </row>
    <row r="1382" spans="1:6" x14ac:dyDescent="0.25">
      <c r="A1382" s="1" t="s">
        <v>66</v>
      </c>
      <c r="B1382" s="1">
        <v>46175</v>
      </c>
      <c r="C1382" s="1">
        <v>47996.4</v>
      </c>
      <c r="D1382" s="1">
        <v>48668.65</v>
      </c>
      <c r="E1382" s="1">
        <v>47867.65</v>
      </c>
      <c r="F1382" s="1">
        <v>48612.800000000003</v>
      </c>
    </row>
    <row r="1383" spans="1:6" x14ac:dyDescent="0.25">
      <c r="A1383" s="1" t="s">
        <v>66</v>
      </c>
      <c r="B1383" s="1">
        <v>46176</v>
      </c>
      <c r="C1383" s="1">
        <v>48617.3</v>
      </c>
      <c r="D1383" s="1">
        <v>48617.3</v>
      </c>
      <c r="E1383" s="1">
        <v>47922.8</v>
      </c>
      <c r="F1383" s="1">
        <v>48123.95</v>
      </c>
    </row>
    <row r="1384" spans="1:6" x14ac:dyDescent="0.25">
      <c r="A1384" s="1" t="s">
        <v>66</v>
      </c>
      <c r="B1384" s="1">
        <v>46177</v>
      </c>
      <c r="C1384" s="1">
        <v>48067.95</v>
      </c>
      <c r="D1384" s="1">
        <v>48538.1</v>
      </c>
      <c r="E1384" s="1">
        <v>47851.25</v>
      </c>
      <c r="F1384" s="1">
        <v>48216</v>
      </c>
    </row>
    <row r="1385" spans="1:6" x14ac:dyDescent="0.25">
      <c r="A1385" s="1" t="s">
        <v>66</v>
      </c>
      <c r="B1385" s="1">
        <v>46178</v>
      </c>
      <c r="C1385" s="1">
        <v>48277.7</v>
      </c>
      <c r="D1385" s="1">
        <v>48369.25</v>
      </c>
      <c r="E1385" s="1">
        <v>48026.400000000001</v>
      </c>
      <c r="F1385" s="1">
        <v>48302.45</v>
      </c>
    </row>
    <row r="1386" spans="1:6" x14ac:dyDescent="0.25">
      <c r="A1386" s="1" t="s">
        <v>66</v>
      </c>
      <c r="B1386" s="1">
        <v>46181</v>
      </c>
      <c r="C1386" s="1">
        <v>47935.1</v>
      </c>
      <c r="D1386" s="1">
        <v>48458.55</v>
      </c>
      <c r="E1386" s="1">
        <v>47674.7</v>
      </c>
      <c r="F1386" s="1">
        <v>48098.65</v>
      </c>
    </row>
    <row r="1387" spans="1:6" x14ac:dyDescent="0.25">
      <c r="A1387" s="1" t="s">
        <v>66</v>
      </c>
      <c r="B1387" s="1">
        <v>46182</v>
      </c>
      <c r="C1387" s="1">
        <v>48316.800000000003</v>
      </c>
      <c r="D1387" s="1">
        <v>48506.6</v>
      </c>
      <c r="E1387" s="1">
        <v>48056.1</v>
      </c>
      <c r="F1387" s="1">
        <v>48447.4</v>
      </c>
    </row>
    <row r="1388" spans="1:6" x14ac:dyDescent="0.25">
      <c r="A1388" s="1" t="s">
        <v>66</v>
      </c>
      <c r="B1388" s="1">
        <v>46183</v>
      </c>
      <c r="C1388" s="1">
        <v>48484.15</v>
      </c>
      <c r="D1388" s="1">
        <v>49439.55</v>
      </c>
      <c r="E1388" s="1">
        <v>48390.35</v>
      </c>
      <c r="F1388" s="1">
        <v>48957</v>
      </c>
    </row>
    <row r="1389" spans="1:6" x14ac:dyDescent="0.25">
      <c r="A1389" s="1" t="s">
        <v>66</v>
      </c>
      <c r="B1389" s="1">
        <v>46184</v>
      </c>
      <c r="C1389" s="1">
        <v>48852.2</v>
      </c>
      <c r="D1389" s="1">
        <v>48964.45</v>
      </c>
      <c r="E1389" s="1">
        <v>48464.85</v>
      </c>
      <c r="F1389" s="1">
        <v>48521.8</v>
      </c>
    </row>
    <row r="1390" spans="1:6" x14ac:dyDescent="0.25">
      <c r="A1390" s="1" t="s">
        <v>66</v>
      </c>
      <c r="B1390" s="1">
        <v>46185</v>
      </c>
      <c r="C1390" s="1">
        <v>48829.85</v>
      </c>
      <c r="D1390" s="1">
        <v>49007.75</v>
      </c>
      <c r="E1390" s="1">
        <v>48654.8</v>
      </c>
      <c r="F1390" s="1">
        <v>48827.6</v>
      </c>
    </row>
    <row r="1391" spans="1:6" x14ac:dyDescent="0.25">
      <c r="A1391" s="1" t="s">
        <v>66</v>
      </c>
      <c r="B1391" s="1">
        <v>46188</v>
      </c>
      <c r="C1391" s="1">
        <v>49422.2</v>
      </c>
      <c r="D1391" s="1">
        <v>49510.85</v>
      </c>
      <c r="E1391" s="1">
        <v>48963.3</v>
      </c>
      <c r="F1391" s="1">
        <v>49043.4</v>
      </c>
    </row>
    <row r="1392" spans="1:6" x14ac:dyDescent="0.25">
      <c r="A1392" s="1" t="s">
        <v>66</v>
      </c>
      <c r="B1392" s="1">
        <v>46189</v>
      </c>
      <c r="C1392" s="1">
        <v>49158.6</v>
      </c>
      <c r="D1392" s="1">
        <v>49685.55</v>
      </c>
      <c r="E1392" s="1">
        <v>49142.85</v>
      </c>
      <c r="F1392" s="1">
        <v>49642.400000000001</v>
      </c>
    </row>
    <row r="1393" spans="1:6" x14ac:dyDescent="0.25">
      <c r="A1393" s="1" t="s">
        <v>66</v>
      </c>
      <c r="B1393" s="1">
        <v>46190</v>
      </c>
      <c r="C1393" s="1">
        <v>49677.95</v>
      </c>
      <c r="D1393" s="1">
        <v>49867.85</v>
      </c>
      <c r="E1393" s="1">
        <v>49402.75</v>
      </c>
      <c r="F1393" s="1">
        <v>49556.05</v>
      </c>
    </row>
    <row r="1394" spans="1:6" x14ac:dyDescent="0.25">
      <c r="A1394" s="1" t="s">
        <v>66</v>
      </c>
      <c r="B1394" s="1">
        <v>46191</v>
      </c>
      <c r="C1394" s="1">
        <v>49708.9</v>
      </c>
      <c r="D1394" s="1">
        <v>49833.8</v>
      </c>
      <c r="E1394" s="1">
        <v>49438.400000000001</v>
      </c>
      <c r="F1394" s="1">
        <v>49654.5</v>
      </c>
    </row>
    <row r="1395" spans="1:6" x14ac:dyDescent="0.25">
      <c r="A1395" s="1" t="s">
        <v>66</v>
      </c>
      <c r="B1395" s="1">
        <v>46192</v>
      </c>
      <c r="C1395" s="1">
        <v>49514.8</v>
      </c>
      <c r="D1395" s="1">
        <v>49695.9</v>
      </c>
      <c r="E1395" s="1">
        <v>49230.2</v>
      </c>
      <c r="F1395" s="1">
        <v>49558.7</v>
      </c>
    </row>
    <row r="1396" spans="1:6" x14ac:dyDescent="0.25">
      <c r="A1396" s="1" t="s">
        <v>66</v>
      </c>
      <c r="B1396" s="1">
        <v>46195</v>
      </c>
      <c r="C1396" s="1">
        <v>49670.9</v>
      </c>
      <c r="D1396" s="1">
        <v>49757.2</v>
      </c>
      <c r="E1396" s="1">
        <v>49210.95</v>
      </c>
      <c r="F1396" s="1">
        <v>49355.1</v>
      </c>
    </row>
    <row r="1397" spans="1:6" x14ac:dyDescent="0.25">
      <c r="A1397" s="1" t="s">
        <v>66</v>
      </c>
      <c r="B1397" s="1">
        <v>46196</v>
      </c>
      <c r="C1397" s="1">
        <v>49269.8</v>
      </c>
      <c r="D1397" s="1">
        <v>49514.6</v>
      </c>
      <c r="E1397" s="1">
        <v>49000.85</v>
      </c>
      <c r="F1397" s="1">
        <v>49059.05</v>
      </c>
    </row>
    <row r="1398" spans="1:6" x14ac:dyDescent="0.25">
      <c r="A1398" s="1" t="s">
        <v>66</v>
      </c>
      <c r="B1398" s="1">
        <v>46197</v>
      </c>
      <c r="C1398" s="1">
        <v>49102.2</v>
      </c>
      <c r="D1398" s="1">
        <v>49238.5</v>
      </c>
      <c r="E1398" s="1">
        <v>48901</v>
      </c>
      <c r="F1398" s="1">
        <v>49085.1</v>
      </c>
    </row>
    <row r="1399" spans="1:6" x14ac:dyDescent="0.25">
      <c r="A1399" s="1" t="s">
        <v>66</v>
      </c>
      <c r="B1399" s="1">
        <v>46198</v>
      </c>
      <c r="C1399" s="1">
        <v>49201.599999999999</v>
      </c>
      <c r="D1399" s="1">
        <v>49630.3</v>
      </c>
      <c r="E1399" s="1">
        <v>49147.75</v>
      </c>
      <c r="F1399" s="1">
        <v>49419.25</v>
      </c>
    </row>
    <row r="1400" spans="1:6" x14ac:dyDescent="0.25">
      <c r="A1400" s="1" t="s">
        <v>66</v>
      </c>
      <c r="B1400" s="1">
        <v>46202</v>
      </c>
      <c r="C1400" s="1">
        <v>49537.25</v>
      </c>
      <c r="D1400" s="1">
        <v>49686.75</v>
      </c>
      <c r="E1400" s="1">
        <v>49083.85</v>
      </c>
      <c r="F1400" s="1">
        <v>49127.65</v>
      </c>
    </row>
    <row r="1401" spans="1:6" x14ac:dyDescent="0.25">
      <c r="A1401" s="1" t="s">
        <v>66</v>
      </c>
      <c r="B1401" s="1">
        <v>46203</v>
      </c>
      <c r="C1401" s="1">
        <v>49119.8</v>
      </c>
      <c r="D1401" s="1">
        <v>49159.4</v>
      </c>
      <c r="E1401" s="1">
        <v>48712.7</v>
      </c>
      <c r="F1401" s="1">
        <v>48794.2</v>
      </c>
    </row>
    <row r="1402" spans="1:6" x14ac:dyDescent="0.25">
      <c r="A1402" s="1" t="s">
        <v>66</v>
      </c>
      <c r="B1402" s="1">
        <v>46204</v>
      </c>
      <c r="C1402" s="1">
        <v>48981.9</v>
      </c>
      <c r="D1402" s="1">
        <v>49880.5</v>
      </c>
      <c r="E1402" s="1">
        <v>48881.599999999999</v>
      </c>
      <c r="F1402" s="1">
        <v>49806.8</v>
      </c>
    </row>
    <row r="1403" spans="1:6" x14ac:dyDescent="0.25">
      <c r="A1403" s="1" t="s">
        <v>66</v>
      </c>
      <c r="B1403" s="1">
        <v>46205</v>
      </c>
      <c r="C1403" s="1">
        <v>49930.3</v>
      </c>
      <c r="D1403" s="1">
        <v>50176.5</v>
      </c>
      <c r="E1403" s="1">
        <v>49677.25</v>
      </c>
      <c r="F1403" s="1">
        <v>50084.7</v>
      </c>
    </row>
    <row r="1404" spans="1:6" x14ac:dyDescent="0.25">
      <c r="A1404" s="1" t="s">
        <v>66</v>
      </c>
      <c r="B1404" s="1">
        <v>46206</v>
      </c>
      <c r="C1404" s="1">
        <v>50378.8</v>
      </c>
      <c r="D1404" s="1">
        <v>50550.15</v>
      </c>
      <c r="E1404" s="1">
        <v>49985.55</v>
      </c>
      <c r="F1404" s="1">
        <v>50096.4</v>
      </c>
    </row>
    <row r="1405" spans="1:6" x14ac:dyDescent="0.25">
      <c r="A1405" s="1" t="s">
        <v>66</v>
      </c>
      <c r="B1405" s="1">
        <v>46209</v>
      </c>
      <c r="C1405" s="1">
        <v>50121.599999999999</v>
      </c>
      <c r="D1405" s="1">
        <v>50302.15</v>
      </c>
      <c r="E1405" s="1">
        <v>49969.8</v>
      </c>
      <c r="F1405" s="1">
        <v>50196.35</v>
      </c>
    </row>
    <row r="1406" spans="1:6" x14ac:dyDescent="0.25">
      <c r="A1406" s="1" t="s">
        <v>66</v>
      </c>
      <c r="B1406" s="1">
        <v>46210</v>
      </c>
      <c r="C1406" s="1">
        <v>50202.65</v>
      </c>
      <c r="D1406" s="1">
        <v>50367.75</v>
      </c>
      <c r="E1406" s="1">
        <v>49958.05</v>
      </c>
      <c r="F1406" s="1">
        <v>50225.85</v>
      </c>
    </row>
    <row r="1407" spans="1:6" x14ac:dyDescent="0.25">
      <c r="A1407" s="1" t="s">
        <v>66</v>
      </c>
      <c r="B1407" s="1">
        <v>46211</v>
      </c>
      <c r="C1407" s="1">
        <v>49955.25</v>
      </c>
      <c r="D1407" s="1">
        <v>50035.65</v>
      </c>
      <c r="E1407" s="1">
        <v>48828.4</v>
      </c>
      <c r="F1407" s="1">
        <v>48977.4</v>
      </c>
    </row>
    <row r="1408" spans="1:6" x14ac:dyDescent="0.25">
      <c r="A1408" s="1" t="s">
        <v>66</v>
      </c>
      <c r="B1408" s="1">
        <v>46212</v>
      </c>
      <c r="C1408" s="1">
        <v>49094.95</v>
      </c>
      <c r="D1408" s="1">
        <v>49657.4</v>
      </c>
      <c r="E1408" s="1">
        <v>49094.95</v>
      </c>
      <c r="F1408" s="1">
        <v>49350.15</v>
      </c>
    </row>
    <row r="1409" spans="1:6" x14ac:dyDescent="0.25">
      <c r="A1409" s="1" t="s">
        <v>66</v>
      </c>
      <c r="B1409" s="1">
        <v>46213</v>
      </c>
      <c r="C1409" s="1">
        <v>49515.95</v>
      </c>
      <c r="D1409" s="1">
        <v>49644.35</v>
      </c>
      <c r="E1409" s="1">
        <v>49202.9</v>
      </c>
      <c r="F1409" s="1">
        <v>49310.6</v>
      </c>
    </row>
    <row r="1410" spans="1:6" x14ac:dyDescent="0.25">
      <c r="A1410" s="1" t="s">
        <v>66</v>
      </c>
      <c r="B1410" s="1">
        <v>46216</v>
      </c>
      <c r="C1410" s="1">
        <v>49156.45</v>
      </c>
      <c r="D1410" s="1">
        <v>49156.45</v>
      </c>
      <c r="E1410" s="1">
        <v>48723.65</v>
      </c>
      <c r="F1410" s="1">
        <v>48809.9</v>
      </c>
    </row>
    <row r="1411" spans="1:6" x14ac:dyDescent="0.25">
      <c r="A1411" s="1" t="s">
        <v>66</v>
      </c>
      <c r="B1411" s="1">
        <v>46217</v>
      </c>
      <c r="C1411" s="1">
        <v>48593.15</v>
      </c>
      <c r="D1411" s="1">
        <v>49074.35</v>
      </c>
      <c r="E1411" s="1">
        <v>48466.45</v>
      </c>
      <c r="F1411" s="1">
        <v>48524.95</v>
      </c>
    </row>
    <row r="1412" spans="1:6" x14ac:dyDescent="0.25">
      <c r="A1412" s="1" t="s">
        <v>66</v>
      </c>
      <c r="B1412" s="1">
        <v>46218</v>
      </c>
      <c r="C1412" s="1">
        <v>48639.8</v>
      </c>
      <c r="D1412" s="1">
        <v>48694.95</v>
      </c>
      <c r="E1412" s="1">
        <v>48177.1</v>
      </c>
      <c r="F1412" s="1">
        <v>48286.5</v>
      </c>
    </row>
    <row r="1413" spans="1:6" x14ac:dyDescent="0.25">
      <c r="A1413" s="1" t="s">
        <v>66</v>
      </c>
      <c r="B1413" s="1">
        <v>46219</v>
      </c>
      <c r="C1413" s="1">
        <v>48375.85</v>
      </c>
      <c r="D1413" s="1">
        <v>48628.1</v>
      </c>
      <c r="E1413" s="1">
        <v>48222.65</v>
      </c>
      <c r="F1413" s="1">
        <v>48408</v>
      </c>
    </row>
    <row r="1414" spans="1:6" x14ac:dyDescent="0.25">
      <c r="A1414" s="1" t="s">
        <v>66</v>
      </c>
      <c r="B1414" s="1">
        <v>46220</v>
      </c>
      <c r="C1414" s="1">
        <v>48356.45</v>
      </c>
      <c r="D1414" s="1">
        <v>48842.1</v>
      </c>
      <c r="E1414" s="1">
        <v>48160</v>
      </c>
      <c r="F1414" s="1">
        <v>48748.7</v>
      </c>
    </row>
    <row r="1415" spans="1:6" x14ac:dyDescent="0.25">
      <c r="A1415" s="1" t="s">
        <v>66</v>
      </c>
      <c r="B1415" s="1">
        <v>46223</v>
      </c>
      <c r="C1415" s="1">
        <v>48800.55</v>
      </c>
      <c r="D1415" s="1">
        <v>49141.15</v>
      </c>
      <c r="E1415" s="1">
        <v>48601.8</v>
      </c>
      <c r="F1415" s="1">
        <v>49067.45</v>
      </c>
    </row>
    <row r="1416" spans="1:6" x14ac:dyDescent="0.25">
      <c r="A1416" s="1" t="s">
        <v>66</v>
      </c>
      <c r="B1416" s="1">
        <v>46224</v>
      </c>
      <c r="C1416" s="1">
        <v>49134.35</v>
      </c>
      <c r="D1416" s="1">
        <v>49251</v>
      </c>
      <c r="E1416" s="1">
        <v>48722.3</v>
      </c>
      <c r="F1416" s="1">
        <v>48917.2</v>
      </c>
    </row>
    <row r="1417" spans="1:6" x14ac:dyDescent="0.25">
      <c r="A1417" s="1" t="s">
        <v>66</v>
      </c>
      <c r="B1417" s="1">
        <v>46225</v>
      </c>
      <c r="C1417" s="1">
        <v>48900.4</v>
      </c>
      <c r="D1417" s="1">
        <v>49362.7</v>
      </c>
      <c r="E1417" s="1">
        <v>48643.1</v>
      </c>
      <c r="F1417" s="1">
        <v>49233.8</v>
      </c>
    </row>
    <row r="1418" spans="1:6" x14ac:dyDescent="0.25">
      <c r="A1418" s="1" t="s">
        <v>66</v>
      </c>
      <c r="B1418" s="1">
        <v>46226</v>
      </c>
      <c r="C1418" s="1">
        <v>49216.15</v>
      </c>
      <c r="D1418" s="1">
        <v>49478.7</v>
      </c>
      <c r="E1418" s="1">
        <v>48871.7</v>
      </c>
      <c r="F1418" s="1">
        <v>49033.2</v>
      </c>
    </row>
    <row r="1419" spans="1:6" x14ac:dyDescent="0.25">
      <c r="A1419" s="1" t="s">
        <v>66</v>
      </c>
      <c r="B1419" s="1">
        <v>46227</v>
      </c>
      <c r="C1419" s="1">
        <v>48739.199999999997</v>
      </c>
      <c r="D1419" s="1">
        <v>49244.55</v>
      </c>
      <c r="E1419" s="1">
        <v>48692.1</v>
      </c>
      <c r="F1419" s="1">
        <v>49053.3</v>
      </c>
    </row>
    <row r="1420" spans="1:6" x14ac:dyDescent="0.25">
      <c r="A1420" s="1" t="s">
        <v>66</v>
      </c>
      <c r="B1420" s="1">
        <v>46230</v>
      </c>
      <c r="C1420" s="1">
        <v>49520.75</v>
      </c>
      <c r="D1420" s="1">
        <v>49748.2</v>
      </c>
      <c r="E1420" s="1">
        <v>49409.599999999999</v>
      </c>
      <c r="F1420" s="1">
        <v>49564.800000000003</v>
      </c>
    </row>
    <row r="1421" spans="1:6" x14ac:dyDescent="0.25">
      <c r="A1421" s="1" t="s">
        <v>66</v>
      </c>
      <c r="B1421" s="1">
        <v>46231</v>
      </c>
      <c r="C1421" s="1">
        <v>49565.4</v>
      </c>
      <c r="D1421" s="1">
        <v>50063.4</v>
      </c>
      <c r="E1421" s="1">
        <v>48661.95</v>
      </c>
      <c r="F1421" s="1">
        <v>48881.2</v>
      </c>
    </row>
    <row r="1422" spans="1:6" x14ac:dyDescent="0.25">
      <c r="A1422" s="1" t="s">
        <v>66</v>
      </c>
      <c r="B1422" s="1">
        <v>46232</v>
      </c>
      <c r="C1422" s="1">
        <v>49233.2</v>
      </c>
      <c r="D1422" s="1">
        <v>49867.5</v>
      </c>
      <c r="E1422" s="1">
        <v>49051.35</v>
      </c>
      <c r="F1422" s="1">
        <v>49690.65</v>
      </c>
    </row>
    <row r="1423" spans="1:6" x14ac:dyDescent="0.25">
      <c r="A1423" s="1" t="s">
        <v>66</v>
      </c>
      <c r="B1423" s="1">
        <v>46233</v>
      </c>
      <c r="C1423" s="1">
        <v>49702.35</v>
      </c>
      <c r="D1423" s="1">
        <v>50035</v>
      </c>
      <c r="E1423" s="1">
        <v>49511.9</v>
      </c>
      <c r="F1423" s="1">
        <v>49642.05</v>
      </c>
    </row>
    <row r="1424" spans="1:6" x14ac:dyDescent="0.25">
      <c r="A1424" s="1" t="s">
        <v>66</v>
      </c>
      <c r="B1424" s="1">
        <v>46234</v>
      </c>
      <c r="C1424" s="1">
        <v>49756.4</v>
      </c>
      <c r="D1424" s="1">
        <v>49769.05</v>
      </c>
      <c r="E1424" s="1">
        <v>49041.55</v>
      </c>
      <c r="F1424" s="1">
        <v>49121.2</v>
      </c>
    </row>
    <row r="1425" spans="1:6" x14ac:dyDescent="0.25">
      <c r="A1425" s="1" t="s">
        <v>66</v>
      </c>
      <c r="B1425" s="1">
        <v>46237</v>
      </c>
      <c r="C1425" s="1">
        <v>49351.9</v>
      </c>
      <c r="D1425" s="1">
        <v>50036.65</v>
      </c>
      <c r="E1425" s="1">
        <v>49298.6</v>
      </c>
      <c r="F1425" s="1">
        <v>49965.599999999999</v>
      </c>
    </row>
    <row r="1426" spans="1:6" x14ac:dyDescent="0.25">
      <c r="A1426" s="1" t="s">
        <v>66</v>
      </c>
      <c r="B1426" s="1">
        <v>46238</v>
      </c>
      <c r="C1426" s="1">
        <v>49767.199999999997</v>
      </c>
      <c r="D1426" s="1">
        <v>49771.9</v>
      </c>
      <c r="E1426" s="1">
        <v>48988.4</v>
      </c>
      <c r="F1426" s="1">
        <v>49527.1</v>
      </c>
    </row>
    <row r="1427" spans="1:6" x14ac:dyDescent="0.25">
      <c r="A1427" s="1" t="s">
        <v>66</v>
      </c>
      <c r="B1427" s="1">
        <v>46239</v>
      </c>
      <c r="C1427" s="1">
        <v>49474.75</v>
      </c>
      <c r="D1427" s="1">
        <v>49544.15</v>
      </c>
      <c r="E1427" s="1">
        <v>49172.6</v>
      </c>
      <c r="F1427" s="1">
        <v>49383.5</v>
      </c>
    </row>
    <row r="1428" spans="1:6" x14ac:dyDescent="0.25">
      <c r="A1428" s="1" t="s">
        <v>66</v>
      </c>
      <c r="B1428" s="1">
        <v>46240</v>
      </c>
      <c r="C1428" s="1">
        <v>49375.3</v>
      </c>
      <c r="D1428" s="1">
        <v>49448.95</v>
      </c>
      <c r="E1428" s="1">
        <v>49241.599999999999</v>
      </c>
      <c r="F1428" s="1">
        <v>49369.85</v>
      </c>
    </row>
    <row r="1429" spans="1:6" x14ac:dyDescent="0.25">
      <c r="A1429" s="1" t="s">
        <v>66</v>
      </c>
      <c r="B1429" s="1">
        <v>46241</v>
      </c>
      <c r="C1429" s="1">
        <v>49325.2</v>
      </c>
      <c r="D1429" s="1">
        <v>49628.85</v>
      </c>
      <c r="E1429" s="1">
        <v>49217.55</v>
      </c>
      <c r="F1429" s="1">
        <v>49435.199999999997</v>
      </c>
    </row>
    <row r="1430" spans="1:6" x14ac:dyDescent="0.25">
      <c r="A1430" s="1" t="s">
        <v>66</v>
      </c>
      <c r="B1430" s="1">
        <v>46244</v>
      </c>
      <c r="C1430" s="1">
        <v>49421.75</v>
      </c>
      <c r="D1430" s="1">
        <v>49558.3</v>
      </c>
      <c r="E1430" s="1">
        <v>49188.3</v>
      </c>
      <c r="F1430" s="1">
        <v>49363.6</v>
      </c>
    </row>
    <row r="1431" spans="1:6" x14ac:dyDescent="0.25">
      <c r="A1431" s="1" t="s">
        <v>66</v>
      </c>
      <c r="B1431" s="1">
        <v>46245</v>
      </c>
      <c r="C1431" s="1">
        <v>49337.25</v>
      </c>
      <c r="D1431" s="1">
        <v>49360.45</v>
      </c>
      <c r="E1431" s="1">
        <v>48739.05</v>
      </c>
      <c r="F1431" s="1">
        <v>48787.85</v>
      </c>
    </row>
    <row r="1432" spans="1:6" x14ac:dyDescent="0.25">
      <c r="A1432" s="1" t="s">
        <v>66</v>
      </c>
      <c r="B1432" s="1">
        <v>46246</v>
      </c>
      <c r="C1432" s="1">
        <v>48635.05</v>
      </c>
      <c r="D1432" s="1">
        <v>48655.1</v>
      </c>
      <c r="E1432" s="1">
        <v>48195.4</v>
      </c>
      <c r="F1432" s="1">
        <v>48429.35</v>
      </c>
    </row>
    <row r="1433" spans="1:6" x14ac:dyDescent="0.25">
      <c r="A1433" s="1" t="s">
        <v>66</v>
      </c>
      <c r="B1433" s="1">
        <v>46247</v>
      </c>
      <c r="C1433" s="1">
        <v>48400.45</v>
      </c>
      <c r="D1433" s="1">
        <v>48838.9</v>
      </c>
      <c r="E1433" s="1">
        <v>48302.3</v>
      </c>
      <c r="F1433" s="1">
        <v>48837.3</v>
      </c>
    </row>
    <row r="1434" spans="1:6" x14ac:dyDescent="0.25">
      <c r="A1434" s="1" t="s">
        <v>66</v>
      </c>
      <c r="B1434" s="1">
        <v>46248</v>
      </c>
      <c r="C1434" s="1">
        <v>48809.65</v>
      </c>
      <c r="D1434" s="1">
        <v>48813.55</v>
      </c>
      <c r="E1434" s="1">
        <v>48518.6</v>
      </c>
      <c r="F1434" s="1">
        <v>48615.05</v>
      </c>
    </row>
    <row r="1435" spans="1:6" x14ac:dyDescent="0.25">
      <c r="A1435" s="1" t="s">
        <v>66</v>
      </c>
      <c r="B1435" s="1">
        <v>46251</v>
      </c>
      <c r="C1435" s="1">
        <v>48611.65</v>
      </c>
      <c r="D1435" s="1">
        <v>48625.55</v>
      </c>
      <c r="E1435" s="1">
        <v>48103.7</v>
      </c>
      <c r="F1435" s="1">
        <v>48105.05</v>
      </c>
    </row>
    <row r="1436" spans="1:6" x14ac:dyDescent="0.25">
      <c r="A1436" s="1" t="s">
        <v>66</v>
      </c>
      <c r="B1436" s="1">
        <v>46252</v>
      </c>
      <c r="C1436" s="1">
        <v>48170.85</v>
      </c>
      <c r="D1436" s="1">
        <v>48173.65</v>
      </c>
      <c r="E1436" s="1">
        <v>47709.15</v>
      </c>
      <c r="F1436" s="1">
        <v>47734.8</v>
      </c>
    </row>
    <row r="1437" spans="1:6" x14ac:dyDescent="0.25">
      <c r="A1437" s="1" t="s">
        <v>66</v>
      </c>
      <c r="B1437" s="1">
        <v>46253</v>
      </c>
      <c r="C1437" s="1">
        <v>47746.6</v>
      </c>
      <c r="D1437" s="1">
        <v>47950.7</v>
      </c>
      <c r="E1437" s="1">
        <v>47344.75</v>
      </c>
      <c r="F1437" s="1">
        <v>47473.9</v>
      </c>
    </row>
    <row r="1438" spans="1:6" x14ac:dyDescent="0.25">
      <c r="A1438" s="1" t="s">
        <v>66</v>
      </c>
      <c r="B1438" s="1">
        <v>46254</v>
      </c>
      <c r="C1438" s="1">
        <v>47698.400000000001</v>
      </c>
      <c r="D1438" s="1">
        <v>47900.15</v>
      </c>
      <c r="E1438" s="1">
        <v>47482.5</v>
      </c>
      <c r="F1438" s="1">
        <v>47863.25</v>
      </c>
    </row>
    <row r="1439" spans="1:6" x14ac:dyDescent="0.25">
      <c r="A1439" s="1" t="s">
        <v>66</v>
      </c>
      <c r="B1439" s="1">
        <v>46255</v>
      </c>
      <c r="C1439" s="1">
        <v>47901</v>
      </c>
      <c r="D1439" s="1">
        <v>47904.2</v>
      </c>
      <c r="E1439" s="1">
        <v>47422.85</v>
      </c>
      <c r="F1439" s="1">
        <v>47510.95</v>
      </c>
    </row>
    <row r="1440" spans="1:6" x14ac:dyDescent="0.25">
      <c r="A1440" s="1" t="s">
        <v>66</v>
      </c>
      <c r="B1440" s="1">
        <v>46258</v>
      </c>
      <c r="C1440" s="1">
        <v>47604.2</v>
      </c>
      <c r="D1440" s="1">
        <v>47604.800000000003</v>
      </c>
      <c r="E1440" s="1">
        <v>47139</v>
      </c>
      <c r="F1440" s="1">
        <v>47527.8</v>
      </c>
    </row>
    <row r="1441" spans="1:6" x14ac:dyDescent="0.25">
      <c r="A1441" s="1" t="s">
        <v>66</v>
      </c>
      <c r="B1441" s="1">
        <v>46259</v>
      </c>
      <c r="C1441" s="1">
        <v>47463.55</v>
      </c>
      <c r="D1441" s="1">
        <v>47710.95</v>
      </c>
      <c r="E1441" s="1">
        <v>47201.3</v>
      </c>
      <c r="F1441" s="1">
        <v>47706.95</v>
      </c>
    </row>
    <row r="1442" spans="1:6" x14ac:dyDescent="0.25">
      <c r="A1442" s="1" t="s">
        <v>66</v>
      </c>
      <c r="B1442" s="1">
        <v>46260</v>
      </c>
      <c r="C1442" s="1">
        <v>47834.2</v>
      </c>
      <c r="D1442" s="1">
        <v>47855.85</v>
      </c>
      <c r="E1442" s="1">
        <v>47249.15</v>
      </c>
      <c r="F1442" s="1">
        <v>47252.9</v>
      </c>
    </row>
    <row r="1443" spans="1:6" x14ac:dyDescent="0.25">
      <c r="A1443" s="1" t="s">
        <v>66</v>
      </c>
      <c r="B1443" s="1">
        <v>46261</v>
      </c>
      <c r="C1443" s="1">
        <v>47223.95</v>
      </c>
      <c r="D1443" s="1">
        <v>47388.3</v>
      </c>
      <c r="E1443" s="1">
        <v>46949.599999999999</v>
      </c>
      <c r="F1443" s="1">
        <v>47030.45</v>
      </c>
    </row>
    <row r="1444" spans="1:6" x14ac:dyDescent="0.25">
      <c r="A1444" s="1" t="s">
        <v>66</v>
      </c>
      <c r="B1444" s="1">
        <v>46262</v>
      </c>
      <c r="C1444" s="1">
        <v>47118.25</v>
      </c>
      <c r="D1444" s="1">
        <v>47118.9</v>
      </c>
      <c r="E1444" s="1">
        <v>46622.15</v>
      </c>
      <c r="F1444" s="1">
        <v>46815</v>
      </c>
    </row>
    <row r="1445" spans="1:6" x14ac:dyDescent="0.25">
      <c r="A1445" s="1" t="s">
        <v>66</v>
      </c>
      <c r="B1445" s="1">
        <v>46265</v>
      </c>
      <c r="C1445" s="1">
        <v>46706</v>
      </c>
      <c r="D1445" s="1">
        <v>46722.1</v>
      </c>
      <c r="E1445" s="1">
        <v>46023.199999999997</v>
      </c>
      <c r="F1445" s="1">
        <v>46025.55</v>
      </c>
    </row>
    <row r="1446" spans="1:6" x14ac:dyDescent="0.25">
      <c r="A1446" s="1" t="s">
        <v>66</v>
      </c>
      <c r="B1446" s="1">
        <v>46266</v>
      </c>
      <c r="C1446" s="1">
        <v>46470.1</v>
      </c>
      <c r="D1446" s="1">
        <v>46615.1</v>
      </c>
      <c r="E1446" s="1">
        <v>46166.35</v>
      </c>
      <c r="F1446" s="1">
        <v>46457.15</v>
      </c>
    </row>
    <row r="1447" spans="1:6" x14ac:dyDescent="0.25">
      <c r="A1447" s="1" t="s">
        <v>66</v>
      </c>
      <c r="B1447" s="1">
        <v>46267</v>
      </c>
      <c r="C1447" s="1">
        <v>46186.9</v>
      </c>
      <c r="D1447" s="1">
        <v>46294.1</v>
      </c>
      <c r="E1447" s="1">
        <v>45880.65</v>
      </c>
      <c r="F1447" s="1">
        <v>46240.55</v>
      </c>
    </row>
    <row r="1448" spans="1:6" x14ac:dyDescent="0.25">
      <c r="A1448" s="1" t="s">
        <v>66</v>
      </c>
      <c r="B1448" s="1">
        <v>46268</v>
      </c>
      <c r="C1448" s="1">
        <v>46247.7</v>
      </c>
      <c r="D1448" s="1">
        <v>46287.45</v>
      </c>
      <c r="E1448" s="1">
        <v>45858.400000000001</v>
      </c>
      <c r="F1448" s="1">
        <v>45955.65</v>
      </c>
    </row>
    <row r="1449" spans="1:6" x14ac:dyDescent="0.25">
      <c r="A1449" s="1" t="s">
        <v>66</v>
      </c>
      <c r="B1449" s="1">
        <v>46269</v>
      </c>
      <c r="C1449" s="1">
        <v>46035.199999999997</v>
      </c>
      <c r="D1449" s="1">
        <v>46134.55</v>
      </c>
      <c r="E1449" s="1">
        <v>45803.1</v>
      </c>
      <c r="F1449" s="1">
        <v>45892.75</v>
      </c>
    </row>
    <row r="1450" spans="1:6" x14ac:dyDescent="0.25">
      <c r="A1450" s="1" t="s">
        <v>66</v>
      </c>
      <c r="B1450" s="1">
        <v>46272</v>
      </c>
      <c r="C1450" s="1">
        <v>45850.65</v>
      </c>
      <c r="D1450" s="1">
        <v>45891</v>
      </c>
      <c r="E1450" s="1">
        <v>45567.15</v>
      </c>
      <c r="F1450" s="1">
        <v>45592.15</v>
      </c>
    </row>
    <row r="1451" spans="1:6" x14ac:dyDescent="0.25">
      <c r="A1451" s="1" t="s">
        <v>66</v>
      </c>
      <c r="B1451" s="1">
        <v>46273</v>
      </c>
      <c r="C1451" s="1">
        <v>45612.45</v>
      </c>
      <c r="D1451" s="1">
        <v>45963.65</v>
      </c>
      <c r="E1451" s="1">
        <v>45448.15</v>
      </c>
      <c r="F1451" s="1">
        <v>45749.85</v>
      </c>
    </row>
    <row r="1452" spans="1:6" x14ac:dyDescent="0.25">
      <c r="A1452" s="1" t="s">
        <v>66</v>
      </c>
      <c r="B1452" s="1">
        <v>46274</v>
      </c>
      <c r="C1452" s="1">
        <v>45635.7</v>
      </c>
      <c r="D1452" s="1">
        <v>45707.75</v>
      </c>
      <c r="E1452" s="1">
        <v>45197.1</v>
      </c>
      <c r="F1452" s="1">
        <v>45309.25</v>
      </c>
    </row>
    <row r="1453" spans="1:6" x14ac:dyDescent="0.25">
      <c r="A1453" s="1" t="s">
        <v>66</v>
      </c>
      <c r="B1453" s="1">
        <v>46275</v>
      </c>
      <c r="C1453" s="1">
        <v>45335.3</v>
      </c>
      <c r="D1453" s="1">
        <v>45477.75</v>
      </c>
      <c r="E1453" s="1">
        <v>45066.45</v>
      </c>
      <c r="F1453" s="1">
        <v>45185.599999999999</v>
      </c>
    </row>
    <row r="1454" spans="1:6" x14ac:dyDescent="0.25">
      <c r="A1454" s="1" t="s">
        <v>66</v>
      </c>
      <c r="B1454" s="1">
        <v>46276</v>
      </c>
      <c r="C1454" s="1">
        <v>44909.3</v>
      </c>
      <c r="D1454" s="1">
        <v>45276.7</v>
      </c>
      <c r="E1454" s="1">
        <v>44825.599999999999</v>
      </c>
      <c r="F1454" s="1">
        <v>45053.75</v>
      </c>
    </row>
    <row r="1455" spans="1:6" x14ac:dyDescent="0.25">
      <c r="A1455" s="1" t="s">
        <v>66</v>
      </c>
      <c r="B1455" s="1">
        <v>46280</v>
      </c>
      <c r="C1455" s="1">
        <v>45241.2</v>
      </c>
      <c r="D1455" s="1">
        <v>45562.85</v>
      </c>
      <c r="E1455" s="1">
        <v>44829.9</v>
      </c>
      <c r="F1455" s="1">
        <v>44829.95</v>
      </c>
    </row>
    <row r="1456" spans="1:6" x14ac:dyDescent="0.25">
      <c r="A1456" s="1" t="s">
        <v>66</v>
      </c>
      <c r="B1456" s="1">
        <v>46281</v>
      </c>
      <c r="C1456" s="1">
        <v>44971.4</v>
      </c>
      <c r="D1456" s="1">
        <v>45748.7</v>
      </c>
      <c r="E1456" s="1">
        <v>44964.45</v>
      </c>
      <c r="F1456" s="1">
        <v>45559</v>
      </c>
    </row>
    <row r="1457" spans="1:6" x14ac:dyDescent="0.25">
      <c r="A1457" s="1" t="s">
        <v>66</v>
      </c>
      <c r="B1457" s="1">
        <v>46282</v>
      </c>
      <c r="C1457" s="1">
        <v>45590.2</v>
      </c>
      <c r="D1457" s="1">
        <v>45883.15</v>
      </c>
      <c r="E1457" s="1">
        <v>45559.25</v>
      </c>
      <c r="F1457" s="1">
        <v>45572.7</v>
      </c>
    </row>
    <row r="1458" spans="1:6" x14ac:dyDescent="0.25">
      <c r="A1458" s="1" t="s">
        <v>66</v>
      </c>
      <c r="B1458" s="1">
        <v>46283</v>
      </c>
      <c r="C1458" s="1">
        <v>45652.45</v>
      </c>
      <c r="D1458" s="1">
        <v>45788.3</v>
      </c>
      <c r="E1458" s="1">
        <v>45465.05</v>
      </c>
      <c r="F1458" s="1">
        <v>45466.8</v>
      </c>
    </row>
    <row r="1459" spans="1:6" x14ac:dyDescent="0.25">
      <c r="A1459" s="1" t="s">
        <v>66</v>
      </c>
      <c r="B1459" s="1">
        <v>46286</v>
      </c>
      <c r="C1459" s="1">
        <v>45506.15</v>
      </c>
      <c r="D1459" s="1">
        <v>46067.15</v>
      </c>
      <c r="E1459" s="1">
        <v>45496.3</v>
      </c>
      <c r="F1459" s="1">
        <v>45900.9</v>
      </c>
    </row>
    <row r="1460" spans="1:6" x14ac:dyDescent="0.25">
      <c r="A1460" s="1" t="s">
        <v>66</v>
      </c>
      <c r="B1460" s="1">
        <v>46287</v>
      </c>
      <c r="C1460" s="1">
        <v>46006.05</v>
      </c>
      <c r="D1460" s="1">
        <v>46060.7</v>
      </c>
      <c r="E1460" s="1">
        <v>45613.4</v>
      </c>
      <c r="F1460" s="1">
        <v>45657.75</v>
      </c>
    </row>
    <row r="1461" spans="1:6" x14ac:dyDescent="0.25">
      <c r="A1461" s="1" t="s">
        <v>66</v>
      </c>
      <c r="B1461" s="1">
        <v>46288</v>
      </c>
      <c r="C1461" s="1">
        <v>45719.45</v>
      </c>
      <c r="D1461" s="1">
        <v>46296.05</v>
      </c>
      <c r="E1461" s="1">
        <v>45665.8</v>
      </c>
      <c r="F1461" s="1">
        <v>46259.35</v>
      </c>
    </row>
    <row r="1462" spans="1:6" x14ac:dyDescent="0.25">
      <c r="A1462" s="1" t="s">
        <v>66</v>
      </c>
      <c r="B1462" s="1">
        <v>46289</v>
      </c>
      <c r="C1462" s="1">
        <v>45951.75</v>
      </c>
      <c r="D1462" s="1">
        <v>46202.95</v>
      </c>
      <c r="E1462" s="1">
        <v>45641.9</v>
      </c>
      <c r="F1462" s="1">
        <v>45759.35</v>
      </c>
    </row>
    <row r="1463" spans="1:6" x14ac:dyDescent="0.25">
      <c r="A1463" s="1" t="s">
        <v>66</v>
      </c>
      <c r="B1463" s="1">
        <v>46290</v>
      </c>
      <c r="C1463" s="1">
        <v>45766.2</v>
      </c>
      <c r="D1463" s="1">
        <v>45941.3</v>
      </c>
      <c r="E1463" s="1">
        <v>45544.5</v>
      </c>
      <c r="F1463" s="1">
        <v>45941.3</v>
      </c>
    </row>
    <row r="1464" spans="1:6" x14ac:dyDescent="0.25">
      <c r="A1464" s="1" t="s">
        <v>66</v>
      </c>
      <c r="B1464" s="1">
        <v>46293</v>
      </c>
      <c r="C1464" s="1">
        <v>45796.45</v>
      </c>
      <c r="D1464" s="1">
        <v>45816.25</v>
      </c>
      <c r="E1464" s="1">
        <v>45222.1</v>
      </c>
      <c r="F1464" s="1">
        <v>45264.35</v>
      </c>
    </row>
    <row r="1465" spans="1:6" x14ac:dyDescent="0.25">
      <c r="A1465" s="1" t="s">
        <v>66</v>
      </c>
      <c r="B1465" s="1">
        <v>46294</v>
      </c>
      <c r="C1465" s="1">
        <v>45197.599999999999</v>
      </c>
      <c r="D1465" s="1">
        <v>45241.75</v>
      </c>
      <c r="E1465" s="1">
        <v>44705.7</v>
      </c>
      <c r="F1465" s="1">
        <v>44790.3</v>
      </c>
    </row>
    <row r="1466" spans="1:6" x14ac:dyDescent="0.25">
      <c r="A1466" s="1" t="s">
        <v>66</v>
      </c>
      <c r="B1466" s="1">
        <v>46295</v>
      </c>
      <c r="C1466" s="1">
        <v>44820.9</v>
      </c>
      <c r="D1466" s="1">
        <v>44976.2</v>
      </c>
      <c r="E1466" s="1">
        <v>44439.05</v>
      </c>
      <c r="F1466" s="1">
        <v>44508.45</v>
      </c>
    </row>
    <row r="1467" spans="1:6" x14ac:dyDescent="0.25">
      <c r="A1467" s="1" t="s">
        <v>66</v>
      </c>
      <c r="B1467" s="1">
        <v>46296</v>
      </c>
      <c r="C1467" s="1">
        <v>44386</v>
      </c>
      <c r="D1467" s="1">
        <v>44441.65</v>
      </c>
      <c r="E1467" s="1">
        <v>43442.3</v>
      </c>
      <c r="F1467" s="1">
        <v>43789.85</v>
      </c>
    </row>
    <row r="1468" spans="1:6" x14ac:dyDescent="0.25">
      <c r="A1468" s="1" t="s">
        <v>66</v>
      </c>
      <c r="B1468" s="1">
        <v>46300</v>
      </c>
      <c r="C1468" s="1">
        <v>44070.3</v>
      </c>
      <c r="D1468" s="1">
        <v>44580.6</v>
      </c>
      <c r="E1468" s="1">
        <v>43929.35</v>
      </c>
      <c r="F1468" s="1">
        <v>44579.65</v>
      </c>
    </row>
    <row r="1469" spans="1:6" x14ac:dyDescent="0.25">
      <c r="A1469" s="1" t="s">
        <v>66</v>
      </c>
      <c r="B1469" s="1">
        <v>46301</v>
      </c>
      <c r="C1469" s="1">
        <v>44697.25</v>
      </c>
      <c r="D1469" s="1">
        <v>45205.9</v>
      </c>
      <c r="E1469" s="1">
        <v>44444.2</v>
      </c>
      <c r="F1469" s="1">
        <v>45205.35</v>
      </c>
    </row>
    <row r="1470" spans="1:6" x14ac:dyDescent="0.25">
      <c r="A1470" s="1" t="s">
        <v>66</v>
      </c>
      <c r="B1470" s="1">
        <v>46302</v>
      </c>
      <c r="C1470" s="1">
        <v>45012.7</v>
      </c>
      <c r="D1470" s="1">
        <v>45051.5</v>
      </c>
      <c r="E1470" s="1">
        <v>44641.4</v>
      </c>
      <c r="F1470" s="1">
        <v>44800.85</v>
      </c>
    </row>
    <row r="1471" spans="1:6" x14ac:dyDescent="0.25">
      <c r="A1471" s="1" t="s">
        <v>66</v>
      </c>
      <c r="B1471" s="1">
        <v>46303</v>
      </c>
      <c r="C1471" s="1">
        <v>44709.8</v>
      </c>
      <c r="D1471" s="1">
        <v>44944.55</v>
      </c>
      <c r="E1471" s="1">
        <v>43764.55</v>
      </c>
      <c r="F1471" s="1">
        <v>43898.05</v>
      </c>
    </row>
    <row r="1472" spans="1:6" x14ac:dyDescent="0.25">
      <c r="A1472" s="1" t="s">
        <v>66</v>
      </c>
      <c r="B1472" s="1">
        <v>46304</v>
      </c>
      <c r="C1472" s="1">
        <v>43953.55</v>
      </c>
      <c r="D1472" s="1">
        <v>45018.6</v>
      </c>
      <c r="E1472" s="1">
        <v>43936.55</v>
      </c>
      <c r="F1472" s="1">
        <v>44864.25</v>
      </c>
    </row>
    <row r="1473" spans="1:6" x14ac:dyDescent="0.25">
      <c r="A1473" s="1" t="s">
        <v>66</v>
      </c>
      <c r="B1473" s="1">
        <v>46307</v>
      </c>
      <c r="C1473" s="1">
        <v>44974.7</v>
      </c>
      <c r="D1473" s="1">
        <v>45047.9</v>
      </c>
      <c r="E1473" s="1">
        <v>44005.4</v>
      </c>
      <c r="F1473" s="1">
        <v>44113.4</v>
      </c>
    </row>
    <row r="1474" spans="1:6" x14ac:dyDescent="0.25">
      <c r="A1474" s="1" t="s">
        <v>66</v>
      </c>
      <c r="B1474" s="1">
        <v>46308</v>
      </c>
      <c r="C1474" s="1">
        <v>44184.35</v>
      </c>
      <c r="D1474" s="1">
        <v>44755.95</v>
      </c>
      <c r="E1474" s="1">
        <v>44020.6</v>
      </c>
      <c r="F1474" s="1">
        <v>44731.15</v>
      </c>
    </row>
    <row r="1475" spans="1:6" x14ac:dyDescent="0.25">
      <c r="A1475" s="1" t="s">
        <v>66</v>
      </c>
      <c r="B1475" s="1">
        <v>46309</v>
      </c>
      <c r="C1475" s="1">
        <v>44681.25</v>
      </c>
      <c r="D1475" s="1">
        <v>45272.5</v>
      </c>
      <c r="E1475" s="1">
        <v>44665.599999999999</v>
      </c>
      <c r="F1475" s="1">
        <v>45271.7</v>
      </c>
    </row>
    <row r="1476" spans="1:6" x14ac:dyDescent="0.25">
      <c r="A1476" s="1" t="s">
        <v>66</v>
      </c>
      <c r="B1476" s="1">
        <v>46310</v>
      </c>
      <c r="C1476" s="1">
        <v>45221.1</v>
      </c>
      <c r="D1476" s="1">
        <v>45664.85</v>
      </c>
      <c r="E1476" s="1">
        <v>44673.35</v>
      </c>
      <c r="F1476" s="1">
        <v>44791.65</v>
      </c>
    </row>
    <row r="1477" spans="1:6" x14ac:dyDescent="0.25">
      <c r="A1477" s="1" t="s">
        <v>66</v>
      </c>
      <c r="B1477" s="1">
        <v>46311</v>
      </c>
      <c r="C1477" s="1">
        <v>44849.25</v>
      </c>
      <c r="D1477" s="1">
        <v>44859.65</v>
      </c>
      <c r="E1477" s="1">
        <v>44361.45</v>
      </c>
      <c r="F1477" s="1">
        <v>44616.15</v>
      </c>
    </row>
    <row r="1478" spans="1:6" x14ac:dyDescent="0.25">
      <c r="A1478" s="1" t="s">
        <v>67</v>
      </c>
      <c r="B1478" s="1">
        <v>45950</v>
      </c>
      <c r="C1478" s="1">
        <v>27375.8</v>
      </c>
      <c r="D1478" s="1">
        <v>27403.9</v>
      </c>
      <c r="E1478" s="1">
        <v>27165.05</v>
      </c>
      <c r="F1478" s="1">
        <v>27185.45</v>
      </c>
    </row>
    <row r="1479" spans="1:6" x14ac:dyDescent="0.25">
      <c r="A1479" s="1" t="s">
        <v>67</v>
      </c>
      <c r="B1479" s="1">
        <v>45951</v>
      </c>
      <c r="C1479" s="1">
        <v>27285.4</v>
      </c>
      <c r="D1479" s="1">
        <v>27325.7</v>
      </c>
      <c r="E1479" s="1">
        <v>27156.05</v>
      </c>
      <c r="F1479" s="1">
        <v>27229.85</v>
      </c>
    </row>
    <row r="1480" spans="1:6" x14ac:dyDescent="0.25">
      <c r="A1480" s="1" t="s">
        <v>67</v>
      </c>
      <c r="B1480" s="1">
        <v>45953</v>
      </c>
      <c r="C1480" s="1">
        <v>27479.200000000001</v>
      </c>
      <c r="D1480" s="1">
        <v>27480.75</v>
      </c>
      <c r="E1480" s="1">
        <v>27170.05</v>
      </c>
      <c r="F1480" s="1">
        <v>27218.75</v>
      </c>
    </row>
    <row r="1481" spans="1:6" x14ac:dyDescent="0.25">
      <c r="A1481" s="1" t="s">
        <v>67</v>
      </c>
      <c r="B1481" s="1">
        <v>45954</v>
      </c>
      <c r="C1481" s="1">
        <v>27262.05</v>
      </c>
      <c r="D1481" s="1">
        <v>27309.599999999999</v>
      </c>
      <c r="E1481" s="1">
        <v>27018.65</v>
      </c>
      <c r="F1481" s="1">
        <v>27108.7</v>
      </c>
    </row>
    <row r="1482" spans="1:6" x14ac:dyDescent="0.25">
      <c r="A1482" s="1" t="s">
        <v>67</v>
      </c>
      <c r="B1482" s="1">
        <v>45957</v>
      </c>
      <c r="C1482" s="1">
        <v>27179.7</v>
      </c>
      <c r="D1482" s="1">
        <v>27279.65</v>
      </c>
      <c r="E1482" s="1">
        <v>27128.3</v>
      </c>
      <c r="F1482" s="1">
        <v>27263.65</v>
      </c>
    </row>
    <row r="1483" spans="1:6" x14ac:dyDescent="0.25">
      <c r="A1483" s="1" t="s">
        <v>67</v>
      </c>
      <c r="B1483" s="1">
        <v>45958</v>
      </c>
      <c r="C1483" s="1">
        <v>27277.35</v>
      </c>
      <c r="D1483" s="1">
        <v>27412.65</v>
      </c>
      <c r="E1483" s="1">
        <v>27065.35</v>
      </c>
      <c r="F1483" s="1">
        <v>27148.35</v>
      </c>
    </row>
    <row r="1484" spans="1:6" x14ac:dyDescent="0.25">
      <c r="A1484" s="1" t="s">
        <v>67</v>
      </c>
      <c r="B1484" s="1">
        <v>45959</v>
      </c>
      <c r="C1484" s="1">
        <v>27195.7</v>
      </c>
      <c r="D1484" s="1">
        <v>27196.5</v>
      </c>
      <c r="E1484" s="1">
        <v>26890.15</v>
      </c>
      <c r="F1484" s="1">
        <v>26948.9</v>
      </c>
    </row>
    <row r="1485" spans="1:6" x14ac:dyDescent="0.25">
      <c r="A1485" s="1" t="s">
        <v>67</v>
      </c>
      <c r="B1485" s="1">
        <v>45960</v>
      </c>
      <c r="C1485" s="1">
        <v>27010.400000000001</v>
      </c>
      <c r="D1485" s="1">
        <v>27036.55</v>
      </c>
      <c r="E1485" s="1">
        <v>26795.7</v>
      </c>
      <c r="F1485" s="1">
        <v>26829.55</v>
      </c>
    </row>
    <row r="1486" spans="1:6" x14ac:dyDescent="0.25">
      <c r="A1486" s="1" t="s">
        <v>67</v>
      </c>
      <c r="B1486" s="1">
        <v>45961</v>
      </c>
      <c r="C1486" s="1">
        <v>26885.1</v>
      </c>
      <c r="D1486" s="1">
        <v>27115.5</v>
      </c>
      <c r="E1486" s="1">
        <v>26774.400000000001</v>
      </c>
      <c r="F1486" s="1">
        <v>26809.85</v>
      </c>
    </row>
    <row r="1487" spans="1:6" x14ac:dyDescent="0.25">
      <c r="A1487" s="1" t="s">
        <v>67</v>
      </c>
      <c r="B1487" s="1">
        <v>45964</v>
      </c>
      <c r="C1487" s="1">
        <v>26849.85</v>
      </c>
      <c r="D1487" s="1">
        <v>26991.4</v>
      </c>
      <c r="E1487" s="1">
        <v>26710.3</v>
      </c>
      <c r="F1487" s="1">
        <v>26841.8</v>
      </c>
    </row>
    <row r="1488" spans="1:6" x14ac:dyDescent="0.25">
      <c r="A1488" s="1" t="s">
        <v>67</v>
      </c>
      <c r="B1488" s="1">
        <v>45965</v>
      </c>
      <c r="C1488" s="1">
        <v>26822.95</v>
      </c>
      <c r="D1488" s="1">
        <v>26826.799999999999</v>
      </c>
      <c r="E1488" s="1">
        <v>26583.599999999999</v>
      </c>
      <c r="F1488" s="1">
        <v>26610.05</v>
      </c>
    </row>
    <row r="1489" spans="1:6" x14ac:dyDescent="0.25">
      <c r="A1489" s="1" t="s">
        <v>67</v>
      </c>
      <c r="B1489" s="1">
        <v>45967</v>
      </c>
      <c r="C1489" s="1">
        <v>26754.6</v>
      </c>
      <c r="D1489" s="1">
        <v>26897.1</v>
      </c>
      <c r="E1489" s="1">
        <v>26555.599999999999</v>
      </c>
      <c r="F1489" s="1">
        <v>26626.5</v>
      </c>
    </row>
    <row r="1490" spans="1:6" x14ac:dyDescent="0.25">
      <c r="A1490" s="1" t="s">
        <v>67</v>
      </c>
      <c r="B1490" s="1">
        <v>45968</v>
      </c>
      <c r="C1490" s="1">
        <v>26594.7</v>
      </c>
      <c r="D1490" s="1">
        <v>26850.35</v>
      </c>
      <c r="E1490" s="1">
        <v>26285.35</v>
      </c>
      <c r="F1490" s="1">
        <v>26779.55</v>
      </c>
    </row>
    <row r="1491" spans="1:6" x14ac:dyDescent="0.25">
      <c r="A1491" s="1" t="s">
        <v>67</v>
      </c>
      <c r="B1491" s="1">
        <v>45971</v>
      </c>
      <c r="C1491" s="1">
        <v>26772.3</v>
      </c>
      <c r="D1491" s="1">
        <v>26954.05</v>
      </c>
      <c r="E1491" s="1">
        <v>26722</v>
      </c>
      <c r="F1491" s="1">
        <v>26859.85</v>
      </c>
    </row>
    <row r="1492" spans="1:6" x14ac:dyDescent="0.25">
      <c r="A1492" s="1" t="s">
        <v>67</v>
      </c>
      <c r="B1492" s="1">
        <v>45972</v>
      </c>
      <c r="C1492" s="1">
        <v>26990.6</v>
      </c>
      <c r="D1492" s="1">
        <v>27174.400000000001</v>
      </c>
      <c r="E1492" s="1">
        <v>26735.8</v>
      </c>
      <c r="F1492" s="1">
        <v>27148.25</v>
      </c>
    </row>
    <row r="1493" spans="1:6" x14ac:dyDescent="0.25">
      <c r="A1493" s="1" t="s">
        <v>67</v>
      </c>
      <c r="B1493" s="1">
        <v>45973</v>
      </c>
      <c r="C1493" s="1">
        <v>27226.799999999999</v>
      </c>
      <c r="D1493" s="1">
        <v>27554.2</v>
      </c>
      <c r="E1493" s="1">
        <v>27137.8</v>
      </c>
      <c r="F1493" s="1">
        <v>27485.15</v>
      </c>
    </row>
    <row r="1494" spans="1:6" x14ac:dyDescent="0.25">
      <c r="A1494" s="1" t="s">
        <v>67</v>
      </c>
      <c r="B1494" s="1">
        <v>45974</v>
      </c>
      <c r="C1494" s="1">
        <v>27443.25</v>
      </c>
      <c r="D1494" s="1">
        <v>27526.6</v>
      </c>
      <c r="E1494" s="1">
        <v>27327.200000000001</v>
      </c>
      <c r="F1494" s="1">
        <v>27382.799999999999</v>
      </c>
    </row>
    <row r="1495" spans="1:6" x14ac:dyDescent="0.25">
      <c r="A1495" s="1" t="s">
        <v>67</v>
      </c>
      <c r="B1495" s="1">
        <v>45975</v>
      </c>
      <c r="C1495" s="1">
        <v>27321.35</v>
      </c>
      <c r="D1495" s="1">
        <v>27444.5</v>
      </c>
      <c r="E1495" s="1">
        <v>27078.400000000001</v>
      </c>
      <c r="F1495" s="1">
        <v>27239.8</v>
      </c>
    </row>
    <row r="1496" spans="1:6" x14ac:dyDescent="0.25">
      <c r="A1496" s="1" t="s">
        <v>67</v>
      </c>
      <c r="B1496" s="1">
        <v>45978</v>
      </c>
      <c r="C1496" s="1">
        <v>27258.2</v>
      </c>
      <c r="D1496" s="1">
        <v>27519.05</v>
      </c>
      <c r="E1496" s="1">
        <v>27116.05</v>
      </c>
      <c r="F1496" s="1">
        <v>27472.65</v>
      </c>
    </row>
    <row r="1497" spans="1:6" x14ac:dyDescent="0.25">
      <c r="A1497" s="1" t="s">
        <v>67</v>
      </c>
      <c r="B1497" s="1">
        <v>45979</v>
      </c>
      <c r="C1497" s="1">
        <v>27483.15</v>
      </c>
      <c r="D1497" s="1">
        <v>27502.1</v>
      </c>
      <c r="E1497" s="1">
        <v>27292.5</v>
      </c>
      <c r="F1497" s="1">
        <v>27368.25</v>
      </c>
    </row>
    <row r="1498" spans="1:6" x14ac:dyDescent="0.25">
      <c r="A1498" s="1" t="s">
        <v>67</v>
      </c>
      <c r="B1498" s="1">
        <v>45980</v>
      </c>
      <c r="C1498" s="1">
        <v>27386</v>
      </c>
      <c r="D1498" s="1">
        <v>27521.05</v>
      </c>
      <c r="E1498" s="1">
        <v>27270.55</v>
      </c>
      <c r="F1498" s="1">
        <v>27434.45</v>
      </c>
    </row>
    <row r="1499" spans="1:6" x14ac:dyDescent="0.25">
      <c r="A1499" s="1" t="s">
        <v>67</v>
      </c>
      <c r="B1499" s="1">
        <v>45981</v>
      </c>
      <c r="C1499" s="1">
        <v>27564.85</v>
      </c>
      <c r="D1499" s="1">
        <v>27625</v>
      </c>
      <c r="E1499" s="1">
        <v>27441.15</v>
      </c>
      <c r="F1499" s="1">
        <v>27554</v>
      </c>
    </row>
    <row r="1500" spans="1:6" x14ac:dyDescent="0.25">
      <c r="A1500" s="1" t="s">
        <v>67</v>
      </c>
      <c r="B1500" s="1">
        <v>45982</v>
      </c>
      <c r="C1500" s="1">
        <v>27552.799999999999</v>
      </c>
      <c r="D1500" s="1">
        <v>27720.1</v>
      </c>
      <c r="E1500" s="1">
        <v>27488.9</v>
      </c>
      <c r="F1500" s="1">
        <v>27537.85</v>
      </c>
    </row>
    <row r="1501" spans="1:6" x14ac:dyDescent="0.25">
      <c r="A1501" s="1" t="s">
        <v>67</v>
      </c>
      <c r="B1501" s="1">
        <v>45985</v>
      </c>
      <c r="C1501" s="1">
        <v>27547.9</v>
      </c>
      <c r="D1501" s="1">
        <v>27594.75</v>
      </c>
      <c r="E1501" s="1">
        <v>27391.599999999999</v>
      </c>
      <c r="F1501" s="1">
        <v>27442.2</v>
      </c>
    </row>
    <row r="1502" spans="1:6" x14ac:dyDescent="0.25">
      <c r="A1502" s="1" t="s">
        <v>67</v>
      </c>
      <c r="B1502" s="1">
        <v>45986</v>
      </c>
      <c r="C1502" s="1">
        <v>27444.95</v>
      </c>
      <c r="D1502" s="1">
        <v>27520.95</v>
      </c>
      <c r="E1502" s="1">
        <v>27335.55</v>
      </c>
      <c r="F1502" s="1">
        <v>27378.7</v>
      </c>
    </row>
    <row r="1503" spans="1:6" x14ac:dyDescent="0.25">
      <c r="A1503" s="1" t="s">
        <v>67</v>
      </c>
      <c r="B1503" s="1">
        <v>45987</v>
      </c>
      <c r="C1503" s="1">
        <v>27458.35</v>
      </c>
      <c r="D1503" s="1">
        <v>27742.400000000001</v>
      </c>
      <c r="E1503" s="1">
        <v>27418.05</v>
      </c>
      <c r="F1503" s="1">
        <v>27696.400000000001</v>
      </c>
    </row>
    <row r="1504" spans="1:6" x14ac:dyDescent="0.25">
      <c r="A1504" s="1" t="s">
        <v>67</v>
      </c>
      <c r="B1504" s="1">
        <v>45988</v>
      </c>
      <c r="C1504" s="1">
        <v>27782.9</v>
      </c>
      <c r="D1504" s="1">
        <v>27832.6</v>
      </c>
      <c r="E1504" s="1">
        <v>27527.45</v>
      </c>
      <c r="F1504" s="1">
        <v>27603.65</v>
      </c>
    </row>
    <row r="1505" spans="1:6" x14ac:dyDescent="0.25">
      <c r="A1505" s="1" t="s">
        <v>67</v>
      </c>
      <c r="B1505" s="1">
        <v>45989</v>
      </c>
      <c r="C1505" s="1">
        <v>27627.95</v>
      </c>
      <c r="D1505" s="1">
        <v>27830.15</v>
      </c>
      <c r="E1505" s="1">
        <v>27562.65</v>
      </c>
      <c r="F1505" s="1">
        <v>27774.6</v>
      </c>
    </row>
    <row r="1506" spans="1:6" x14ac:dyDescent="0.25">
      <c r="A1506" s="1" t="s">
        <v>67</v>
      </c>
      <c r="B1506" s="1">
        <v>45992</v>
      </c>
      <c r="C1506" s="1">
        <v>27929.3</v>
      </c>
      <c r="D1506" s="1">
        <v>28075.65</v>
      </c>
      <c r="E1506" s="1">
        <v>27853.85</v>
      </c>
      <c r="F1506" s="1">
        <v>27993</v>
      </c>
    </row>
    <row r="1507" spans="1:6" x14ac:dyDescent="0.25">
      <c r="A1507" s="1" t="s">
        <v>67</v>
      </c>
      <c r="B1507" s="1">
        <v>45993</v>
      </c>
      <c r="C1507" s="1">
        <v>27959.65</v>
      </c>
      <c r="D1507" s="1">
        <v>28099.65</v>
      </c>
      <c r="E1507" s="1">
        <v>27908.15</v>
      </c>
      <c r="F1507" s="1">
        <v>27979.5</v>
      </c>
    </row>
    <row r="1508" spans="1:6" x14ac:dyDescent="0.25">
      <c r="A1508" s="1" t="s">
        <v>67</v>
      </c>
      <c r="B1508" s="1">
        <v>45994</v>
      </c>
      <c r="C1508" s="1">
        <v>28014.5</v>
      </c>
      <c r="D1508" s="1">
        <v>28021.15</v>
      </c>
      <c r="E1508" s="1">
        <v>27581.200000000001</v>
      </c>
      <c r="F1508" s="1">
        <v>27643.8</v>
      </c>
    </row>
    <row r="1509" spans="1:6" x14ac:dyDescent="0.25">
      <c r="A1509" s="1" t="s">
        <v>67</v>
      </c>
      <c r="B1509" s="1">
        <v>45995</v>
      </c>
      <c r="C1509" s="1">
        <v>27703.4</v>
      </c>
      <c r="D1509" s="1">
        <v>27866.2</v>
      </c>
      <c r="E1509" s="1">
        <v>27581.1</v>
      </c>
      <c r="F1509" s="1">
        <v>27732.7</v>
      </c>
    </row>
    <row r="1510" spans="1:6" x14ac:dyDescent="0.25">
      <c r="A1510" s="1" t="s">
        <v>67</v>
      </c>
      <c r="B1510" s="1">
        <v>45996</v>
      </c>
      <c r="C1510" s="1">
        <v>27706.2</v>
      </c>
      <c r="D1510" s="1">
        <v>27957</v>
      </c>
      <c r="E1510" s="1">
        <v>27663.3</v>
      </c>
      <c r="F1510" s="1">
        <v>27939.1</v>
      </c>
    </row>
    <row r="1511" spans="1:6" x14ac:dyDescent="0.25">
      <c r="A1511" s="1" t="s">
        <v>67</v>
      </c>
      <c r="B1511" s="1">
        <v>45999</v>
      </c>
      <c r="C1511" s="1">
        <v>27914</v>
      </c>
      <c r="D1511" s="1">
        <v>27960.05</v>
      </c>
      <c r="E1511" s="1">
        <v>27503.8</v>
      </c>
      <c r="F1511" s="1">
        <v>27596.799999999999</v>
      </c>
    </row>
    <row r="1512" spans="1:6" x14ac:dyDescent="0.25">
      <c r="A1512" s="1" t="s">
        <v>67</v>
      </c>
      <c r="B1512" s="1">
        <v>46000</v>
      </c>
      <c r="C1512" s="1">
        <v>27472.2</v>
      </c>
      <c r="D1512" s="1">
        <v>27546.85</v>
      </c>
      <c r="E1512" s="1">
        <v>27116.5</v>
      </c>
      <c r="F1512" s="1">
        <v>27399.25</v>
      </c>
    </row>
    <row r="1513" spans="1:6" x14ac:dyDescent="0.25">
      <c r="A1513" s="1" t="s">
        <v>67</v>
      </c>
      <c r="B1513" s="1">
        <v>46001</v>
      </c>
      <c r="C1513" s="1">
        <v>27506.85</v>
      </c>
      <c r="D1513" s="1">
        <v>27632.65</v>
      </c>
      <c r="E1513" s="1">
        <v>27313.15</v>
      </c>
      <c r="F1513" s="1">
        <v>27358.25</v>
      </c>
    </row>
    <row r="1514" spans="1:6" x14ac:dyDescent="0.25">
      <c r="A1514" s="1" t="s">
        <v>67</v>
      </c>
      <c r="B1514" s="1">
        <v>46002</v>
      </c>
      <c r="C1514" s="1">
        <v>27357.7</v>
      </c>
      <c r="D1514" s="1">
        <v>27683.95</v>
      </c>
      <c r="E1514" s="1">
        <v>27307.8</v>
      </c>
      <c r="F1514" s="1">
        <v>27661</v>
      </c>
    </row>
    <row r="1515" spans="1:6" x14ac:dyDescent="0.25">
      <c r="A1515" s="1" t="s">
        <v>67</v>
      </c>
      <c r="B1515" s="1">
        <v>46003</v>
      </c>
      <c r="C1515" s="1">
        <v>27687.85</v>
      </c>
      <c r="D1515" s="1">
        <v>27852.45</v>
      </c>
      <c r="E1515" s="1">
        <v>27683.95</v>
      </c>
      <c r="F1515" s="1">
        <v>27820.85</v>
      </c>
    </row>
    <row r="1516" spans="1:6" x14ac:dyDescent="0.25">
      <c r="A1516" s="1" t="s">
        <v>67</v>
      </c>
      <c r="B1516" s="1">
        <v>46006</v>
      </c>
      <c r="C1516" s="1">
        <v>27706.05</v>
      </c>
      <c r="D1516" s="1">
        <v>27771.8</v>
      </c>
      <c r="E1516" s="1">
        <v>27477.85</v>
      </c>
      <c r="F1516" s="1">
        <v>27568.1</v>
      </c>
    </row>
    <row r="1517" spans="1:6" x14ac:dyDescent="0.25">
      <c r="A1517" s="1" t="s">
        <v>67</v>
      </c>
      <c r="B1517" s="1">
        <v>46007</v>
      </c>
      <c r="C1517" s="1">
        <v>27500.3</v>
      </c>
      <c r="D1517" s="1">
        <v>27605.3</v>
      </c>
      <c r="E1517" s="1">
        <v>27447.8</v>
      </c>
      <c r="F1517" s="1">
        <v>27542.2</v>
      </c>
    </row>
    <row r="1518" spans="1:6" x14ac:dyDescent="0.25">
      <c r="A1518" s="1" t="s">
        <v>67</v>
      </c>
      <c r="B1518" s="1">
        <v>46008</v>
      </c>
      <c r="C1518" s="1">
        <v>27620</v>
      </c>
      <c r="D1518" s="1">
        <v>27689.4</v>
      </c>
      <c r="E1518" s="1">
        <v>27438.3</v>
      </c>
      <c r="F1518" s="1">
        <v>27489.25</v>
      </c>
    </row>
    <row r="1519" spans="1:6" x14ac:dyDescent="0.25">
      <c r="A1519" s="1" t="s">
        <v>67</v>
      </c>
      <c r="B1519" s="1">
        <v>46009</v>
      </c>
      <c r="C1519" s="1">
        <v>27459.200000000001</v>
      </c>
      <c r="D1519" s="1">
        <v>27475.75</v>
      </c>
      <c r="E1519" s="1">
        <v>27013.75</v>
      </c>
      <c r="F1519" s="1">
        <v>27321.9</v>
      </c>
    </row>
    <row r="1520" spans="1:6" x14ac:dyDescent="0.25">
      <c r="A1520" s="1" t="s">
        <v>67</v>
      </c>
      <c r="B1520" s="1">
        <v>46010</v>
      </c>
      <c r="C1520" s="1">
        <v>27280.400000000001</v>
      </c>
      <c r="D1520" s="1">
        <v>27691.8</v>
      </c>
      <c r="E1520" s="1">
        <v>27280.400000000001</v>
      </c>
      <c r="F1520" s="1">
        <v>27657.25</v>
      </c>
    </row>
    <row r="1521" spans="1:6" x14ac:dyDescent="0.25">
      <c r="A1521" s="1" t="s">
        <v>67</v>
      </c>
      <c r="B1521" s="1">
        <v>46013</v>
      </c>
      <c r="C1521" s="1">
        <v>27722.9</v>
      </c>
      <c r="D1521" s="1">
        <v>27896.400000000001</v>
      </c>
      <c r="E1521" s="1">
        <v>27661.9</v>
      </c>
      <c r="F1521" s="1">
        <v>27885.3</v>
      </c>
    </row>
    <row r="1522" spans="1:6" x14ac:dyDescent="0.25">
      <c r="A1522" s="1" t="s">
        <v>67</v>
      </c>
      <c r="B1522" s="1">
        <v>46014</v>
      </c>
      <c r="C1522" s="1">
        <v>27962.6</v>
      </c>
      <c r="D1522" s="1">
        <v>27962.6</v>
      </c>
      <c r="E1522" s="1">
        <v>27778.25</v>
      </c>
      <c r="F1522" s="1">
        <v>27892.05</v>
      </c>
    </row>
    <row r="1523" spans="1:6" x14ac:dyDescent="0.25">
      <c r="A1523" s="1" t="s">
        <v>67</v>
      </c>
      <c r="B1523" s="1">
        <v>46015</v>
      </c>
      <c r="C1523" s="1">
        <v>27915</v>
      </c>
      <c r="D1523" s="1">
        <v>27992.05</v>
      </c>
      <c r="E1523" s="1">
        <v>27814.400000000001</v>
      </c>
      <c r="F1523" s="1">
        <v>27885.65</v>
      </c>
    </row>
    <row r="1524" spans="1:6" x14ac:dyDescent="0.25">
      <c r="A1524" s="1" t="s">
        <v>67</v>
      </c>
      <c r="B1524" s="1">
        <v>46017</v>
      </c>
      <c r="C1524" s="1">
        <v>27881</v>
      </c>
      <c r="D1524" s="1">
        <v>27959.25</v>
      </c>
      <c r="E1524" s="1">
        <v>27683.3</v>
      </c>
      <c r="F1524" s="1">
        <v>27739.85</v>
      </c>
    </row>
    <row r="1525" spans="1:6" x14ac:dyDescent="0.25">
      <c r="A1525" s="1" t="s">
        <v>67</v>
      </c>
      <c r="B1525" s="1">
        <v>46020</v>
      </c>
      <c r="C1525" s="1">
        <v>27738.9</v>
      </c>
      <c r="D1525" s="1">
        <v>27833.65</v>
      </c>
      <c r="E1525" s="1">
        <v>27561.65</v>
      </c>
      <c r="F1525" s="1">
        <v>27592.5</v>
      </c>
    </row>
    <row r="1526" spans="1:6" x14ac:dyDescent="0.25">
      <c r="A1526" s="1" t="s">
        <v>67</v>
      </c>
      <c r="B1526" s="1">
        <v>46021</v>
      </c>
      <c r="C1526" s="1">
        <v>27595.05</v>
      </c>
      <c r="D1526" s="1">
        <v>27991.8</v>
      </c>
      <c r="E1526" s="1">
        <v>27516.85</v>
      </c>
      <c r="F1526" s="1">
        <v>27889.65</v>
      </c>
    </row>
    <row r="1527" spans="1:6" x14ac:dyDescent="0.25">
      <c r="A1527" s="1" t="s">
        <v>67</v>
      </c>
      <c r="B1527" s="1">
        <v>46022</v>
      </c>
      <c r="C1527" s="1">
        <v>27901.95</v>
      </c>
      <c r="D1527" s="1">
        <v>28226.75</v>
      </c>
      <c r="E1527" s="1">
        <v>27858.65</v>
      </c>
      <c r="F1527" s="1">
        <v>28189.599999999999</v>
      </c>
    </row>
    <row r="1528" spans="1:6" x14ac:dyDescent="0.25">
      <c r="A1528" s="1" t="s">
        <v>67</v>
      </c>
      <c r="B1528" s="1">
        <v>46023</v>
      </c>
      <c r="C1528" s="1">
        <v>28257.65</v>
      </c>
      <c r="D1528" s="1">
        <v>28503.45</v>
      </c>
      <c r="E1528" s="1">
        <v>28248.5</v>
      </c>
      <c r="F1528" s="1">
        <v>28480.55</v>
      </c>
    </row>
    <row r="1529" spans="1:6" x14ac:dyDescent="0.25">
      <c r="A1529" s="1" t="s">
        <v>67</v>
      </c>
      <c r="B1529" s="1">
        <v>46024</v>
      </c>
      <c r="C1529" s="1">
        <v>28548.25</v>
      </c>
      <c r="D1529" s="1">
        <v>28867.05</v>
      </c>
      <c r="E1529" s="1">
        <v>28486.55</v>
      </c>
      <c r="F1529" s="1">
        <v>28803.65</v>
      </c>
    </row>
    <row r="1530" spans="1:6" x14ac:dyDescent="0.25">
      <c r="A1530" s="1" t="s">
        <v>67</v>
      </c>
      <c r="B1530" s="1">
        <v>46027</v>
      </c>
      <c r="C1530" s="1">
        <v>28869.65</v>
      </c>
      <c r="D1530" s="1">
        <v>29179.1</v>
      </c>
      <c r="E1530" s="1">
        <v>28806.95</v>
      </c>
      <c r="F1530" s="1">
        <v>28894.15</v>
      </c>
    </row>
    <row r="1531" spans="1:6" x14ac:dyDescent="0.25">
      <c r="A1531" s="1" t="s">
        <v>67</v>
      </c>
      <c r="B1531" s="1">
        <v>46028</v>
      </c>
      <c r="C1531" s="1">
        <v>28923.45</v>
      </c>
      <c r="D1531" s="1">
        <v>28997.3</v>
      </c>
      <c r="E1531" s="1">
        <v>28812.55</v>
      </c>
      <c r="F1531" s="1">
        <v>28922.35</v>
      </c>
    </row>
    <row r="1532" spans="1:6" x14ac:dyDescent="0.25">
      <c r="A1532" s="1" t="s">
        <v>67</v>
      </c>
      <c r="B1532" s="1">
        <v>46029</v>
      </c>
      <c r="C1532" s="1">
        <v>28919.95</v>
      </c>
      <c r="D1532" s="1">
        <v>28938.65</v>
      </c>
      <c r="E1532" s="1">
        <v>28501.1</v>
      </c>
      <c r="F1532" s="1">
        <v>28692.400000000001</v>
      </c>
    </row>
    <row r="1533" spans="1:6" x14ac:dyDescent="0.25">
      <c r="A1533" s="1" t="s">
        <v>67</v>
      </c>
      <c r="B1533" s="1">
        <v>46030</v>
      </c>
      <c r="C1533" s="1">
        <v>28639.25</v>
      </c>
      <c r="D1533" s="1">
        <v>28662</v>
      </c>
      <c r="E1533" s="1">
        <v>28357.599999999999</v>
      </c>
      <c r="F1533" s="1">
        <v>28414.95</v>
      </c>
    </row>
    <row r="1534" spans="1:6" x14ac:dyDescent="0.25">
      <c r="A1534" s="1" t="s">
        <v>67</v>
      </c>
      <c r="B1534" s="1">
        <v>46031</v>
      </c>
      <c r="C1534" s="1">
        <v>28380</v>
      </c>
      <c r="D1534" s="1">
        <v>28516</v>
      </c>
      <c r="E1534" s="1">
        <v>28034.85</v>
      </c>
      <c r="F1534" s="1">
        <v>28087.65</v>
      </c>
    </row>
    <row r="1535" spans="1:6" x14ac:dyDescent="0.25">
      <c r="A1535" s="1" t="s">
        <v>67</v>
      </c>
      <c r="B1535" s="1">
        <v>46034</v>
      </c>
      <c r="C1535" s="1">
        <v>28055.45</v>
      </c>
      <c r="D1535" s="1">
        <v>28165.55</v>
      </c>
      <c r="E1535" s="1">
        <v>27492.65</v>
      </c>
      <c r="F1535" s="1">
        <v>28011.75</v>
      </c>
    </row>
    <row r="1536" spans="1:6" x14ac:dyDescent="0.25">
      <c r="A1536" s="1" t="s">
        <v>67</v>
      </c>
      <c r="B1536" s="1">
        <v>46035</v>
      </c>
      <c r="C1536" s="1">
        <v>28154.35</v>
      </c>
      <c r="D1536" s="1">
        <v>28159.55</v>
      </c>
      <c r="E1536" s="1">
        <v>27694.6</v>
      </c>
      <c r="F1536" s="1">
        <v>27915.1</v>
      </c>
    </row>
    <row r="1537" spans="1:6" x14ac:dyDescent="0.25">
      <c r="A1537" s="1" t="s">
        <v>67</v>
      </c>
      <c r="B1537" s="1">
        <v>46036</v>
      </c>
      <c r="C1537" s="1">
        <v>27893.8</v>
      </c>
      <c r="D1537" s="1">
        <v>27932.35</v>
      </c>
      <c r="E1537" s="1">
        <v>27635.7</v>
      </c>
      <c r="F1537" s="1">
        <v>27721.85</v>
      </c>
    </row>
    <row r="1538" spans="1:6" x14ac:dyDescent="0.25">
      <c r="A1538" s="1" t="s">
        <v>67</v>
      </c>
      <c r="B1538" s="1">
        <v>46038</v>
      </c>
      <c r="C1538" s="1">
        <v>27642.45</v>
      </c>
      <c r="D1538" s="1">
        <v>27977.15</v>
      </c>
      <c r="E1538" s="1">
        <v>27516.25</v>
      </c>
      <c r="F1538" s="1">
        <v>27596.25</v>
      </c>
    </row>
    <row r="1539" spans="1:6" x14ac:dyDescent="0.25">
      <c r="A1539" s="1" t="s">
        <v>67</v>
      </c>
      <c r="B1539" s="1">
        <v>46041</v>
      </c>
      <c r="C1539" s="1">
        <v>27615.55</v>
      </c>
      <c r="D1539" s="1">
        <v>27709.5</v>
      </c>
      <c r="E1539" s="1">
        <v>27418.15</v>
      </c>
      <c r="F1539" s="1">
        <v>27632.45</v>
      </c>
    </row>
    <row r="1540" spans="1:6" x14ac:dyDescent="0.25">
      <c r="A1540" s="1" t="s">
        <v>67</v>
      </c>
      <c r="B1540" s="1">
        <v>46042</v>
      </c>
      <c r="C1540" s="1">
        <v>27635.7</v>
      </c>
      <c r="D1540" s="1">
        <v>27751.15</v>
      </c>
      <c r="E1540" s="1">
        <v>26850.05</v>
      </c>
      <c r="F1540" s="1">
        <v>26948.1</v>
      </c>
    </row>
    <row r="1541" spans="1:6" x14ac:dyDescent="0.25">
      <c r="A1541" s="1" t="s">
        <v>67</v>
      </c>
      <c r="B1541" s="1">
        <v>46043</v>
      </c>
      <c r="C1541" s="1">
        <v>26777.599999999999</v>
      </c>
      <c r="D1541" s="1">
        <v>27107.1</v>
      </c>
      <c r="E1541" s="1">
        <v>26602.95</v>
      </c>
      <c r="F1541" s="1">
        <v>26871.25</v>
      </c>
    </row>
    <row r="1542" spans="1:6" x14ac:dyDescent="0.25">
      <c r="A1542" s="1" t="s">
        <v>67</v>
      </c>
      <c r="B1542" s="1">
        <v>46044</v>
      </c>
      <c r="C1542" s="1">
        <v>27153.85</v>
      </c>
      <c r="D1542" s="1">
        <v>27453.35</v>
      </c>
      <c r="E1542" s="1">
        <v>26954.65</v>
      </c>
      <c r="F1542" s="1">
        <v>27110.2</v>
      </c>
    </row>
    <row r="1543" spans="1:6" x14ac:dyDescent="0.25">
      <c r="A1543" s="1" t="s">
        <v>67</v>
      </c>
      <c r="B1543" s="1">
        <v>46045</v>
      </c>
      <c r="C1543" s="1">
        <v>27171.05</v>
      </c>
      <c r="D1543" s="1">
        <v>27230.85</v>
      </c>
      <c r="E1543" s="1">
        <v>26766.7</v>
      </c>
      <c r="F1543" s="1">
        <v>26804.55</v>
      </c>
    </row>
    <row r="1544" spans="1:6" x14ac:dyDescent="0.25">
      <c r="A1544" s="1" t="s">
        <v>67</v>
      </c>
      <c r="B1544" s="1">
        <v>46049</v>
      </c>
      <c r="C1544" s="1">
        <v>26619.05</v>
      </c>
      <c r="D1544" s="1">
        <v>26728.799999999999</v>
      </c>
      <c r="E1544" s="1">
        <v>26218.3</v>
      </c>
      <c r="F1544" s="1">
        <v>26554</v>
      </c>
    </row>
    <row r="1545" spans="1:6" x14ac:dyDescent="0.25">
      <c r="A1545" s="1" t="s">
        <v>67</v>
      </c>
      <c r="B1545" s="1">
        <v>46050</v>
      </c>
      <c r="C1545" s="1">
        <v>26530.35</v>
      </c>
      <c r="D1545" s="1">
        <v>26781.7</v>
      </c>
      <c r="E1545" s="1">
        <v>26236.7</v>
      </c>
      <c r="F1545" s="1">
        <v>26737.599999999999</v>
      </c>
    </row>
    <row r="1546" spans="1:6" x14ac:dyDescent="0.25">
      <c r="A1546" s="1" t="s">
        <v>67</v>
      </c>
      <c r="B1546" s="1">
        <v>46051</v>
      </c>
      <c r="C1546" s="1">
        <v>26763</v>
      </c>
      <c r="D1546" s="1">
        <v>26775.35</v>
      </c>
      <c r="E1546" s="1">
        <v>26170.45</v>
      </c>
      <c r="F1546" s="1">
        <v>26555.4</v>
      </c>
    </row>
    <row r="1547" spans="1:6" x14ac:dyDescent="0.25">
      <c r="A1547" s="1" t="s">
        <v>67</v>
      </c>
      <c r="B1547" s="1">
        <v>46052</v>
      </c>
      <c r="C1547" s="1">
        <v>26287.3</v>
      </c>
      <c r="D1547" s="1">
        <v>26812.15</v>
      </c>
      <c r="E1547" s="1">
        <v>26253.55</v>
      </c>
      <c r="F1547" s="1">
        <v>26750.35</v>
      </c>
    </row>
    <row r="1548" spans="1:6" x14ac:dyDescent="0.25">
      <c r="A1548" s="1" t="s">
        <v>67</v>
      </c>
      <c r="B1548" s="1">
        <v>46054</v>
      </c>
      <c r="C1548" s="1">
        <v>26855.8</v>
      </c>
      <c r="D1548" s="1">
        <v>27144.85</v>
      </c>
      <c r="E1548" s="1">
        <v>25928.5</v>
      </c>
      <c r="F1548" s="1">
        <v>26190.65</v>
      </c>
    </row>
    <row r="1549" spans="1:6" x14ac:dyDescent="0.25">
      <c r="A1549" s="1" t="s">
        <v>67</v>
      </c>
      <c r="B1549" s="1">
        <v>46055</v>
      </c>
      <c r="C1549" s="1">
        <v>26177.7</v>
      </c>
      <c r="D1549" s="1">
        <v>26784.7</v>
      </c>
      <c r="E1549" s="1">
        <v>26006.7</v>
      </c>
      <c r="F1549" s="1">
        <v>26749.15</v>
      </c>
    </row>
    <row r="1550" spans="1:6" x14ac:dyDescent="0.25">
      <c r="A1550" s="1" t="s">
        <v>67</v>
      </c>
      <c r="B1550" s="1">
        <v>46056</v>
      </c>
      <c r="C1550" s="1">
        <v>28088.1</v>
      </c>
      <c r="D1550" s="1">
        <v>28095.85</v>
      </c>
      <c r="E1550" s="1">
        <v>27271.8</v>
      </c>
      <c r="F1550" s="1">
        <v>27500.3</v>
      </c>
    </row>
    <row r="1551" spans="1:6" x14ac:dyDescent="0.25">
      <c r="A1551" s="1" t="s">
        <v>67</v>
      </c>
      <c r="B1551" s="1">
        <v>46057</v>
      </c>
      <c r="C1551" s="1">
        <v>27565.599999999999</v>
      </c>
      <c r="D1551" s="1">
        <v>27932.400000000001</v>
      </c>
      <c r="E1551" s="1">
        <v>27427.4</v>
      </c>
      <c r="F1551" s="1">
        <v>27825.4</v>
      </c>
    </row>
    <row r="1552" spans="1:6" x14ac:dyDescent="0.25">
      <c r="A1552" s="1" t="s">
        <v>67</v>
      </c>
      <c r="B1552" s="1">
        <v>46058</v>
      </c>
      <c r="C1552" s="1">
        <v>27880.25</v>
      </c>
      <c r="D1552" s="1">
        <v>27882.95</v>
      </c>
      <c r="E1552" s="1">
        <v>27463.75</v>
      </c>
      <c r="F1552" s="1">
        <v>27664.5</v>
      </c>
    </row>
    <row r="1553" spans="1:6" x14ac:dyDescent="0.25">
      <c r="A1553" s="1" t="s">
        <v>67</v>
      </c>
      <c r="B1553" s="1">
        <v>46059</v>
      </c>
      <c r="C1553" s="1">
        <v>27602.55</v>
      </c>
      <c r="D1553" s="1">
        <v>27643.45</v>
      </c>
      <c r="E1553" s="1">
        <v>27307.55</v>
      </c>
      <c r="F1553" s="1">
        <v>27519.55</v>
      </c>
    </row>
    <row r="1554" spans="1:6" x14ac:dyDescent="0.25">
      <c r="A1554" s="1" t="s">
        <v>67</v>
      </c>
      <c r="B1554" s="1">
        <v>46062</v>
      </c>
      <c r="C1554" s="1">
        <v>27673.95</v>
      </c>
      <c r="D1554" s="1">
        <v>27819.75</v>
      </c>
      <c r="E1554" s="1">
        <v>27479.05</v>
      </c>
      <c r="F1554" s="1">
        <v>27791.45</v>
      </c>
    </row>
    <row r="1555" spans="1:6" x14ac:dyDescent="0.25">
      <c r="A1555" s="1" t="s">
        <v>67</v>
      </c>
      <c r="B1555" s="1">
        <v>46063</v>
      </c>
      <c r="C1555" s="1">
        <v>27866.25</v>
      </c>
      <c r="D1555" s="1">
        <v>28279.85</v>
      </c>
      <c r="E1555" s="1">
        <v>27771.1</v>
      </c>
      <c r="F1555" s="1">
        <v>28173.200000000001</v>
      </c>
    </row>
    <row r="1556" spans="1:6" x14ac:dyDescent="0.25">
      <c r="A1556" s="1" t="s">
        <v>67</v>
      </c>
      <c r="B1556" s="1">
        <v>46064</v>
      </c>
      <c r="C1556" s="1">
        <v>28351.9</v>
      </c>
      <c r="D1556" s="1">
        <v>28811.25</v>
      </c>
      <c r="E1556" s="1">
        <v>28296.2</v>
      </c>
      <c r="F1556" s="1">
        <v>28538.7</v>
      </c>
    </row>
    <row r="1557" spans="1:6" x14ac:dyDescent="0.25">
      <c r="A1557" s="1" t="s">
        <v>67</v>
      </c>
      <c r="B1557" s="1">
        <v>46065</v>
      </c>
      <c r="C1557" s="1">
        <v>28607.15</v>
      </c>
      <c r="D1557" s="1">
        <v>28615.05</v>
      </c>
      <c r="E1557" s="1">
        <v>28360.1</v>
      </c>
      <c r="F1557" s="1">
        <v>28504.05</v>
      </c>
    </row>
    <row r="1558" spans="1:6" x14ac:dyDescent="0.25">
      <c r="A1558" s="1" t="s">
        <v>67</v>
      </c>
      <c r="B1558" s="1">
        <v>46066</v>
      </c>
      <c r="C1558" s="1">
        <v>28305.55</v>
      </c>
      <c r="D1558" s="1">
        <v>28503.15</v>
      </c>
      <c r="E1558" s="1">
        <v>28161.25</v>
      </c>
      <c r="F1558" s="1">
        <v>28234.3</v>
      </c>
    </row>
    <row r="1559" spans="1:6" x14ac:dyDescent="0.25">
      <c r="A1559" s="1" t="s">
        <v>67</v>
      </c>
      <c r="B1559" s="1">
        <v>46069</v>
      </c>
      <c r="C1559" s="1">
        <v>28204.15</v>
      </c>
      <c r="D1559" s="1">
        <v>28308.05</v>
      </c>
      <c r="E1559" s="1">
        <v>27928.3</v>
      </c>
      <c r="F1559" s="1">
        <v>28028.2</v>
      </c>
    </row>
    <row r="1560" spans="1:6" x14ac:dyDescent="0.25">
      <c r="A1560" s="1" t="s">
        <v>67</v>
      </c>
      <c r="B1560" s="1">
        <v>46070</v>
      </c>
      <c r="C1560" s="1">
        <v>27991.35</v>
      </c>
      <c r="D1560" s="1">
        <v>28197.9</v>
      </c>
      <c r="E1560" s="1">
        <v>27866.6</v>
      </c>
      <c r="F1560" s="1">
        <v>28174.55</v>
      </c>
    </row>
    <row r="1561" spans="1:6" x14ac:dyDescent="0.25">
      <c r="A1561" s="1" t="s">
        <v>67</v>
      </c>
      <c r="B1561" s="1">
        <v>46071</v>
      </c>
      <c r="C1561" s="1">
        <v>28202.65</v>
      </c>
      <c r="D1561" s="1">
        <v>28376.799999999999</v>
      </c>
      <c r="E1561" s="1">
        <v>28085.599999999999</v>
      </c>
      <c r="F1561" s="1">
        <v>28327.599999999999</v>
      </c>
    </row>
    <row r="1562" spans="1:6" x14ac:dyDescent="0.25">
      <c r="A1562" s="1" t="s">
        <v>67</v>
      </c>
      <c r="B1562" s="1">
        <v>46072</v>
      </c>
      <c r="C1562" s="1">
        <v>28348.799999999999</v>
      </c>
      <c r="D1562" s="1">
        <v>28496.85</v>
      </c>
      <c r="E1562" s="1">
        <v>27670.45</v>
      </c>
      <c r="F1562" s="1">
        <v>27734</v>
      </c>
    </row>
    <row r="1563" spans="1:6" x14ac:dyDescent="0.25">
      <c r="A1563" s="1" t="s">
        <v>67</v>
      </c>
      <c r="B1563" s="1">
        <v>46073</v>
      </c>
      <c r="C1563" s="1">
        <v>27734.7</v>
      </c>
      <c r="D1563" s="1">
        <v>27933.85</v>
      </c>
      <c r="E1563" s="1">
        <v>27617.45</v>
      </c>
      <c r="F1563" s="1">
        <v>27846.799999999999</v>
      </c>
    </row>
    <row r="1564" spans="1:6" x14ac:dyDescent="0.25">
      <c r="A1564" s="1" t="s">
        <v>67</v>
      </c>
      <c r="B1564" s="1">
        <v>46076</v>
      </c>
      <c r="C1564" s="1">
        <v>27974.05</v>
      </c>
      <c r="D1564" s="1">
        <v>28159.3</v>
      </c>
      <c r="E1564" s="1">
        <v>27913.95</v>
      </c>
      <c r="F1564" s="1">
        <v>28077</v>
      </c>
    </row>
    <row r="1565" spans="1:6" x14ac:dyDescent="0.25">
      <c r="A1565" s="1" t="s">
        <v>67</v>
      </c>
      <c r="B1565" s="1">
        <v>46077</v>
      </c>
      <c r="C1565" s="1">
        <v>27932.5</v>
      </c>
      <c r="D1565" s="1">
        <v>27991.95</v>
      </c>
      <c r="E1565" s="1">
        <v>27772.95</v>
      </c>
      <c r="F1565" s="1">
        <v>27950</v>
      </c>
    </row>
    <row r="1566" spans="1:6" x14ac:dyDescent="0.25">
      <c r="A1566" s="1" t="s">
        <v>67</v>
      </c>
      <c r="B1566" s="1">
        <v>46078</v>
      </c>
      <c r="C1566" s="1">
        <v>27969.15</v>
      </c>
      <c r="D1566" s="1">
        <v>28574.25</v>
      </c>
      <c r="E1566" s="1">
        <v>27917.5</v>
      </c>
      <c r="F1566" s="1">
        <v>28466.5</v>
      </c>
    </row>
    <row r="1567" spans="1:6" x14ac:dyDescent="0.25">
      <c r="A1567" s="1" t="s">
        <v>67</v>
      </c>
      <c r="B1567" s="1">
        <v>46079</v>
      </c>
      <c r="C1567" s="1">
        <v>28556.85</v>
      </c>
      <c r="D1567" s="1">
        <v>28719.599999999999</v>
      </c>
      <c r="E1567" s="1">
        <v>28459.45</v>
      </c>
      <c r="F1567" s="1">
        <v>28693.4</v>
      </c>
    </row>
    <row r="1568" spans="1:6" x14ac:dyDescent="0.25">
      <c r="A1568" s="1" t="s">
        <v>67</v>
      </c>
      <c r="B1568" s="1">
        <v>46080</v>
      </c>
      <c r="C1568" s="1">
        <v>28623.200000000001</v>
      </c>
      <c r="D1568" s="1">
        <v>28687</v>
      </c>
      <c r="E1568" s="1">
        <v>28094.25</v>
      </c>
      <c r="F1568" s="1">
        <v>28158.85</v>
      </c>
    </row>
    <row r="1569" spans="1:6" x14ac:dyDescent="0.25">
      <c r="A1569" s="1" t="s">
        <v>67</v>
      </c>
      <c r="B1569" s="1">
        <v>46083</v>
      </c>
      <c r="C1569" s="1">
        <v>27196.400000000001</v>
      </c>
      <c r="D1569" s="1">
        <v>27951.85</v>
      </c>
      <c r="E1569" s="1">
        <v>27133.55</v>
      </c>
      <c r="F1569" s="1">
        <v>27540.1</v>
      </c>
    </row>
    <row r="1570" spans="1:6" x14ac:dyDescent="0.25">
      <c r="A1570" s="1" t="s">
        <v>67</v>
      </c>
      <c r="B1570" s="1">
        <v>46085</v>
      </c>
      <c r="C1570" s="1">
        <v>26979.4</v>
      </c>
      <c r="D1570" s="1">
        <v>27012.55</v>
      </c>
      <c r="E1570" s="1">
        <v>26607.200000000001</v>
      </c>
      <c r="F1570" s="1">
        <v>26867.15</v>
      </c>
    </row>
    <row r="1571" spans="1:6" x14ac:dyDescent="0.25">
      <c r="A1571" s="1" t="s">
        <v>67</v>
      </c>
      <c r="B1571" s="1">
        <v>46086</v>
      </c>
      <c r="C1571" s="1">
        <v>27053.5</v>
      </c>
      <c r="D1571" s="1">
        <v>27471.45</v>
      </c>
      <c r="E1571" s="1">
        <v>26909.8</v>
      </c>
      <c r="F1571" s="1">
        <v>27366.799999999999</v>
      </c>
    </row>
    <row r="1572" spans="1:6" x14ac:dyDescent="0.25">
      <c r="A1572" s="1" t="s">
        <v>67</v>
      </c>
      <c r="B1572" s="1">
        <v>46087</v>
      </c>
      <c r="C1572" s="1">
        <v>27247.200000000001</v>
      </c>
      <c r="D1572" s="1">
        <v>27321.05</v>
      </c>
      <c r="E1572" s="1">
        <v>27042.400000000001</v>
      </c>
      <c r="F1572" s="1">
        <v>27076.400000000001</v>
      </c>
    </row>
    <row r="1573" spans="1:6" x14ac:dyDescent="0.25">
      <c r="A1573" s="1" t="s">
        <v>67</v>
      </c>
      <c r="B1573" s="1">
        <v>46090</v>
      </c>
      <c r="C1573" s="1">
        <v>26478.45</v>
      </c>
      <c r="D1573" s="1">
        <v>26478.45</v>
      </c>
      <c r="E1573" s="1">
        <v>25733.5</v>
      </c>
      <c r="F1573" s="1">
        <v>25965.95</v>
      </c>
    </row>
    <row r="1574" spans="1:6" x14ac:dyDescent="0.25">
      <c r="A1574" s="1" t="s">
        <v>67</v>
      </c>
      <c r="B1574" s="1">
        <v>46091</v>
      </c>
      <c r="C1574" s="1">
        <v>26462.75</v>
      </c>
      <c r="D1574" s="1">
        <v>26840.7</v>
      </c>
      <c r="E1574" s="1">
        <v>26200.400000000001</v>
      </c>
      <c r="F1574" s="1">
        <v>26770.55</v>
      </c>
    </row>
    <row r="1575" spans="1:6" x14ac:dyDescent="0.25">
      <c r="A1575" s="1" t="s">
        <v>67</v>
      </c>
      <c r="B1575" s="1">
        <v>46092</v>
      </c>
      <c r="C1575" s="1">
        <v>26761.75</v>
      </c>
      <c r="D1575" s="1">
        <v>26851.65</v>
      </c>
      <c r="E1575" s="1">
        <v>25875.200000000001</v>
      </c>
      <c r="F1575" s="1">
        <v>25926</v>
      </c>
    </row>
    <row r="1576" spans="1:6" x14ac:dyDescent="0.25">
      <c r="A1576" s="1" t="s">
        <v>67</v>
      </c>
      <c r="B1576" s="1">
        <v>46093</v>
      </c>
      <c r="C1576" s="1">
        <v>25688.3</v>
      </c>
      <c r="D1576" s="1">
        <v>25721.3</v>
      </c>
      <c r="E1576" s="1">
        <v>25046</v>
      </c>
      <c r="F1576" s="1">
        <v>25098</v>
      </c>
    </row>
    <row r="1577" spans="1:6" x14ac:dyDescent="0.25">
      <c r="A1577" s="1" t="s">
        <v>67</v>
      </c>
      <c r="B1577" s="1">
        <v>46094</v>
      </c>
      <c r="C1577" s="1">
        <v>24784.2</v>
      </c>
      <c r="D1577" s="1">
        <v>24918.25</v>
      </c>
      <c r="E1577" s="1">
        <v>24100.6</v>
      </c>
      <c r="F1577" s="1">
        <v>24195.1</v>
      </c>
    </row>
    <row r="1578" spans="1:6" x14ac:dyDescent="0.25">
      <c r="A1578" s="1" t="s">
        <v>67</v>
      </c>
      <c r="B1578" s="1">
        <v>46097</v>
      </c>
      <c r="C1578" s="1">
        <v>24085.95</v>
      </c>
      <c r="D1578" s="1">
        <v>24718.75</v>
      </c>
      <c r="E1578" s="1">
        <v>23863.4</v>
      </c>
      <c r="F1578" s="1">
        <v>24599.1</v>
      </c>
    </row>
    <row r="1579" spans="1:6" x14ac:dyDescent="0.25">
      <c r="A1579" s="1" t="s">
        <v>67</v>
      </c>
      <c r="B1579" s="1">
        <v>46098</v>
      </c>
      <c r="C1579" s="1">
        <v>24703.9</v>
      </c>
      <c r="D1579" s="1">
        <v>25195.45</v>
      </c>
      <c r="E1579" s="1">
        <v>24518.7</v>
      </c>
      <c r="F1579" s="1">
        <v>25117.1</v>
      </c>
    </row>
    <row r="1580" spans="1:6" x14ac:dyDescent="0.25">
      <c r="A1580" s="1" t="s">
        <v>67</v>
      </c>
      <c r="B1580" s="1">
        <v>46099</v>
      </c>
      <c r="C1580" s="1">
        <v>25262.25</v>
      </c>
      <c r="D1580" s="1">
        <v>25703.7</v>
      </c>
      <c r="E1580" s="1">
        <v>25250.799999999999</v>
      </c>
      <c r="F1580" s="1">
        <v>25598.85</v>
      </c>
    </row>
    <row r="1581" spans="1:6" x14ac:dyDescent="0.25">
      <c r="A1581" s="1" t="s">
        <v>67</v>
      </c>
      <c r="B1581" s="1">
        <v>46100</v>
      </c>
      <c r="C1581" s="1">
        <v>25078.799999999999</v>
      </c>
      <c r="D1581" s="1">
        <v>25093.15</v>
      </c>
      <c r="E1581" s="1">
        <v>24380.55</v>
      </c>
      <c r="F1581" s="1">
        <v>24509.9</v>
      </c>
    </row>
    <row r="1582" spans="1:6" x14ac:dyDescent="0.25">
      <c r="A1582" s="1" t="s">
        <v>67</v>
      </c>
      <c r="B1582" s="1">
        <v>46101</v>
      </c>
      <c r="C1582" s="1">
        <v>24635.75</v>
      </c>
      <c r="D1582" s="1">
        <v>24955.55</v>
      </c>
      <c r="E1582" s="1">
        <v>24611.3</v>
      </c>
      <c r="F1582" s="1">
        <v>24715.9</v>
      </c>
    </row>
    <row r="1583" spans="1:6" x14ac:dyDescent="0.25">
      <c r="A1583" s="1" t="s">
        <v>67</v>
      </c>
      <c r="B1583" s="1">
        <v>46104</v>
      </c>
      <c r="C1583" s="1">
        <v>24433.45</v>
      </c>
      <c r="D1583" s="1">
        <v>24433.45</v>
      </c>
      <c r="E1583" s="1">
        <v>23865.65</v>
      </c>
      <c r="F1583" s="1">
        <v>23934.75</v>
      </c>
    </row>
    <row r="1584" spans="1:6" x14ac:dyDescent="0.25">
      <c r="A1584" s="1" t="s">
        <v>67</v>
      </c>
      <c r="B1584" s="1">
        <v>46105</v>
      </c>
      <c r="C1584" s="1">
        <v>24458.45</v>
      </c>
      <c r="D1584" s="1">
        <v>24728.3</v>
      </c>
      <c r="E1584" s="1">
        <v>24055.45</v>
      </c>
      <c r="F1584" s="1">
        <v>24515.25</v>
      </c>
    </row>
    <row r="1585" spans="1:6" x14ac:dyDescent="0.25">
      <c r="A1585" s="1" t="s">
        <v>67</v>
      </c>
      <c r="B1585" s="1">
        <v>46106</v>
      </c>
      <c r="C1585" s="1">
        <v>24875.55</v>
      </c>
      <c r="D1585" s="1">
        <v>25267.95</v>
      </c>
      <c r="E1585" s="1">
        <v>24814.5</v>
      </c>
      <c r="F1585" s="1">
        <v>25058.6</v>
      </c>
    </row>
    <row r="1586" spans="1:6" x14ac:dyDescent="0.25">
      <c r="A1586" s="1" t="s">
        <v>67</v>
      </c>
      <c r="B1586" s="1">
        <v>46108</v>
      </c>
      <c r="C1586" s="1">
        <v>24834.25</v>
      </c>
      <c r="D1586" s="1">
        <v>24847.7</v>
      </c>
      <c r="E1586" s="1">
        <v>24301.4</v>
      </c>
      <c r="F1586" s="1">
        <v>24351.95</v>
      </c>
    </row>
    <row r="1587" spans="1:6" x14ac:dyDescent="0.25">
      <c r="A1587" s="1" t="s">
        <v>67</v>
      </c>
      <c r="B1587" s="1">
        <v>46111</v>
      </c>
      <c r="C1587" s="1">
        <v>23969.1</v>
      </c>
      <c r="D1587" s="1">
        <v>24193.1</v>
      </c>
      <c r="E1587" s="1">
        <v>23708.2</v>
      </c>
      <c r="F1587" s="1">
        <v>23769.599999999999</v>
      </c>
    </row>
    <row r="1588" spans="1:6" x14ac:dyDescent="0.25">
      <c r="A1588" s="1" t="s">
        <v>67</v>
      </c>
      <c r="B1588" s="1">
        <v>46113</v>
      </c>
      <c r="C1588" s="1">
        <v>24557.4</v>
      </c>
      <c r="D1588" s="1">
        <v>24646.5</v>
      </c>
      <c r="E1588" s="1">
        <v>24132.400000000001</v>
      </c>
      <c r="F1588" s="1">
        <v>24238.85</v>
      </c>
    </row>
    <row r="1589" spans="1:6" x14ac:dyDescent="0.25">
      <c r="A1589" s="1" t="s">
        <v>67</v>
      </c>
      <c r="B1589" s="1">
        <v>46114</v>
      </c>
      <c r="C1589" s="1">
        <v>23929.05</v>
      </c>
      <c r="D1589" s="1">
        <v>24171.200000000001</v>
      </c>
      <c r="E1589" s="1">
        <v>23560.1</v>
      </c>
      <c r="F1589" s="1">
        <v>24089.65</v>
      </c>
    </row>
    <row r="1590" spans="1:6" x14ac:dyDescent="0.25">
      <c r="A1590" s="1" t="s">
        <v>67</v>
      </c>
      <c r="B1590" s="1">
        <v>46118</v>
      </c>
      <c r="C1590" s="1">
        <v>24151.95</v>
      </c>
      <c r="D1590" s="1">
        <v>24379.75</v>
      </c>
      <c r="E1590" s="1">
        <v>23896.45</v>
      </c>
      <c r="F1590" s="1">
        <v>24350.400000000001</v>
      </c>
    </row>
    <row r="1591" spans="1:6" x14ac:dyDescent="0.25">
      <c r="A1591" s="1" t="s">
        <v>67</v>
      </c>
      <c r="B1591" s="1">
        <v>46119</v>
      </c>
      <c r="C1591" s="1">
        <v>24227.75</v>
      </c>
      <c r="D1591" s="1">
        <v>24430.1</v>
      </c>
      <c r="E1591" s="1">
        <v>23839.1</v>
      </c>
      <c r="F1591" s="1">
        <v>24373.3</v>
      </c>
    </row>
    <row r="1592" spans="1:6" x14ac:dyDescent="0.25">
      <c r="A1592" s="1" t="s">
        <v>67</v>
      </c>
      <c r="B1592" s="1">
        <v>46120</v>
      </c>
      <c r="C1592" s="1">
        <v>25396.85</v>
      </c>
      <c r="D1592" s="1">
        <v>26113.7</v>
      </c>
      <c r="E1592" s="1">
        <v>25295.95</v>
      </c>
      <c r="F1592" s="1">
        <v>26002.95</v>
      </c>
    </row>
    <row r="1593" spans="1:6" x14ac:dyDescent="0.25">
      <c r="A1593" s="1" t="s">
        <v>67</v>
      </c>
      <c r="B1593" s="1">
        <v>46121</v>
      </c>
      <c r="C1593" s="1">
        <v>25971.5</v>
      </c>
      <c r="D1593" s="1">
        <v>26133.65</v>
      </c>
      <c r="E1593" s="1">
        <v>25643.35</v>
      </c>
      <c r="F1593" s="1">
        <v>25901.9</v>
      </c>
    </row>
    <row r="1594" spans="1:6" x14ac:dyDescent="0.25">
      <c r="A1594" s="1" t="s">
        <v>67</v>
      </c>
      <c r="B1594" s="1">
        <v>46122</v>
      </c>
      <c r="C1594" s="1">
        <v>26018.3</v>
      </c>
      <c r="D1594" s="1">
        <v>26678.55</v>
      </c>
      <c r="E1594" s="1">
        <v>26002.45</v>
      </c>
      <c r="F1594" s="1">
        <v>26640.9</v>
      </c>
    </row>
    <row r="1595" spans="1:6" x14ac:dyDescent="0.25">
      <c r="A1595" s="1" t="s">
        <v>67</v>
      </c>
      <c r="B1595" s="1">
        <v>46125</v>
      </c>
      <c r="C1595" s="1">
        <v>26041.599999999999</v>
      </c>
      <c r="D1595" s="1">
        <v>26231.4</v>
      </c>
      <c r="E1595" s="1">
        <v>25910.45</v>
      </c>
      <c r="F1595" s="1">
        <v>26084.55</v>
      </c>
    </row>
    <row r="1596" spans="1:6" x14ac:dyDescent="0.25">
      <c r="A1596" s="1" t="s">
        <v>67</v>
      </c>
      <c r="B1596" s="1">
        <v>46127</v>
      </c>
      <c r="C1596" s="1">
        <v>26462.15</v>
      </c>
      <c r="D1596" s="1">
        <v>26709.599999999999</v>
      </c>
      <c r="E1596" s="1">
        <v>26304.1</v>
      </c>
      <c r="F1596" s="1">
        <v>26483.1</v>
      </c>
    </row>
    <row r="1597" spans="1:6" x14ac:dyDescent="0.25">
      <c r="A1597" s="1" t="s">
        <v>67</v>
      </c>
      <c r="B1597" s="1">
        <v>46128</v>
      </c>
      <c r="C1597" s="1">
        <v>26649</v>
      </c>
      <c r="D1597" s="1">
        <v>26729.4</v>
      </c>
      <c r="E1597" s="1">
        <v>26233.3</v>
      </c>
      <c r="F1597" s="1">
        <v>26382.75</v>
      </c>
    </row>
    <row r="1598" spans="1:6" x14ac:dyDescent="0.25">
      <c r="A1598" s="1" t="s">
        <v>67</v>
      </c>
      <c r="B1598" s="1">
        <v>46129</v>
      </c>
      <c r="C1598" s="1">
        <v>26319.200000000001</v>
      </c>
      <c r="D1598" s="1">
        <v>26581.55</v>
      </c>
      <c r="E1598" s="1">
        <v>26190.3</v>
      </c>
      <c r="F1598" s="1">
        <v>26435</v>
      </c>
    </row>
    <row r="1599" spans="1:6" x14ac:dyDescent="0.25">
      <c r="A1599" s="1" t="s">
        <v>67</v>
      </c>
      <c r="B1599" s="1">
        <v>46132</v>
      </c>
      <c r="C1599" s="1">
        <v>26447.1</v>
      </c>
      <c r="D1599" s="1">
        <v>26630.15</v>
      </c>
      <c r="E1599" s="1">
        <v>26173.85</v>
      </c>
      <c r="F1599" s="1">
        <v>26522.3</v>
      </c>
    </row>
    <row r="1600" spans="1:6" x14ac:dyDescent="0.25">
      <c r="A1600" s="1" t="s">
        <v>67</v>
      </c>
      <c r="B1600" s="1">
        <v>46133</v>
      </c>
      <c r="C1600" s="1">
        <v>26509.75</v>
      </c>
      <c r="D1600" s="1">
        <v>26746.1</v>
      </c>
      <c r="E1600" s="1">
        <v>26493.9</v>
      </c>
      <c r="F1600" s="1">
        <v>26625.200000000001</v>
      </c>
    </row>
    <row r="1601" spans="1:6" x14ac:dyDescent="0.25">
      <c r="A1601" s="1" t="s">
        <v>67</v>
      </c>
      <c r="B1601" s="1">
        <v>46134</v>
      </c>
      <c r="C1601" s="1">
        <v>26521.3</v>
      </c>
      <c r="D1601" s="1">
        <v>26718.6</v>
      </c>
      <c r="E1601" s="1">
        <v>26416.799999999999</v>
      </c>
      <c r="F1601" s="1">
        <v>26450.25</v>
      </c>
    </row>
    <row r="1602" spans="1:6" x14ac:dyDescent="0.25">
      <c r="A1602" s="1" t="s">
        <v>67</v>
      </c>
      <c r="B1602" s="1">
        <v>46135</v>
      </c>
      <c r="C1602" s="1">
        <v>26270.400000000001</v>
      </c>
      <c r="D1602" s="1">
        <v>26278.95</v>
      </c>
      <c r="E1602" s="1">
        <v>25746.7</v>
      </c>
      <c r="F1602" s="1">
        <v>25828.1</v>
      </c>
    </row>
    <row r="1603" spans="1:6" x14ac:dyDescent="0.25">
      <c r="A1603" s="1" t="s">
        <v>67</v>
      </c>
      <c r="B1603" s="1">
        <v>46136</v>
      </c>
      <c r="C1603" s="1">
        <v>25867.85</v>
      </c>
      <c r="D1603" s="1">
        <v>26035.599999999999</v>
      </c>
      <c r="E1603" s="1">
        <v>25559.8</v>
      </c>
      <c r="F1603" s="1">
        <v>25652.85</v>
      </c>
    </row>
    <row r="1604" spans="1:6" x14ac:dyDescent="0.25">
      <c r="A1604" s="1" t="s">
        <v>67</v>
      </c>
      <c r="B1604" s="1">
        <v>46139</v>
      </c>
      <c r="C1604" s="1">
        <v>25779.9</v>
      </c>
      <c r="D1604" s="1">
        <v>26126.25</v>
      </c>
      <c r="E1604" s="1">
        <v>25776</v>
      </c>
      <c r="F1604" s="1">
        <v>26053.15</v>
      </c>
    </row>
    <row r="1605" spans="1:6" x14ac:dyDescent="0.25">
      <c r="A1605" s="1" t="s">
        <v>67</v>
      </c>
      <c r="B1605" s="1">
        <v>46140</v>
      </c>
      <c r="C1605" s="1">
        <v>26076.45</v>
      </c>
      <c r="D1605" s="1">
        <v>26219.25</v>
      </c>
      <c r="E1605" s="1">
        <v>25762.05</v>
      </c>
      <c r="F1605" s="1">
        <v>25790.35</v>
      </c>
    </row>
    <row r="1606" spans="1:6" x14ac:dyDescent="0.25">
      <c r="A1606" s="1" t="s">
        <v>67</v>
      </c>
      <c r="B1606" s="1">
        <v>46141</v>
      </c>
      <c r="C1606" s="1">
        <v>25936.85</v>
      </c>
      <c r="D1606" s="1">
        <v>26484.799999999999</v>
      </c>
      <c r="E1606" s="1">
        <v>25935.45</v>
      </c>
      <c r="F1606" s="1">
        <v>26085.75</v>
      </c>
    </row>
    <row r="1607" spans="1:6" x14ac:dyDescent="0.25">
      <c r="A1607" s="1" t="s">
        <v>67</v>
      </c>
      <c r="B1607" s="1">
        <v>46142</v>
      </c>
      <c r="C1607" s="1">
        <v>25855.45</v>
      </c>
      <c r="D1607" s="1">
        <v>26034</v>
      </c>
      <c r="E1607" s="1">
        <v>25441.55</v>
      </c>
      <c r="F1607" s="1">
        <v>25917.599999999999</v>
      </c>
    </row>
    <row r="1608" spans="1:6" x14ac:dyDescent="0.25">
      <c r="A1608" s="1" t="s">
        <v>67</v>
      </c>
      <c r="B1608" s="1">
        <v>46146</v>
      </c>
      <c r="C1608" s="1">
        <v>26133.5</v>
      </c>
      <c r="D1608" s="1">
        <v>26496.65</v>
      </c>
      <c r="E1608" s="1">
        <v>25810.1</v>
      </c>
      <c r="F1608" s="1">
        <v>26027.7</v>
      </c>
    </row>
    <row r="1609" spans="1:6" x14ac:dyDescent="0.25">
      <c r="A1609" s="1" t="s">
        <v>67</v>
      </c>
      <c r="B1609" s="1">
        <v>46147</v>
      </c>
      <c r="C1609" s="1">
        <v>26033.15</v>
      </c>
      <c r="D1609" s="1">
        <v>26253.200000000001</v>
      </c>
      <c r="E1609" s="1">
        <v>25805.8</v>
      </c>
      <c r="F1609" s="1">
        <v>26192.1</v>
      </c>
    </row>
    <row r="1610" spans="1:6" x14ac:dyDescent="0.25">
      <c r="A1610" s="1" t="s">
        <v>67</v>
      </c>
      <c r="B1610" s="1">
        <v>46148</v>
      </c>
      <c r="C1610" s="1">
        <v>26502.15</v>
      </c>
      <c r="D1610" s="1">
        <v>26871.9</v>
      </c>
      <c r="E1610" s="1">
        <v>26278.95</v>
      </c>
      <c r="F1610" s="1">
        <v>26823</v>
      </c>
    </row>
    <row r="1611" spans="1:6" x14ac:dyDescent="0.25">
      <c r="A1611" s="1" t="s">
        <v>67</v>
      </c>
      <c r="B1611" s="1">
        <v>46149</v>
      </c>
      <c r="C1611" s="1">
        <v>26983.15</v>
      </c>
      <c r="D1611" s="1">
        <v>27533.200000000001</v>
      </c>
      <c r="E1611" s="1">
        <v>26878.15</v>
      </c>
      <c r="F1611" s="1">
        <v>27339.95</v>
      </c>
    </row>
    <row r="1612" spans="1:6" x14ac:dyDescent="0.25">
      <c r="A1612" s="1" t="s">
        <v>67</v>
      </c>
      <c r="B1612" s="1">
        <v>46150</v>
      </c>
      <c r="C1612" s="1">
        <v>27244.799999999999</v>
      </c>
      <c r="D1612" s="1">
        <v>27392.15</v>
      </c>
      <c r="E1612" s="1">
        <v>27082.6</v>
      </c>
      <c r="F1612" s="1">
        <v>27259.85</v>
      </c>
    </row>
    <row r="1613" spans="1:6" x14ac:dyDescent="0.25">
      <c r="A1613" s="1" t="s">
        <v>67</v>
      </c>
      <c r="B1613" s="1">
        <v>46153</v>
      </c>
      <c r="C1613" s="1">
        <v>26874.2</v>
      </c>
      <c r="D1613" s="1">
        <v>26978</v>
      </c>
      <c r="E1613" s="1">
        <v>26600.7</v>
      </c>
      <c r="F1613" s="1">
        <v>26753.4</v>
      </c>
    </row>
    <row r="1614" spans="1:6" x14ac:dyDescent="0.25">
      <c r="A1614" s="1" t="s">
        <v>67</v>
      </c>
      <c r="B1614" s="1">
        <v>46154</v>
      </c>
      <c r="C1614" s="1">
        <v>26700</v>
      </c>
      <c r="D1614" s="1">
        <v>26794.1</v>
      </c>
      <c r="E1614" s="1">
        <v>26091.45</v>
      </c>
      <c r="F1614" s="1">
        <v>26142.6</v>
      </c>
    </row>
    <row r="1615" spans="1:6" x14ac:dyDescent="0.25">
      <c r="A1615" s="1" t="s">
        <v>67</v>
      </c>
      <c r="B1615" s="1">
        <v>46155</v>
      </c>
      <c r="C1615" s="1">
        <v>26140.5</v>
      </c>
      <c r="D1615" s="1">
        <v>26296.799999999999</v>
      </c>
      <c r="E1615" s="1">
        <v>25842.15</v>
      </c>
      <c r="F1615" s="1">
        <v>25888.95</v>
      </c>
    </row>
    <row r="1616" spans="1:6" x14ac:dyDescent="0.25">
      <c r="A1616" s="1" t="s">
        <v>67</v>
      </c>
      <c r="B1616" s="1">
        <v>46156</v>
      </c>
      <c r="C1616" s="1">
        <v>26092.7</v>
      </c>
      <c r="D1616" s="1">
        <v>26117.1</v>
      </c>
      <c r="E1616" s="1">
        <v>25603.15</v>
      </c>
      <c r="F1616" s="1">
        <v>26049.7</v>
      </c>
    </row>
    <row r="1617" spans="1:6" x14ac:dyDescent="0.25">
      <c r="A1617" s="1" t="s">
        <v>67</v>
      </c>
      <c r="B1617" s="1">
        <v>46157</v>
      </c>
      <c r="C1617" s="1">
        <v>26131.35</v>
      </c>
      <c r="D1617" s="1">
        <v>26357.9</v>
      </c>
      <c r="E1617" s="1">
        <v>25967.15</v>
      </c>
      <c r="F1617" s="1">
        <v>26070.7</v>
      </c>
    </row>
    <row r="1618" spans="1:6" x14ac:dyDescent="0.25">
      <c r="A1618" s="1" t="s">
        <v>67</v>
      </c>
      <c r="B1618" s="1">
        <v>46160</v>
      </c>
      <c r="C1618" s="1">
        <v>25909.3</v>
      </c>
      <c r="D1618" s="1">
        <v>25921.1</v>
      </c>
      <c r="E1618" s="1">
        <v>25486.400000000001</v>
      </c>
      <c r="F1618" s="1">
        <v>25624.3</v>
      </c>
    </row>
    <row r="1619" spans="1:6" x14ac:dyDescent="0.25">
      <c r="A1619" s="1" t="s">
        <v>67</v>
      </c>
      <c r="B1619" s="1">
        <v>46161</v>
      </c>
      <c r="C1619" s="1">
        <v>25680.45</v>
      </c>
      <c r="D1619" s="1">
        <v>25962.15</v>
      </c>
      <c r="E1619" s="1">
        <v>25520.9</v>
      </c>
      <c r="F1619" s="1">
        <v>25698.799999999999</v>
      </c>
    </row>
    <row r="1620" spans="1:6" x14ac:dyDescent="0.25">
      <c r="A1620" s="1" t="s">
        <v>67</v>
      </c>
      <c r="B1620" s="1">
        <v>46162</v>
      </c>
      <c r="C1620" s="1">
        <v>25538.9</v>
      </c>
      <c r="D1620" s="1">
        <v>26007.35</v>
      </c>
      <c r="E1620" s="1">
        <v>25325.599999999999</v>
      </c>
      <c r="F1620" s="1">
        <v>25914.35</v>
      </c>
    </row>
    <row r="1621" spans="1:6" x14ac:dyDescent="0.25">
      <c r="A1621" s="1" t="s">
        <v>67</v>
      </c>
      <c r="B1621" s="1">
        <v>46163</v>
      </c>
      <c r="C1621" s="1">
        <v>26147.7</v>
      </c>
      <c r="D1621" s="1">
        <v>26235.200000000001</v>
      </c>
      <c r="E1621" s="1">
        <v>25901</v>
      </c>
      <c r="F1621" s="1">
        <v>25986.25</v>
      </c>
    </row>
    <row r="1622" spans="1:6" x14ac:dyDescent="0.25">
      <c r="A1622" s="1" t="s">
        <v>67</v>
      </c>
      <c r="B1622" s="1">
        <v>46164</v>
      </c>
      <c r="C1622" s="1">
        <v>26045.85</v>
      </c>
      <c r="D1622" s="1">
        <v>26215.200000000001</v>
      </c>
      <c r="E1622" s="1">
        <v>25980.6</v>
      </c>
      <c r="F1622" s="1">
        <v>26017.1</v>
      </c>
    </row>
    <row r="1623" spans="1:6" x14ac:dyDescent="0.25">
      <c r="A1623" s="1" t="s">
        <v>67</v>
      </c>
      <c r="B1623" s="1">
        <v>46167</v>
      </c>
      <c r="C1623" s="1">
        <v>26400.45</v>
      </c>
      <c r="D1623" s="1">
        <v>26655.599999999999</v>
      </c>
      <c r="E1623" s="1">
        <v>26319.599999999999</v>
      </c>
      <c r="F1623" s="1">
        <v>26463.05</v>
      </c>
    </row>
    <row r="1624" spans="1:6" x14ac:dyDescent="0.25">
      <c r="A1624" s="1" t="s">
        <v>67</v>
      </c>
      <c r="B1624" s="1">
        <v>46168</v>
      </c>
      <c r="C1624" s="1">
        <v>26457.7</v>
      </c>
      <c r="D1624" s="1">
        <v>26605.9</v>
      </c>
      <c r="E1624" s="1">
        <v>26362.05</v>
      </c>
      <c r="F1624" s="1">
        <v>26480.5</v>
      </c>
    </row>
    <row r="1625" spans="1:6" x14ac:dyDescent="0.25">
      <c r="A1625" s="1" t="s">
        <v>67</v>
      </c>
      <c r="B1625" s="1">
        <v>46169</v>
      </c>
      <c r="C1625" s="1">
        <v>26509.25</v>
      </c>
      <c r="D1625" s="1">
        <v>26976.55</v>
      </c>
      <c r="E1625" s="1">
        <v>26473.75</v>
      </c>
      <c r="F1625" s="1">
        <v>26864.2</v>
      </c>
    </row>
    <row r="1626" spans="1:6" x14ac:dyDescent="0.25">
      <c r="A1626" s="1" t="s">
        <v>67</v>
      </c>
      <c r="B1626" s="1">
        <v>46171</v>
      </c>
      <c r="C1626" s="1">
        <v>26915.4</v>
      </c>
      <c r="D1626" s="1">
        <v>27033.599999999999</v>
      </c>
      <c r="E1626" s="1">
        <v>26210.2</v>
      </c>
      <c r="F1626" s="1">
        <v>26338.45</v>
      </c>
    </row>
    <row r="1627" spans="1:6" x14ac:dyDescent="0.25">
      <c r="A1627" s="1" t="s">
        <v>67</v>
      </c>
      <c r="B1627" s="1">
        <v>46174</v>
      </c>
      <c r="C1627" s="1">
        <v>26439.200000000001</v>
      </c>
      <c r="D1627" s="1">
        <v>26548.1</v>
      </c>
      <c r="E1627" s="1">
        <v>25830.2</v>
      </c>
      <c r="F1627" s="1">
        <v>25891.9</v>
      </c>
    </row>
    <row r="1628" spans="1:6" x14ac:dyDescent="0.25">
      <c r="A1628" s="1" t="s">
        <v>67</v>
      </c>
      <c r="B1628" s="1">
        <v>46175</v>
      </c>
      <c r="C1628" s="1">
        <v>25595.05</v>
      </c>
      <c r="D1628" s="1">
        <v>26135.3</v>
      </c>
      <c r="E1628" s="1">
        <v>25581.15</v>
      </c>
      <c r="F1628" s="1">
        <v>26079.45</v>
      </c>
    </row>
    <row r="1629" spans="1:6" x14ac:dyDescent="0.25">
      <c r="A1629" s="1" t="s">
        <v>67</v>
      </c>
      <c r="B1629" s="1">
        <v>46176</v>
      </c>
      <c r="C1629" s="1">
        <v>26069.200000000001</v>
      </c>
      <c r="D1629" s="1">
        <v>26215.3</v>
      </c>
      <c r="E1629" s="1">
        <v>25881.599999999999</v>
      </c>
      <c r="F1629" s="1">
        <v>26092.799999999999</v>
      </c>
    </row>
    <row r="1630" spans="1:6" x14ac:dyDescent="0.25">
      <c r="A1630" s="1" t="s">
        <v>67</v>
      </c>
      <c r="B1630" s="1">
        <v>46177</v>
      </c>
      <c r="C1630" s="1">
        <v>25981.25</v>
      </c>
      <c r="D1630" s="1">
        <v>26447.35</v>
      </c>
      <c r="E1630" s="1">
        <v>25897.35</v>
      </c>
      <c r="F1630" s="1">
        <v>26144.35</v>
      </c>
    </row>
    <row r="1631" spans="1:6" x14ac:dyDescent="0.25">
      <c r="A1631" s="1" t="s">
        <v>67</v>
      </c>
      <c r="B1631" s="1">
        <v>46178</v>
      </c>
      <c r="C1631" s="1">
        <v>26279.95</v>
      </c>
      <c r="D1631" s="1">
        <v>26349.9</v>
      </c>
      <c r="E1631" s="1">
        <v>25997.75</v>
      </c>
      <c r="F1631" s="1">
        <v>26165.95</v>
      </c>
    </row>
    <row r="1632" spans="1:6" x14ac:dyDescent="0.25">
      <c r="A1632" s="1" t="s">
        <v>67</v>
      </c>
      <c r="B1632" s="1">
        <v>46181</v>
      </c>
      <c r="C1632" s="1">
        <v>25798.6</v>
      </c>
      <c r="D1632" s="1">
        <v>25926.15</v>
      </c>
      <c r="E1632" s="1">
        <v>25615</v>
      </c>
      <c r="F1632" s="1">
        <v>25681.8</v>
      </c>
    </row>
    <row r="1633" spans="1:6" x14ac:dyDescent="0.25">
      <c r="A1633" s="1" t="s">
        <v>67</v>
      </c>
      <c r="B1633" s="1">
        <v>46182</v>
      </c>
      <c r="C1633" s="1">
        <v>25937.200000000001</v>
      </c>
      <c r="D1633" s="1">
        <v>26115.45</v>
      </c>
      <c r="E1633" s="1">
        <v>25807.95</v>
      </c>
      <c r="F1633" s="1">
        <v>26025.65</v>
      </c>
    </row>
    <row r="1634" spans="1:6" x14ac:dyDescent="0.25">
      <c r="A1634" s="1" t="s">
        <v>67</v>
      </c>
      <c r="B1634" s="1">
        <v>46183</v>
      </c>
      <c r="C1634" s="1">
        <v>26015</v>
      </c>
      <c r="D1634" s="1">
        <v>26087.15</v>
      </c>
      <c r="E1634" s="1">
        <v>25759.3</v>
      </c>
      <c r="F1634" s="1">
        <v>25833.55</v>
      </c>
    </row>
    <row r="1635" spans="1:6" x14ac:dyDescent="0.25">
      <c r="A1635" s="1" t="s">
        <v>67</v>
      </c>
      <c r="B1635" s="1">
        <v>46184</v>
      </c>
      <c r="C1635" s="1">
        <v>25678.35</v>
      </c>
      <c r="D1635" s="1">
        <v>25957.5</v>
      </c>
      <c r="E1635" s="1">
        <v>25516.6</v>
      </c>
      <c r="F1635" s="1">
        <v>25790.35</v>
      </c>
    </row>
    <row r="1636" spans="1:6" x14ac:dyDescent="0.25">
      <c r="A1636" s="1" t="s">
        <v>67</v>
      </c>
      <c r="B1636" s="1">
        <v>46185</v>
      </c>
      <c r="C1636" s="1">
        <v>26089.65</v>
      </c>
      <c r="D1636" s="1">
        <v>26322</v>
      </c>
      <c r="E1636" s="1">
        <v>25877.5</v>
      </c>
      <c r="F1636" s="1">
        <v>26293.85</v>
      </c>
    </row>
    <row r="1637" spans="1:6" x14ac:dyDescent="0.25">
      <c r="A1637" s="1" t="s">
        <v>67</v>
      </c>
      <c r="B1637" s="1">
        <v>46188</v>
      </c>
      <c r="C1637" s="1">
        <v>26692</v>
      </c>
      <c r="D1637" s="1">
        <v>27127.45</v>
      </c>
      <c r="E1637" s="1">
        <v>26650.400000000001</v>
      </c>
      <c r="F1637" s="1">
        <v>26977.5</v>
      </c>
    </row>
    <row r="1638" spans="1:6" x14ac:dyDescent="0.25">
      <c r="A1638" s="1" t="s">
        <v>67</v>
      </c>
      <c r="B1638" s="1">
        <v>46189</v>
      </c>
      <c r="C1638" s="1">
        <v>27133.55</v>
      </c>
      <c r="D1638" s="1">
        <v>27133.55</v>
      </c>
      <c r="E1638" s="1">
        <v>26850.95</v>
      </c>
      <c r="F1638" s="1">
        <v>26891.55</v>
      </c>
    </row>
    <row r="1639" spans="1:6" x14ac:dyDescent="0.25">
      <c r="A1639" s="1" t="s">
        <v>67</v>
      </c>
      <c r="B1639" s="1">
        <v>46190</v>
      </c>
      <c r="C1639" s="1">
        <v>26972.15</v>
      </c>
      <c r="D1639" s="1">
        <v>26986.2</v>
      </c>
      <c r="E1639" s="1">
        <v>26548.7</v>
      </c>
      <c r="F1639" s="1">
        <v>26724.400000000001</v>
      </c>
    </row>
    <row r="1640" spans="1:6" x14ac:dyDescent="0.25">
      <c r="A1640" s="1" t="s">
        <v>67</v>
      </c>
      <c r="B1640" s="1">
        <v>46191</v>
      </c>
      <c r="C1640" s="1">
        <v>26784.1</v>
      </c>
      <c r="D1640" s="1">
        <v>26843.35</v>
      </c>
      <c r="E1640" s="1">
        <v>26654.25</v>
      </c>
      <c r="F1640" s="1">
        <v>26746.400000000001</v>
      </c>
    </row>
    <row r="1641" spans="1:6" x14ac:dyDescent="0.25">
      <c r="A1641" s="1" t="s">
        <v>67</v>
      </c>
      <c r="B1641" s="1">
        <v>46192</v>
      </c>
      <c r="C1641" s="1">
        <v>26668</v>
      </c>
      <c r="D1641" s="1">
        <v>26692.3</v>
      </c>
      <c r="E1641" s="1">
        <v>26462.05</v>
      </c>
      <c r="F1641" s="1">
        <v>26583.35</v>
      </c>
    </row>
    <row r="1642" spans="1:6" x14ac:dyDescent="0.25">
      <c r="A1642" s="1" t="s">
        <v>67</v>
      </c>
      <c r="B1642" s="1">
        <v>46195</v>
      </c>
      <c r="C1642" s="1">
        <v>26710.3</v>
      </c>
      <c r="D1642" s="1">
        <v>26802.1</v>
      </c>
      <c r="E1642" s="1">
        <v>26609.9</v>
      </c>
      <c r="F1642" s="1">
        <v>26703.45</v>
      </c>
    </row>
    <row r="1643" spans="1:6" x14ac:dyDescent="0.25">
      <c r="A1643" s="1" t="s">
        <v>67</v>
      </c>
      <c r="B1643" s="1">
        <v>46196</v>
      </c>
      <c r="C1643" s="1">
        <v>26718.65</v>
      </c>
      <c r="D1643" s="1">
        <v>26732.65</v>
      </c>
      <c r="E1643" s="1">
        <v>26437.55</v>
      </c>
      <c r="F1643" s="1">
        <v>26496.5</v>
      </c>
    </row>
    <row r="1644" spans="1:6" x14ac:dyDescent="0.25">
      <c r="A1644" s="1" t="s">
        <v>67</v>
      </c>
      <c r="B1644" s="1">
        <v>46197</v>
      </c>
      <c r="C1644" s="1">
        <v>26438.15</v>
      </c>
      <c r="D1644" s="1">
        <v>26558.45</v>
      </c>
      <c r="E1644" s="1">
        <v>26241.599999999999</v>
      </c>
      <c r="F1644" s="1">
        <v>26384.35</v>
      </c>
    </row>
    <row r="1645" spans="1:6" x14ac:dyDescent="0.25">
      <c r="A1645" s="1" t="s">
        <v>67</v>
      </c>
      <c r="B1645" s="1">
        <v>46198</v>
      </c>
      <c r="C1645" s="1">
        <v>26559.25</v>
      </c>
      <c r="D1645" s="1">
        <v>27258.2</v>
      </c>
      <c r="E1645" s="1">
        <v>26549.85</v>
      </c>
      <c r="F1645" s="1">
        <v>26977.75</v>
      </c>
    </row>
    <row r="1646" spans="1:6" x14ac:dyDescent="0.25">
      <c r="A1646" s="1" t="s">
        <v>67</v>
      </c>
      <c r="B1646" s="1">
        <v>46202</v>
      </c>
      <c r="C1646" s="1">
        <v>26858.2</v>
      </c>
      <c r="D1646" s="1">
        <v>26978.400000000001</v>
      </c>
      <c r="E1646" s="1">
        <v>26334.75</v>
      </c>
      <c r="F1646" s="1">
        <v>26417.599999999999</v>
      </c>
    </row>
    <row r="1647" spans="1:6" x14ac:dyDescent="0.25">
      <c r="A1647" s="1" t="s">
        <v>67</v>
      </c>
      <c r="B1647" s="1">
        <v>46203</v>
      </c>
      <c r="C1647" s="1">
        <v>26537</v>
      </c>
      <c r="D1647" s="1">
        <v>26664.3</v>
      </c>
      <c r="E1647" s="1">
        <v>26067.7</v>
      </c>
      <c r="F1647" s="1">
        <v>26479.8</v>
      </c>
    </row>
    <row r="1648" spans="1:6" x14ac:dyDescent="0.25">
      <c r="A1648" s="1" t="s">
        <v>67</v>
      </c>
      <c r="B1648" s="1">
        <v>46204</v>
      </c>
      <c r="C1648" s="1">
        <v>26585.15</v>
      </c>
      <c r="D1648" s="1">
        <v>26965.45</v>
      </c>
      <c r="E1648" s="1">
        <v>26585.15</v>
      </c>
      <c r="F1648" s="1">
        <v>26783.200000000001</v>
      </c>
    </row>
    <row r="1649" spans="1:6" x14ac:dyDescent="0.25">
      <c r="A1649" s="1" t="s">
        <v>67</v>
      </c>
      <c r="B1649" s="1">
        <v>46205</v>
      </c>
      <c r="C1649" s="1">
        <v>26965.55</v>
      </c>
      <c r="D1649" s="1">
        <v>27141.4</v>
      </c>
      <c r="E1649" s="1">
        <v>26777.1</v>
      </c>
      <c r="F1649" s="1">
        <v>27108.2</v>
      </c>
    </row>
    <row r="1650" spans="1:6" x14ac:dyDescent="0.25">
      <c r="A1650" s="1" t="s">
        <v>67</v>
      </c>
      <c r="B1650" s="1">
        <v>46206</v>
      </c>
      <c r="C1650" s="1">
        <v>27303.25</v>
      </c>
      <c r="D1650" s="1">
        <v>27308.799999999999</v>
      </c>
      <c r="E1650" s="1">
        <v>26949.35</v>
      </c>
      <c r="F1650" s="1">
        <v>26988.1</v>
      </c>
    </row>
    <row r="1651" spans="1:6" x14ac:dyDescent="0.25">
      <c r="A1651" s="1" t="s">
        <v>67</v>
      </c>
      <c r="B1651" s="1">
        <v>46209</v>
      </c>
      <c r="C1651" s="1">
        <v>27047.5</v>
      </c>
      <c r="D1651" s="1">
        <v>27388.5</v>
      </c>
      <c r="E1651" s="1">
        <v>26936.15</v>
      </c>
      <c r="F1651" s="1">
        <v>27353.95</v>
      </c>
    </row>
    <row r="1652" spans="1:6" x14ac:dyDescent="0.25">
      <c r="A1652" s="1" t="s">
        <v>67</v>
      </c>
      <c r="B1652" s="1">
        <v>46210</v>
      </c>
      <c r="C1652" s="1">
        <v>27414.25</v>
      </c>
      <c r="D1652" s="1">
        <v>27452.799999999999</v>
      </c>
      <c r="E1652" s="1">
        <v>27244.6</v>
      </c>
      <c r="F1652" s="1">
        <v>27343.5</v>
      </c>
    </row>
    <row r="1653" spans="1:6" x14ac:dyDescent="0.25">
      <c r="A1653" s="1" t="s">
        <v>67</v>
      </c>
      <c r="B1653" s="1">
        <v>46211</v>
      </c>
      <c r="C1653" s="1">
        <v>27168</v>
      </c>
      <c r="D1653" s="1">
        <v>27367.15</v>
      </c>
      <c r="E1653" s="1">
        <v>26620.85</v>
      </c>
      <c r="F1653" s="1">
        <v>26733.4</v>
      </c>
    </row>
    <row r="1654" spans="1:6" x14ac:dyDescent="0.25">
      <c r="A1654" s="1" t="s">
        <v>67</v>
      </c>
      <c r="B1654" s="1">
        <v>46212</v>
      </c>
      <c r="C1654" s="1">
        <v>26775.95</v>
      </c>
      <c r="D1654" s="1">
        <v>26946.2</v>
      </c>
      <c r="E1654" s="1">
        <v>26613.9</v>
      </c>
      <c r="F1654" s="1">
        <v>26676.35</v>
      </c>
    </row>
    <row r="1655" spans="1:6" x14ac:dyDescent="0.25">
      <c r="A1655" s="1" t="s">
        <v>67</v>
      </c>
      <c r="B1655" s="1">
        <v>46213</v>
      </c>
      <c r="C1655" s="1">
        <v>26847.45</v>
      </c>
      <c r="D1655" s="1">
        <v>26976.45</v>
      </c>
      <c r="E1655" s="1">
        <v>26774.15</v>
      </c>
      <c r="F1655" s="1">
        <v>26860.75</v>
      </c>
    </row>
    <row r="1656" spans="1:6" x14ac:dyDescent="0.25">
      <c r="A1656" s="1" t="s">
        <v>67</v>
      </c>
      <c r="B1656" s="1">
        <v>46216</v>
      </c>
      <c r="C1656" s="1">
        <v>26631.599999999999</v>
      </c>
      <c r="D1656" s="1">
        <v>27033.85</v>
      </c>
      <c r="E1656" s="1">
        <v>26490</v>
      </c>
      <c r="F1656" s="1">
        <v>26981.5</v>
      </c>
    </row>
    <row r="1657" spans="1:6" x14ac:dyDescent="0.25">
      <c r="A1657" s="1" t="s">
        <v>67</v>
      </c>
      <c r="B1657" s="1">
        <v>46217</v>
      </c>
      <c r="C1657" s="1">
        <v>26753.75</v>
      </c>
      <c r="D1657" s="1">
        <v>26817</v>
      </c>
      <c r="E1657" s="1">
        <v>26504.6</v>
      </c>
      <c r="F1657" s="1">
        <v>26547.5</v>
      </c>
    </row>
    <row r="1658" spans="1:6" x14ac:dyDescent="0.25">
      <c r="A1658" s="1" t="s">
        <v>67</v>
      </c>
      <c r="B1658" s="1">
        <v>46218</v>
      </c>
      <c r="C1658" s="1">
        <v>26603.7</v>
      </c>
      <c r="D1658" s="1">
        <v>26844.35</v>
      </c>
      <c r="E1658" s="1">
        <v>26573.200000000001</v>
      </c>
      <c r="F1658" s="1">
        <v>26645.1</v>
      </c>
    </row>
    <row r="1659" spans="1:6" x14ac:dyDescent="0.25">
      <c r="A1659" s="1" t="s">
        <v>67</v>
      </c>
      <c r="B1659" s="1">
        <v>46219</v>
      </c>
      <c r="C1659" s="1">
        <v>26754.45</v>
      </c>
      <c r="D1659" s="1">
        <v>26910.2</v>
      </c>
      <c r="E1659" s="1">
        <v>26668.65</v>
      </c>
      <c r="F1659" s="1">
        <v>26767.55</v>
      </c>
    </row>
    <row r="1660" spans="1:6" x14ac:dyDescent="0.25">
      <c r="A1660" s="1" t="s">
        <v>67</v>
      </c>
      <c r="B1660" s="1">
        <v>46220</v>
      </c>
      <c r="C1660" s="1">
        <v>26777.15</v>
      </c>
      <c r="D1660" s="1">
        <v>27120.75</v>
      </c>
      <c r="E1660" s="1">
        <v>26765.75</v>
      </c>
      <c r="F1660" s="1">
        <v>27099.75</v>
      </c>
    </row>
    <row r="1661" spans="1:6" x14ac:dyDescent="0.25">
      <c r="A1661" s="1" t="s">
        <v>67</v>
      </c>
      <c r="B1661" s="1">
        <v>46223</v>
      </c>
      <c r="C1661" s="1">
        <v>27103.1</v>
      </c>
      <c r="D1661" s="1">
        <v>27103.1</v>
      </c>
      <c r="E1661" s="1">
        <v>26806.05</v>
      </c>
      <c r="F1661" s="1">
        <v>27028.35</v>
      </c>
    </row>
    <row r="1662" spans="1:6" x14ac:dyDescent="0.25">
      <c r="A1662" s="1" t="s">
        <v>67</v>
      </c>
      <c r="B1662" s="1">
        <v>46224</v>
      </c>
      <c r="C1662" s="1">
        <v>27031.8</v>
      </c>
      <c r="D1662" s="1">
        <v>27328.5</v>
      </c>
      <c r="E1662" s="1">
        <v>26912.25</v>
      </c>
      <c r="F1662" s="1">
        <v>27280.6</v>
      </c>
    </row>
    <row r="1663" spans="1:6" x14ac:dyDescent="0.25">
      <c r="A1663" s="1" t="s">
        <v>67</v>
      </c>
      <c r="B1663" s="1">
        <v>46225</v>
      </c>
      <c r="C1663" s="1">
        <v>27348.7</v>
      </c>
      <c r="D1663" s="1">
        <v>27549.35</v>
      </c>
      <c r="E1663" s="1">
        <v>27280.05</v>
      </c>
      <c r="F1663" s="1">
        <v>27329.65</v>
      </c>
    </row>
    <row r="1664" spans="1:6" x14ac:dyDescent="0.25">
      <c r="A1664" s="1" t="s">
        <v>67</v>
      </c>
      <c r="B1664" s="1">
        <v>46226</v>
      </c>
      <c r="C1664" s="1">
        <v>27262.45</v>
      </c>
      <c r="D1664" s="1">
        <v>27760.65</v>
      </c>
      <c r="E1664" s="1">
        <v>27230.45</v>
      </c>
      <c r="F1664" s="1">
        <v>27520.799999999999</v>
      </c>
    </row>
    <row r="1665" spans="1:6" x14ac:dyDescent="0.25">
      <c r="A1665" s="1" t="s">
        <v>67</v>
      </c>
      <c r="B1665" s="1">
        <v>46227</v>
      </c>
      <c r="C1665" s="1">
        <v>27350.75</v>
      </c>
      <c r="D1665" s="1">
        <v>27353.200000000001</v>
      </c>
      <c r="E1665" s="1">
        <v>27032</v>
      </c>
      <c r="F1665" s="1">
        <v>27217.95</v>
      </c>
    </row>
    <row r="1666" spans="1:6" x14ac:dyDescent="0.25">
      <c r="A1666" s="1" t="s">
        <v>67</v>
      </c>
      <c r="B1666" s="1">
        <v>46230</v>
      </c>
      <c r="C1666" s="1">
        <v>27443.65</v>
      </c>
      <c r="D1666" s="1">
        <v>27675.55</v>
      </c>
      <c r="E1666" s="1">
        <v>27365.25</v>
      </c>
      <c r="F1666" s="1">
        <v>27653.4</v>
      </c>
    </row>
    <row r="1667" spans="1:6" x14ac:dyDescent="0.25">
      <c r="A1667" s="1" t="s">
        <v>67</v>
      </c>
      <c r="B1667" s="1">
        <v>46231</v>
      </c>
      <c r="C1667" s="1">
        <v>27604.3</v>
      </c>
      <c r="D1667" s="1">
        <v>27916.85</v>
      </c>
      <c r="E1667" s="1">
        <v>27559.200000000001</v>
      </c>
      <c r="F1667" s="1">
        <v>27843.9</v>
      </c>
    </row>
    <row r="1668" spans="1:6" x14ac:dyDescent="0.25">
      <c r="A1668" s="1" t="s">
        <v>67</v>
      </c>
      <c r="B1668" s="1">
        <v>46232</v>
      </c>
      <c r="C1668" s="1">
        <v>27935.200000000001</v>
      </c>
      <c r="D1668" s="1">
        <v>28135.5</v>
      </c>
      <c r="E1668" s="1">
        <v>27731</v>
      </c>
      <c r="F1668" s="1">
        <v>27825.95</v>
      </c>
    </row>
    <row r="1669" spans="1:6" x14ac:dyDescent="0.25">
      <c r="A1669" s="1" t="s">
        <v>67</v>
      </c>
      <c r="B1669" s="1">
        <v>46233</v>
      </c>
      <c r="C1669" s="1">
        <v>27841.25</v>
      </c>
      <c r="D1669" s="1">
        <v>28326</v>
      </c>
      <c r="E1669" s="1">
        <v>27720.25</v>
      </c>
      <c r="F1669" s="1">
        <v>28279.1</v>
      </c>
    </row>
    <row r="1670" spans="1:6" x14ac:dyDescent="0.25">
      <c r="A1670" s="1" t="s">
        <v>67</v>
      </c>
      <c r="B1670" s="1">
        <v>46234</v>
      </c>
      <c r="C1670" s="1">
        <v>28550.95</v>
      </c>
      <c r="D1670" s="1">
        <v>28871.65</v>
      </c>
      <c r="E1670" s="1">
        <v>28168</v>
      </c>
      <c r="F1670" s="1">
        <v>28744.15</v>
      </c>
    </row>
    <row r="1671" spans="1:6" x14ac:dyDescent="0.25">
      <c r="A1671" s="1" t="s">
        <v>67</v>
      </c>
      <c r="B1671" s="1">
        <v>46237</v>
      </c>
      <c r="C1671" s="1">
        <v>29058.85</v>
      </c>
      <c r="D1671" s="1">
        <v>29169.200000000001</v>
      </c>
      <c r="E1671" s="1">
        <v>28813.75</v>
      </c>
      <c r="F1671" s="1">
        <v>29168.95</v>
      </c>
    </row>
    <row r="1672" spans="1:6" x14ac:dyDescent="0.25">
      <c r="A1672" s="1" t="s">
        <v>67</v>
      </c>
      <c r="B1672" s="1">
        <v>46238</v>
      </c>
      <c r="C1672" s="1">
        <v>29082.45</v>
      </c>
      <c r="D1672" s="1">
        <v>29107.200000000001</v>
      </c>
      <c r="E1672" s="1">
        <v>28893.15</v>
      </c>
      <c r="F1672" s="1">
        <v>29041.3</v>
      </c>
    </row>
    <row r="1673" spans="1:6" x14ac:dyDescent="0.25">
      <c r="A1673" s="1" t="s">
        <v>67</v>
      </c>
      <c r="B1673" s="1">
        <v>46239</v>
      </c>
      <c r="C1673" s="1">
        <v>29231.3</v>
      </c>
      <c r="D1673" s="1">
        <v>29489.200000000001</v>
      </c>
      <c r="E1673" s="1">
        <v>29113.1</v>
      </c>
      <c r="F1673" s="1">
        <v>29411.55</v>
      </c>
    </row>
    <row r="1674" spans="1:6" x14ac:dyDescent="0.25">
      <c r="A1674" s="1" t="s">
        <v>67</v>
      </c>
      <c r="B1674" s="1">
        <v>46240</v>
      </c>
      <c r="C1674" s="1">
        <v>29375.4</v>
      </c>
      <c r="D1674" s="1">
        <v>29383.95</v>
      </c>
      <c r="E1674" s="1">
        <v>29050.75</v>
      </c>
      <c r="F1674" s="1">
        <v>29113.4</v>
      </c>
    </row>
    <row r="1675" spans="1:6" x14ac:dyDescent="0.25">
      <c r="A1675" s="1" t="s">
        <v>67</v>
      </c>
      <c r="B1675" s="1">
        <v>46241</v>
      </c>
      <c r="C1675" s="1">
        <v>29012.45</v>
      </c>
      <c r="D1675" s="1">
        <v>29647.9</v>
      </c>
      <c r="E1675" s="1">
        <v>29011.3</v>
      </c>
      <c r="F1675" s="1">
        <v>29647.9</v>
      </c>
    </row>
    <row r="1676" spans="1:6" x14ac:dyDescent="0.25">
      <c r="A1676" s="1" t="s">
        <v>67</v>
      </c>
      <c r="B1676" s="1">
        <v>46244</v>
      </c>
      <c r="C1676" s="1">
        <v>29696.15</v>
      </c>
      <c r="D1676" s="1">
        <v>29865.5</v>
      </c>
      <c r="E1676" s="1">
        <v>29576.1</v>
      </c>
      <c r="F1676" s="1">
        <v>29620.05</v>
      </c>
    </row>
    <row r="1677" spans="1:6" x14ac:dyDescent="0.25">
      <c r="A1677" s="1" t="s">
        <v>67</v>
      </c>
      <c r="B1677" s="1">
        <v>46245</v>
      </c>
      <c r="C1677" s="1">
        <v>29618.65</v>
      </c>
      <c r="D1677" s="1">
        <v>29713</v>
      </c>
      <c r="E1677" s="1">
        <v>29422.3</v>
      </c>
      <c r="F1677" s="1">
        <v>29458.55</v>
      </c>
    </row>
    <row r="1678" spans="1:6" x14ac:dyDescent="0.25">
      <c r="A1678" s="1" t="s">
        <v>67</v>
      </c>
      <c r="B1678" s="1">
        <v>46246</v>
      </c>
      <c r="C1678" s="1">
        <v>29476.25</v>
      </c>
      <c r="D1678" s="1">
        <v>29603.4</v>
      </c>
      <c r="E1678" s="1">
        <v>29306.1</v>
      </c>
      <c r="F1678" s="1">
        <v>29363.05</v>
      </c>
    </row>
    <row r="1679" spans="1:6" x14ac:dyDescent="0.25">
      <c r="A1679" s="1" t="s">
        <v>67</v>
      </c>
      <c r="B1679" s="1">
        <v>46247</v>
      </c>
      <c r="C1679" s="1">
        <v>29399.25</v>
      </c>
      <c r="D1679" s="1">
        <v>29508.35</v>
      </c>
      <c r="E1679" s="1">
        <v>29277</v>
      </c>
      <c r="F1679" s="1">
        <v>29392.15</v>
      </c>
    </row>
    <row r="1680" spans="1:6" x14ac:dyDescent="0.25">
      <c r="A1680" s="1" t="s">
        <v>67</v>
      </c>
      <c r="B1680" s="1">
        <v>46248</v>
      </c>
      <c r="C1680" s="1">
        <v>29277.95</v>
      </c>
      <c r="D1680" s="1">
        <v>29317.5</v>
      </c>
      <c r="E1680" s="1">
        <v>29120.6</v>
      </c>
      <c r="F1680" s="1">
        <v>29207.9</v>
      </c>
    </row>
    <row r="1681" spans="1:6" x14ac:dyDescent="0.25">
      <c r="A1681" s="1" t="s">
        <v>67</v>
      </c>
      <c r="B1681" s="1">
        <v>46251</v>
      </c>
      <c r="C1681" s="1">
        <v>29199.25</v>
      </c>
      <c r="D1681" s="1">
        <v>29384.5</v>
      </c>
      <c r="E1681" s="1">
        <v>29166.75</v>
      </c>
      <c r="F1681" s="1">
        <v>29178.1</v>
      </c>
    </row>
    <row r="1682" spans="1:6" x14ac:dyDescent="0.25">
      <c r="A1682" s="1" t="s">
        <v>67</v>
      </c>
      <c r="B1682" s="1">
        <v>46252</v>
      </c>
      <c r="C1682" s="1">
        <v>29182.7</v>
      </c>
      <c r="D1682" s="1">
        <v>29390.25</v>
      </c>
      <c r="E1682" s="1">
        <v>29178.65</v>
      </c>
      <c r="F1682" s="1">
        <v>29264.55</v>
      </c>
    </row>
    <row r="1683" spans="1:6" x14ac:dyDescent="0.25">
      <c r="A1683" s="1" t="s">
        <v>67</v>
      </c>
      <c r="B1683" s="1">
        <v>46253</v>
      </c>
      <c r="C1683" s="1">
        <v>29224.1</v>
      </c>
      <c r="D1683" s="1">
        <v>29317</v>
      </c>
      <c r="E1683" s="1">
        <v>29076.7</v>
      </c>
      <c r="F1683" s="1">
        <v>29185.4</v>
      </c>
    </row>
    <row r="1684" spans="1:6" x14ac:dyDescent="0.25">
      <c r="A1684" s="1" t="s">
        <v>67</v>
      </c>
      <c r="B1684" s="1">
        <v>46254</v>
      </c>
      <c r="C1684" s="1">
        <v>29316.25</v>
      </c>
      <c r="D1684" s="1">
        <v>29381.85</v>
      </c>
      <c r="E1684" s="1">
        <v>29165.200000000001</v>
      </c>
      <c r="F1684" s="1">
        <v>29301.75</v>
      </c>
    </row>
    <row r="1685" spans="1:6" x14ac:dyDescent="0.25">
      <c r="A1685" s="1" t="s">
        <v>67</v>
      </c>
      <c r="B1685" s="1">
        <v>46255</v>
      </c>
      <c r="C1685" s="1">
        <v>29331.1</v>
      </c>
      <c r="D1685" s="1">
        <v>29364.05</v>
      </c>
      <c r="E1685" s="1">
        <v>29087.1</v>
      </c>
      <c r="F1685" s="1">
        <v>29124.6</v>
      </c>
    </row>
    <row r="1686" spans="1:6" x14ac:dyDescent="0.25">
      <c r="A1686" s="1" t="s">
        <v>67</v>
      </c>
      <c r="B1686" s="1">
        <v>46258</v>
      </c>
      <c r="C1686" s="1">
        <v>29143.9</v>
      </c>
      <c r="D1686" s="1">
        <v>29229.05</v>
      </c>
      <c r="E1686" s="1">
        <v>28983.35</v>
      </c>
      <c r="F1686" s="1">
        <v>29101.3</v>
      </c>
    </row>
    <row r="1687" spans="1:6" x14ac:dyDescent="0.25">
      <c r="A1687" s="1" t="s">
        <v>67</v>
      </c>
      <c r="B1687" s="1">
        <v>46259</v>
      </c>
      <c r="C1687" s="1">
        <v>29048.3</v>
      </c>
      <c r="D1687" s="1">
        <v>29217.7</v>
      </c>
      <c r="E1687" s="1">
        <v>28894.95</v>
      </c>
      <c r="F1687" s="1">
        <v>29216.9</v>
      </c>
    </row>
    <row r="1688" spans="1:6" x14ac:dyDescent="0.25">
      <c r="A1688" s="1" t="s">
        <v>67</v>
      </c>
      <c r="B1688" s="1">
        <v>46260</v>
      </c>
      <c r="C1688" s="1">
        <v>29246.2</v>
      </c>
      <c r="D1688" s="1">
        <v>29276</v>
      </c>
      <c r="E1688" s="1">
        <v>28999.45</v>
      </c>
      <c r="F1688" s="1">
        <v>29000.15</v>
      </c>
    </row>
    <row r="1689" spans="1:6" x14ac:dyDescent="0.25">
      <c r="A1689" s="1" t="s">
        <v>67</v>
      </c>
      <c r="B1689" s="1">
        <v>46261</v>
      </c>
      <c r="C1689" s="1">
        <v>29057.9</v>
      </c>
      <c r="D1689" s="1">
        <v>29132.45</v>
      </c>
      <c r="E1689" s="1">
        <v>28827.599999999999</v>
      </c>
      <c r="F1689" s="1">
        <v>28883.5</v>
      </c>
    </row>
    <row r="1690" spans="1:6" x14ac:dyDescent="0.25">
      <c r="A1690" s="1" t="s">
        <v>67</v>
      </c>
      <c r="B1690" s="1">
        <v>46262</v>
      </c>
      <c r="C1690" s="1">
        <v>28959.85</v>
      </c>
      <c r="D1690" s="1">
        <v>29026.05</v>
      </c>
      <c r="E1690" s="1">
        <v>28674.05</v>
      </c>
      <c r="F1690" s="1">
        <v>28851.8</v>
      </c>
    </row>
    <row r="1691" spans="1:6" x14ac:dyDescent="0.25">
      <c r="A1691" s="1" t="s">
        <v>67</v>
      </c>
      <c r="B1691" s="1">
        <v>46265</v>
      </c>
      <c r="C1691" s="1">
        <v>28772.55</v>
      </c>
      <c r="D1691" s="1">
        <v>28933.3</v>
      </c>
      <c r="E1691" s="1">
        <v>28671.5</v>
      </c>
      <c r="F1691" s="1">
        <v>28841.5</v>
      </c>
    </row>
    <row r="1692" spans="1:6" x14ac:dyDescent="0.25">
      <c r="A1692" s="1" t="s">
        <v>67</v>
      </c>
      <c r="B1692" s="1">
        <v>46266</v>
      </c>
      <c r="C1692" s="1">
        <v>29090.3</v>
      </c>
      <c r="D1692" s="1">
        <v>29090.3</v>
      </c>
      <c r="E1692" s="1">
        <v>28244</v>
      </c>
      <c r="F1692" s="1">
        <v>28491.05</v>
      </c>
    </row>
    <row r="1693" spans="1:6" x14ac:dyDescent="0.25">
      <c r="A1693" s="1" t="s">
        <v>67</v>
      </c>
      <c r="B1693" s="1">
        <v>46267</v>
      </c>
      <c r="C1693" s="1">
        <v>28183.200000000001</v>
      </c>
      <c r="D1693" s="1">
        <v>28225.55</v>
      </c>
      <c r="E1693" s="1">
        <v>27541.65</v>
      </c>
      <c r="F1693" s="1">
        <v>27981.95</v>
      </c>
    </row>
    <row r="1694" spans="1:6" x14ac:dyDescent="0.25">
      <c r="A1694" s="1" t="s">
        <v>67</v>
      </c>
      <c r="B1694" s="1">
        <v>46268</v>
      </c>
      <c r="C1694" s="1">
        <v>28046.1</v>
      </c>
      <c r="D1694" s="1">
        <v>28080.3</v>
      </c>
      <c r="E1694" s="1">
        <v>27780.5</v>
      </c>
      <c r="F1694" s="1">
        <v>27837.4</v>
      </c>
    </row>
    <row r="1695" spans="1:6" x14ac:dyDescent="0.25">
      <c r="A1695" s="1" t="s">
        <v>67</v>
      </c>
      <c r="B1695" s="1">
        <v>46269</v>
      </c>
      <c r="C1695" s="1">
        <v>27873.95</v>
      </c>
      <c r="D1695" s="1">
        <v>27884.7</v>
      </c>
      <c r="E1695" s="1">
        <v>27673.7</v>
      </c>
      <c r="F1695" s="1">
        <v>27710.9</v>
      </c>
    </row>
    <row r="1696" spans="1:6" x14ac:dyDescent="0.25">
      <c r="A1696" s="1" t="s">
        <v>67</v>
      </c>
      <c r="B1696" s="1">
        <v>46272</v>
      </c>
      <c r="C1696" s="1">
        <v>27649.7</v>
      </c>
      <c r="D1696" s="1">
        <v>27785.55</v>
      </c>
      <c r="E1696" s="1">
        <v>27552.05</v>
      </c>
      <c r="F1696" s="1">
        <v>27698.75</v>
      </c>
    </row>
    <row r="1697" spans="1:6" x14ac:dyDescent="0.25">
      <c r="A1697" s="1" t="s">
        <v>67</v>
      </c>
      <c r="B1697" s="1">
        <v>46273</v>
      </c>
      <c r="C1697" s="1">
        <v>27675.9</v>
      </c>
      <c r="D1697" s="1">
        <v>27775.8</v>
      </c>
      <c r="E1697" s="1">
        <v>27457.15</v>
      </c>
      <c r="F1697" s="1">
        <v>27775.35</v>
      </c>
    </row>
    <row r="1698" spans="1:6" x14ac:dyDescent="0.25">
      <c r="A1698" s="1" t="s">
        <v>67</v>
      </c>
      <c r="B1698" s="1">
        <v>46274</v>
      </c>
      <c r="C1698" s="1">
        <v>27619.3</v>
      </c>
      <c r="D1698" s="1">
        <v>27752</v>
      </c>
      <c r="E1698" s="1">
        <v>27496.400000000001</v>
      </c>
      <c r="F1698" s="1">
        <v>27653.35</v>
      </c>
    </row>
    <row r="1699" spans="1:6" x14ac:dyDescent="0.25">
      <c r="A1699" s="1" t="s">
        <v>67</v>
      </c>
      <c r="B1699" s="1">
        <v>46275</v>
      </c>
      <c r="C1699" s="1">
        <v>27638.400000000001</v>
      </c>
      <c r="D1699" s="1">
        <v>27670.1</v>
      </c>
      <c r="E1699" s="1">
        <v>27384.799999999999</v>
      </c>
      <c r="F1699" s="1">
        <v>27540.95</v>
      </c>
    </row>
    <row r="1700" spans="1:6" x14ac:dyDescent="0.25">
      <c r="A1700" s="1" t="s">
        <v>67</v>
      </c>
      <c r="B1700" s="1">
        <v>46276</v>
      </c>
      <c r="C1700" s="1">
        <v>27326.85</v>
      </c>
      <c r="D1700" s="1">
        <v>27405.5</v>
      </c>
      <c r="E1700" s="1">
        <v>27094.95</v>
      </c>
      <c r="F1700" s="1">
        <v>27304.5</v>
      </c>
    </row>
    <row r="1701" spans="1:6" x14ac:dyDescent="0.25">
      <c r="A1701" s="1" t="s">
        <v>67</v>
      </c>
      <c r="B1701" s="1">
        <v>46280</v>
      </c>
      <c r="C1701" s="1">
        <v>27497.8</v>
      </c>
      <c r="D1701" s="1">
        <v>27501.75</v>
      </c>
      <c r="E1701" s="1">
        <v>26752.400000000001</v>
      </c>
      <c r="F1701" s="1">
        <v>26756.6</v>
      </c>
    </row>
    <row r="1702" spans="1:6" x14ac:dyDescent="0.25">
      <c r="A1702" s="1" t="s">
        <v>67</v>
      </c>
      <c r="B1702" s="1">
        <v>46281</v>
      </c>
      <c r="C1702" s="1">
        <v>26769.3</v>
      </c>
      <c r="D1702" s="1">
        <v>27055.7</v>
      </c>
      <c r="E1702" s="1">
        <v>26702</v>
      </c>
      <c r="F1702" s="1">
        <v>26893.65</v>
      </c>
    </row>
    <row r="1703" spans="1:6" x14ac:dyDescent="0.25">
      <c r="A1703" s="1" t="s">
        <v>67</v>
      </c>
      <c r="B1703" s="1">
        <v>46282</v>
      </c>
      <c r="C1703" s="1">
        <v>26860.75</v>
      </c>
      <c r="D1703" s="1">
        <v>27324.75</v>
      </c>
      <c r="E1703" s="1">
        <v>26858.400000000001</v>
      </c>
      <c r="F1703" s="1">
        <v>27159.15</v>
      </c>
    </row>
    <row r="1704" spans="1:6" x14ac:dyDescent="0.25">
      <c r="A1704" s="1" t="s">
        <v>67</v>
      </c>
      <c r="B1704" s="1">
        <v>46283</v>
      </c>
      <c r="C1704" s="1">
        <v>27197.1</v>
      </c>
      <c r="D1704" s="1">
        <v>27340.85</v>
      </c>
      <c r="E1704" s="1">
        <v>27126.45</v>
      </c>
      <c r="F1704" s="1">
        <v>27129</v>
      </c>
    </row>
    <row r="1705" spans="1:6" x14ac:dyDescent="0.25">
      <c r="A1705" s="1" t="s">
        <v>67</v>
      </c>
      <c r="B1705" s="1">
        <v>46286</v>
      </c>
      <c r="C1705" s="1">
        <v>27201.95</v>
      </c>
      <c r="D1705" s="1">
        <v>27343.85</v>
      </c>
      <c r="E1705" s="1">
        <v>27127.200000000001</v>
      </c>
      <c r="F1705" s="1">
        <v>27151.1</v>
      </c>
    </row>
    <row r="1706" spans="1:6" x14ac:dyDescent="0.25">
      <c r="A1706" s="1" t="s">
        <v>67</v>
      </c>
      <c r="B1706" s="1">
        <v>46287</v>
      </c>
      <c r="C1706" s="1">
        <v>27195.4</v>
      </c>
      <c r="D1706" s="1">
        <v>27322.3</v>
      </c>
      <c r="E1706" s="1">
        <v>27038.85</v>
      </c>
      <c r="F1706" s="1">
        <v>27086.3</v>
      </c>
    </row>
    <row r="1707" spans="1:6" x14ac:dyDescent="0.25">
      <c r="A1707" s="1" t="s">
        <v>67</v>
      </c>
      <c r="B1707" s="1">
        <v>46288</v>
      </c>
      <c r="C1707" s="1">
        <v>27140.85</v>
      </c>
      <c r="D1707" s="1">
        <v>27209.3</v>
      </c>
      <c r="E1707" s="1">
        <v>27008.65</v>
      </c>
      <c r="F1707" s="1">
        <v>27157.55</v>
      </c>
    </row>
    <row r="1708" spans="1:6" x14ac:dyDescent="0.25">
      <c r="A1708" s="1" t="s">
        <v>67</v>
      </c>
      <c r="B1708" s="1">
        <v>46289</v>
      </c>
      <c r="C1708" s="1">
        <v>27000.5</v>
      </c>
      <c r="D1708" s="1">
        <v>27092.95</v>
      </c>
      <c r="E1708" s="1">
        <v>26729</v>
      </c>
      <c r="F1708" s="1">
        <v>26730.1</v>
      </c>
    </row>
    <row r="1709" spans="1:6" x14ac:dyDescent="0.25">
      <c r="A1709" s="1" t="s">
        <v>67</v>
      </c>
      <c r="B1709" s="1">
        <v>46290</v>
      </c>
      <c r="C1709" s="1">
        <v>26716.6</v>
      </c>
      <c r="D1709" s="1">
        <v>27006.65</v>
      </c>
      <c r="E1709" s="1">
        <v>26697.3</v>
      </c>
      <c r="F1709" s="1">
        <v>26967.9</v>
      </c>
    </row>
    <row r="1710" spans="1:6" x14ac:dyDescent="0.25">
      <c r="A1710" s="1" t="s">
        <v>67</v>
      </c>
      <c r="B1710" s="1">
        <v>46293</v>
      </c>
      <c r="C1710" s="1">
        <v>26867.05</v>
      </c>
      <c r="D1710" s="1">
        <v>26896.65</v>
      </c>
      <c r="E1710" s="1">
        <v>26476.9</v>
      </c>
      <c r="F1710" s="1">
        <v>26525.05</v>
      </c>
    </row>
    <row r="1711" spans="1:6" x14ac:dyDescent="0.25">
      <c r="A1711" s="1" t="s">
        <v>67</v>
      </c>
      <c r="B1711" s="1">
        <v>46294</v>
      </c>
      <c r="C1711" s="1">
        <v>26484.1</v>
      </c>
      <c r="D1711" s="1">
        <v>26509.75</v>
      </c>
      <c r="E1711" s="1">
        <v>26167.9</v>
      </c>
      <c r="F1711" s="1">
        <v>26173.35</v>
      </c>
    </row>
    <row r="1712" spans="1:6" x14ac:dyDescent="0.25">
      <c r="A1712" s="1" t="s">
        <v>67</v>
      </c>
      <c r="B1712" s="1">
        <v>46295</v>
      </c>
      <c r="C1712" s="1">
        <v>26157.200000000001</v>
      </c>
      <c r="D1712" s="1">
        <v>26503.3</v>
      </c>
      <c r="E1712" s="1">
        <v>26157.200000000001</v>
      </c>
      <c r="F1712" s="1">
        <v>26293.95</v>
      </c>
    </row>
    <row r="1713" spans="1:6" x14ac:dyDescent="0.25">
      <c r="A1713" s="1" t="s">
        <v>67</v>
      </c>
      <c r="B1713" s="1">
        <v>46296</v>
      </c>
      <c r="C1713" s="1">
        <v>26117.75</v>
      </c>
      <c r="D1713" s="1">
        <v>26125.25</v>
      </c>
      <c r="E1713" s="1">
        <v>25087.65</v>
      </c>
      <c r="F1713" s="1">
        <v>25384.95</v>
      </c>
    </row>
    <row r="1714" spans="1:6" x14ac:dyDescent="0.25">
      <c r="A1714" s="1" t="s">
        <v>67</v>
      </c>
      <c r="B1714" s="1">
        <v>46300</v>
      </c>
      <c r="C1714" s="1">
        <v>25412.2</v>
      </c>
      <c r="D1714" s="1">
        <v>25483.7</v>
      </c>
      <c r="E1714" s="1">
        <v>25175.599999999999</v>
      </c>
      <c r="F1714" s="1">
        <v>25421.9</v>
      </c>
    </row>
    <row r="1715" spans="1:6" x14ac:dyDescent="0.25">
      <c r="A1715" s="1" t="s">
        <v>67</v>
      </c>
      <c r="B1715" s="1">
        <v>46301</v>
      </c>
      <c r="C1715" s="1">
        <v>25416.85</v>
      </c>
      <c r="D1715" s="1">
        <v>25559.3</v>
      </c>
      <c r="E1715" s="1">
        <v>25308.7</v>
      </c>
      <c r="F1715" s="1">
        <v>25541.95</v>
      </c>
    </row>
    <row r="1716" spans="1:6" x14ac:dyDescent="0.25">
      <c r="A1716" s="1" t="s">
        <v>67</v>
      </c>
      <c r="B1716" s="1">
        <v>46302</v>
      </c>
      <c r="C1716" s="1">
        <v>25409.45</v>
      </c>
      <c r="D1716" s="1">
        <v>25470.55</v>
      </c>
      <c r="E1716" s="1">
        <v>25067.15</v>
      </c>
      <c r="F1716" s="1">
        <v>25138.9</v>
      </c>
    </row>
    <row r="1717" spans="1:6" x14ac:dyDescent="0.25">
      <c r="A1717" s="1" t="s">
        <v>67</v>
      </c>
      <c r="B1717" s="1">
        <v>46303</v>
      </c>
      <c r="C1717" s="1">
        <v>25101.65</v>
      </c>
      <c r="D1717" s="1">
        <v>25115.25</v>
      </c>
      <c r="E1717" s="1">
        <v>24512.7</v>
      </c>
      <c r="F1717" s="1">
        <v>24512.7</v>
      </c>
    </row>
    <row r="1718" spans="1:6" x14ac:dyDescent="0.25">
      <c r="A1718" s="1" t="s">
        <v>67</v>
      </c>
      <c r="B1718" s="1">
        <v>46304</v>
      </c>
      <c r="C1718" s="1">
        <v>24608.95</v>
      </c>
      <c r="D1718" s="1">
        <v>24975.95</v>
      </c>
      <c r="E1718" s="1">
        <v>24456.5</v>
      </c>
      <c r="F1718" s="1">
        <v>24859.9</v>
      </c>
    </row>
    <row r="1719" spans="1:6" x14ac:dyDescent="0.25">
      <c r="A1719" s="1" t="s">
        <v>67</v>
      </c>
      <c r="B1719" s="1">
        <v>46307</v>
      </c>
      <c r="C1719" s="1">
        <v>24937.85</v>
      </c>
      <c r="D1719" s="1">
        <v>25256.85</v>
      </c>
      <c r="E1719" s="1">
        <v>24933.35</v>
      </c>
      <c r="F1719" s="1">
        <v>25084.400000000001</v>
      </c>
    </row>
    <row r="1720" spans="1:6" x14ac:dyDescent="0.25">
      <c r="A1720" s="1" t="s">
        <v>67</v>
      </c>
      <c r="B1720" s="1">
        <v>46308</v>
      </c>
      <c r="C1720" s="1">
        <v>24999.3</v>
      </c>
      <c r="D1720" s="1">
        <v>25391.85</v>
      </c>
      <c r="E1720" s="1">
        <v>24797.7</v>
      </c>
      <c r="F1720" s="1">
        <v>25391.85</v>
      </c>
    </row>
    <row r="1721" spans="1:6" x14ac:dyDescent="0.25">
      <c r="A1721" s="1" t="s">
        <v>67</v>
      </c>
      <c r="B1721" s="1">
        <v>46309</v>
      </c>
      <c r="C1721" s="1">
        <v>25424.2</v>
      </c>
      <c r="D1721" s="1">
        <v>25431</v>
      </c>
      <c r="E1721" s="1">
        <v>25113.3</v>
      </c>
      <c r="F1721" s="1">
        <v>25156.75</v>
      </c>
    </row>
    <row r="1722" spans="1:6" x14ac:dyDescent="0.25">
      <c r="A1722" s="1" t="s">
        <v>67</v>
      </c>
      <c r="B1722" s="1">
        <v>46310</v>
      </c>
      <c r="C1722" s="1">
        <v>25255.35</v>
      </c>
      <c r="D1722" s="1">
        <v>25635.8</v>
      </c>
      <c r="E1722" s="1">
        <v>25125.3</v>
      </c>
      <c r="F1722" s="1">
        <v>25576.400000000001</v>
      </c>
    </row>
    <row r="1723" spans="1:6" x14ac:dyDescent="0.25">
      <c r="A1723" s="1" t="s">
        <v>67</v>
      </c>
      <c r="B1723" s="1">
        <v>46311</v>
      </c>
      <c r="C1723" s="1">
        <v>25598.3</v>
      </c>
      <c r="D1723" s="1">
        <v>25810.55</v>
      </c>
      <c r="E1723" s="1">
        <v>25430.3</v>
      </c>
      <c r="F1723" s="1">
        <v>25768.5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Summary</vt:lpstr>
      <vt:lpstr>Prices</vt:lpstr>
      <vt:lpstr>Returns</vt:lpstr>
      <vt:lpstr>Rebased</vt:lpstr>
      <vt:lpstr>Drawdown</vt:lpstr>
      <vt:lpstr>Daily</vt:lpstr>
      <vt:lpstr>Volatility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Akshay Singh Jantwal</cp:lastModifiedBy>
  <cp:revision>0</cp:revision>
  <dcterms:created xsi:type="dcterms:W3CDTF">2026-10-18T06:13:04Z</dcterms:created>
  <dcterms:modified xsi:type="dcterms:W3CDTF">2026-10-22T02:26:06Z</dcterms:modified>
  <dc:language>en-US</dc:language>
</cp:coreProperties>
</file>